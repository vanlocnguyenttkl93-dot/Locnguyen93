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A-B là gì" sheetId="2" state="visible" r:id="rId4"/>
    <sheet name="Cài đặt" sheetId="3" state="visible" r:id="rId5"/>
    <sheet name="Page và Ngách" sheetId="4" state="visible" r:id="rId6"/>
    <sheet name="Thí nghiệm" sheetId="5" state="visible" r:id="rId7"/>
    <sheet name="Lịch 15 tuần" sheetId="6" state="visible" r:id="rId8"/>
    <sheet name="Prompt và Quy trình" sheetId="7" state="visible" r:id="rId9"/>
    <sheet name="Nhật ký bài" sheetId="8" state="visible" r:id="rId10"/>
    <sheet name="Kết quả" sheetId="9" state="visible" r:id="rId11"/>
    <sheet name="Cỡ mẫu" sheetId="10" state="visible" r:id="rId12"/>
    <sheet name="Máy tính A-B" sheetId="11" state="visible" r:id="rId13"/>
    <sheet name="Sức khỏe Page" sheetId="12" state="visible" r:id="rId14"/>
  </sheets>
  <definedNames>
    <definedName function="false" hidden="true" localSheetId="7" name="_xlnm._FilterDatabase" vbProcedure="false">'Nhật ký bài'!$A$3:$Y$844</definedName>
    <definedName function="false" hidden="true" localSheetId="11" name="_xlnm._FilterDatabase" vbProcedure="false">'Sức khỏe Page'!$A$3:$G$94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<sst xmlns="http://schemas.openxmlformats.org/spreadsheetml/2006/main" count="5782" uniqueCount="1411">
  <si>
    <t xml:space="preserve">KẾ HOẠCH A/B TESTING PAGE TRUYỆN — ĐỌC TRƯỚC</t>
  </si>
  <si>
    <t xml:space="preserve">Mục tiêu: sau ~15 tuần biết Format, Hook và cách làm (AI vs Human) nào ra nhiều tiền nhất — và có đáng công không.</t>
  </si>
  <si>
    <t xml:space="preserve">Việc cần làm TRƯỚC khi bắt đầu</t>
  </si>
  <si>
    <t xml:space="preserve">1. Biết app trả tiền theo gì (install / đăng ký / nạp xu), bao nhiêu mỗi lần, và link có SUB-ID để tách từng bài. Không có Sub-ID thì A/B test vô nghĩa.</t>
  </si>
  <si>
    <t xml:space="preserve">2. Điền các ô GIẢ ĐỊNH trong sheet Cài đặt (tiền/install, giá giờ công, phút làm mỗi bài) bằng số thật của bạn.</t>
  </si>
  <si>
    <t xml:space="preserve">3. Đọc sheet "A-B là gì" (5 phút) rồi thử "Máy tính A-B".</t>
  </si>
  <si>
    <t xml:space="preserve">Bản đồ các sheet</t>
  </si>
  <si>
    <t xml:space="preserve">Sheet</t>
  </si>
  <si>
    <t xml:space="preserve">Dùng để làm gì</t>
  </si>
  <si>
    <t xml:space="preserve">A-B là gì</t>
  </si>
  <si>
    <t xml:space="preserve">Giải thích dễ hiểu + ví dụ số.</t>
  </si>
  <si>
    <t xml:space="preserve">Cài đặt</t>
  </si>
  <si>
    <t xml:space="preserve">Các con số gốc: ngày bắt đầu, tiền, giờ công, ngưỡng, kết quả chốt sau mỗi thí nghiệm.</t>
  </si>
  <si>
    <t xml:space="preserve">Page và Ngách</t>
  </si>
  <si>
    <t xml:space="preserve">6 page lõi (P1–P6) + 2 page mở rộng, tên gợi ý, hook mẫu, rủi ro, checklist tạo page.</t>
  </si>
  <si>
    <t xml:space="preserve">Thí nghiệm</t>
  </si>
  <si>
    <t xml:space="preserve">Thiết kế TN1–TN5, 7 quy tắc vàng, vì sao xếp bài luân phiên.</t>
  </si>
  <si>
    <t xml:space="preserve">Lịch 15 tuần</t>
  </si>
  <si>
    <t xml:space="preserve">Việc từng tuần, của AI và của Human, cổng để sang tuần sau.</t>
  </si>
  <si>
    <t xml:space="preserve">Prompt và Quy trình</t>
  </si>
  <si>
    <t xml:space="preserve">3 prompt hook, 3 prompt theo format, quy trình AI 80%, checklist Human 20%.</t>
  </si>
  <si>
    <t xml:space="preserve">Nhật ký bài</t>
  </si>
  <si>
    <t xml:space="preserve">HÀNG NGÀY: 840 bài đã xếp sẵn Format/Hook/Cách làm/Giờ/Sub-ID; bạn chỉ nhập số liệu.</t>
  </si>
  <si>
    <t xml:space="preserve">Kết quả</t>
  </si>
  <si>
    <t xml:space="preserve">Tự tính CTR, p-value, $/1.000 reach, lãi ròng/bài, "có xứng đáng không?", so sánh ngách.</t>
  </si>
  <si>
    <t xml:space="preserve">Cỡ mẫu</t>
  </si>
  <si>
    <t xml:space="preserve">Cần bao nhiêu bài/tuần để đủ kết luận; vì sao TN3 cần chạy lâu hơn khi Human chỉ 20%.</t>
  </si>
  <si>
    <t xml:space="preserve">Máy tính A-B</t>
  </si>
  <si>
    <t xml:space="preserve">Dán 2 con số mỗi bên → biết khác thật hay do may rủi.</t>
  </si>
  <si>
    <t xml:space="preserve">Sức khỏe Page</t>
  </si>
  <si>
    <t xml:space="preserve">Hàng tuần: follower, reach, cảnh báo reach tụt.</t>
  </si>
  <si>
    <t xml:space="preserve">Quy ước màu</t>
  </si>
  <si>
    <t xml:space="preserve">Nền vàng, chữ xanh dương</t>
  </si>
  <si>
    <t xml:space="preserve">Ô BẠN nhập (số liệu, giả định).</t>
  </si>
  <si>
    <t xml:space="preserve">Chữ đen</t>
  </si>
  <si>
    <t xml:space="preserve">Công thức tự tính — đừng sửa tay.</t>
  </si>
  <si>
    <t xml:space="preserve">Chữ xanh lá</t>
  </si>
  <si>
    <t xml:space="preserve">Giá trị lấy từ sheet khác (vd Cài đặt).</t>
  </si>
  <si>
    <t xml:space="preserve">Dòng xám nghiêng</t>
  </si>
  <si>
    <t xml:space="preserve">Dòng VÍ DỤ, không tính vào kết quả.</t>
  </si>
  <si>
    <t xml:space="preserve">Vòng lặp hằng ngày / hằng tuần</t>
  </si>
  <si>
    <t xml:space="preserve">Hằng ngày: lọc Nhật ký bài theo "Ngày đăng" = hôm nay → làm đúng Format/Hook/Cách làm của các dòng đó → đăng + link Sub-ID (cột L).</t>
  </si>
  <si>
    <t xml:space="preserve">Sau 48 giờ: nhập Reach / Clicks / Installs (cột O, P, Q) cho các bài cũ.</t>
  </si>
  <si>
    <t xml:space="preserve">Hằng tuần: ghi Sức khỏe Page; Human ghi 3 dòng "học được gì".</t>
  </si>
  <si>
    <t xml:space="preserve">Ngày cuối mỗi thí nghiệm: mở Kết quả → chốt người thắng → nhập vào Cài đặt (B32/B33).</t>
  </si>
  <si>
    <t xml:space="preserve">Trong lúc thí nghiệm chạy: KHÔNG kết luận, KHÔNG đổi gì.</t>
  </si>
  <si>
    <t xml:space="preserve">Lưu ý trung thực</t>
  </si>
  <si>
    <t xml:space="preserve">Các con số trong Cài đặt (tiền/install = $1, CTR 1%, reach 500, giờ công $5, phút làm bài) là GIẢ ĐỊNH để file chạy được, không phải số liệu thật. Thay bằng số của bạn.</t>
  </si>
  <si>
    <t xml:space="preserve">Mình hiểu "80% AI / 20% Human" là: 80% bài do AI làm trọn, 20% bài có người nghiên cứu trend trước. Nếu bạn muốn hiểu khác, báo để chỉnh.</t>
  </si>
  <si>
    <t xml:space="preserve">Lịch dài 15 tuần (không phải 90 ngày như kế hoạch trước) vì mỗi thí nghiệm cần đủ mẫu và chạy lần lượt. Trong lúc test, các bài vẫn có link nên vẫn có thể ra tiền.</t>
  </si>
  <si>
    <t xml:space="preserve">Meta có thể thay đổi giới hạn link và luật nội dung không gốc. Nếu reach tụt, xem sheet Sức khỏe Page và giảm số bài có link.</t>
  </si>
  <si>
    <t xml:space="preserve">A/B TESTING LÀ GÌ? — giải thích cho người chưa từng làm</t>
  </si>
  <si>
    <t xml:space="preserve">Đọc 5 phút trước khi bắt đầu. Có ví dụ số dùng được trong sheet "Máy tính A-B".</t>
  </si>
  <si>
    <t xml:space="preserve">Khái niệm</t>
  </si>
  <si>
    <t xml:space="preserve">Giải thích</t>
  </si>
  <si>
    <t xml:space="preserve">A/B testing là gì?</t>
  </si>
  <si>
    <t xml:space="preserve">So sánh 2 hay nhiều phiên bản chỉ khác nhau MỘT thứ (vd Reel vs Carousel), đăng trong cùng điều kiện, rồi dùng số liệu (click, install, tiền) để biết phiên bản nào tốt hơn — thay vì dựa cảm giác.</t>
  </si>
  <si>
    <t xml:space="preserve">Vì sao cần?</t>
  </si>
  <si>
    <t xml:space="preserve">Cảm giác "Reel chắc ăn hơn" có thể sai. Mỗi bài có yếu tố may rủi (giờ đăng, ngày trong tuần, thuật toán). A/B xếp để may rủi chia đều cho mọi phiên bản, nhờ đó chênh lệch còn lại mới đáng tin.</t>
  </si>
  <si>
    <t xml:space="preserve">Mốc (baseline) và biến thể</t>
  </si>
  <si>
    <t xml:space="preserve">Baseline = phiên bản bạn đang so sánh với (ở đây: Ảnh chữ, Prompt A, AI tự động). Biến thể = các phiên bản còn lại. Câu hỏi luôn là: biến thể có hơn mốc đủ nhiều và đủ chắc không?</t>
  </si>
  <si>
    <t xml:space="preserve">Reach / Click / CTR</t>
  </si>
  <si>
    <t xml:space="preserve">Reach = số người thấy bài. Click = số người bấm link. CTR = Click ÷ Reach. Ví dụ 12.000 reach, 150 click → CTR 1,25%.</t>
  </si>
  <si>
    <t xml:space="preserve">Click→Install và $/1.000 reach</t>
  </si>
  <si>
    <t xml:space="preserve">Click→Install = số người cài app ÷ số click. $/1.000 reach = doanh thu ÷ reach × 1.000: chỉ số gần "tiền" nhất, so sánh công bằng giữa các biến thể có reach khác nhau.</t>
  </si>
  <si>
    <t xml:space="preserve">p-value (nói đơn giản)</t>
  </si>
  <si>
    <t xml:space="preserve">Nếu thực ra hai phiên bản BẰNG NHAU, p-value là xác suất vẫn thấy chênh lệch lớn như vậy chỉ do may rủi. p &lt; 0,05 → đủ tin là khác thật. p ≥ 0,05 → chưa phân biệt được: coi là HÒA.</t>
  </si>
  <si>
    <t xml:space="preserve">Càng ít dữ liệu càng dễ nhầm. Quy tắc tối thiểu: mỗi phiên bản ≥ 30 click và ≥ 30 bài. Muốn biết chính xác cần bao nhiêu → sheet "Cỡ mẫu".</t>
  </si>
  <si>
    <t xml:space="preserve">Ví dụ số 1 (khác thật)</t>
  </si>
  <si>
    <t xml:space="preserve">Reel: 12.000 reach, 150 click (CTR 1,25%). Carousel: 12.000 reach, 110 click (0,92%). Chênh 36% và p ≈ 0,013 &lt; 0,05 → Reel thắng thật. (Điền vào "Máy tính A-B".)</t>
  </si>
  <si>
    <t xml:space="preserve">Ví dụ số 2 (chưa chắc)</t>
  </si>
  <si>
    <t xml:space="preserve">A: 3.000 reach, 30 click (1,00%). B: 3.000 reach, 36 click (1,20%). Chênh 20% nhưng p ≈ 0,46 → HÒA, vì quá ít dữ liệu. Đừng chọn B chỉ vì con số lớn hơn.</t>
  </si>
  <si>
    <t xml:space="preserve">Vì sao làm lần lượt?</t>
  </si>
  <si>
    <t xml:space="preserve">TN1 (Format) → TN2 (Hook) → TN3 (AI vs Human). Mỗi thí nghiệm khóa kết quả của thí nghiệm trước. Đổi nhiều thứ cùng lúc thì không biết cái nào có tác dụng.</t>
  </si>
  <si>
    <t xml:space="preserve">Làm sao biết đáng công hay không?</t>
  </si>
  <si>
    <t xml:space="preserve">Không chỉ xem ai nhiều tiền hơn. Lãi ròng/bài = doanh thu/bài − (phút làm ÷ 60 × giá giờ công). Phiên bản tốn công hơn chỉ "xứng đáng" nếu lãi ròng vẫn cao hơn mốc. Xem bảng "Công sức có xứng đáng?" trong sheet Kết quả.</t>
  </si>
  <si>
    <t xml:space="preserve">5 lỗi hay gặp</t>
  </si>
  <si>
    <t xml:space="preserve">1) Xem kết quả giữa chừng rồi đổi. 2) Đổi 2 thứ cùng lúc. 3) Chỉ nhìn CTR, bỏ qua install/tiền. 4) Kết luận khi mới có vài click. 5) So sánh page khác ngách rồi coi là A/B — đó chỉ là tín hiệu tham khảo.</t>
  </si>
  <si>
    <t xml:space="preserve">Giới hạn trung thực</t>
  </si>
  <si>
    <t xml:space="preserve">Facebook phân phối bài theo thuật toán nên số liệu có nhiễu; page mới reach thấp; các bài trong cùng page tương quan với nhau. File đã bù bằng luân phiên, hệ số an toàn 1,3 và ngưỡng 30/30, nhưng kết quả vẫn là xác suất, không phải chắc chắn tuyệt đối.</t>
  </si>
  <si>
    <t xml:space="preserve">CÀI ĐẶT — các con số gốc của toàn bộ file</t>
  </si>
  <si>
    <t xml:space="preserve">Chữ XANH DƯƠNG + nền vàng = ô bạn được sửa. Mọi sheet khác tự tính theo các ô này.</t>
  </si>
  <si>
    <t xml:space="preserve">A. Thông tin chung</t>
  </si>
  <si>
    <t xml:space="preserve">Ngày bắt đầu Tuần 1 (nên là thứ Hai)</t>
  </si>
  <si>
    <t xml:space="preserve">Mọi mốc ngày trong file tính từ ô này. Đổi ô này nếu bạn bắt đầu muộn hơn.</t>
  </si>
  <si>
    <t xml:space="preserve">Số bài TEST có link / page / ngày</t>
  </si>
  <si>
    <t xml:space="preserve">KHÔNG ĐỔI: Nhật ký bài đã được sinh sẵn cho 2 bài/ngày/page. Thêm 1 bài không link/ngày để giữ page "sống".</t>
  </si>
  <si>
    <t xml:space="preserve">Khung giờ đăng 1 (S1)</t>
  </si>
  <si>
    <t xml:space="preserve">12:00</t>
  </si>
  <si>
    <t xml:space="preserve">Giờ theo múi giờ KHÁN GIẢ MỤC TIÊU. Xem Page Insights để chỉnh sau.</t>
  </si>
  <si>
    <t xml:space="preserve">Khung giờ đăng 2 (S2)</t>
  </si>
  <si>
    <t xml:space="preserve">20:00</t>
  </si>
  <si>
    <t xml:space="preserve">Hai khung giờ được luân phiên đều giữa các biến thể để không biến thể nào có lợi thế giờ.</t>
  </si>
  <si>
    <t xml:space="preserve">Tỉ lệ bài Human mục tiêu khi vận hành thường</t>
  </si>
  <si>
    <t xml:space="preserve">Thông tin: 80% AI tự động / 20% Human. Thí nghiệm 3 sinh sẵn 11/56 bài mỗi page ≈ 19,6%.</t>
  </si>
  <si>
    <t xml:space="preserve">B. Giả định về tiền — THAY BẰNG SỐ THẬT từ app của bạn</t>
  </si>
  <si>
    <t xml:space="preserve">Tiền thưởng cho mỗi install ($)</t>
  </si>
  <si>
    <t xml:space="preserve">GIẢ ĐỊNH, chưa có nguồn. Lấy từ điều khoản đối tác của app. Nếu app trả theo đăng ký/nạp xu, nhập tiền trung bình quy đổi hoặc nhập "Doanh thu thực" ở Nhật ký bài.</t>
  </si>
  <si>
    <t xml:space="preserve">CTR giả định (click ÷ reach)</t>
  </si>
  <si>
    <t xml:space="preserve">GIẢ ĐỊNH, chỉ dùng cho sheet Cỡ mẫu. Sau Tuần 7 thay bằng CTR thực tế từ Kết quả.</t>
  </si>
  <si>
    <t xml:space="preserve">Tỉ lệ click → install giả định</t>
  </si>
  <si>
    <t xml:space="preserve">GIẢ ĐỊNH, chỉ để tham khảo. Số thực lấy từ cột "Click→Install" trong Kết quả.</t>
  </si>
  <si>
    <t xml:space="preserve">Reach trung bình mỗi bài giả định</t>
  </si>
  <si>
    <t xml:space="preserve">GIẢ ĐỊNH cho page mới; dùng ở sheet Cỡ mẫu. Thay bằng số thật sau warm-up.</t>
  </si>
  <si>
    <t xml:space="preserve">Giá trị 1 giờ công của bạn/nhân sự ($/giờ)</t>
  </si>
  <si>
    <t xml:space="preserve">GIẢ ĐỊNH. Dùng để tính "công sức có xứng đáng không". Nhập mức bạn thực sự trả hoặc coi là hợp lý.</t>
  </si>
  <si>
    <t xml:space="preserve">C. Thời gian làm 1 bài (phút) — ƯỚC TÍNH, sửa theo thực tế</t>
  </si>
  <si>
    <t xml:space="preserve">Định dạng</t>
  </si>
  <si>
    <t xml:space="preserve">AI tự động (phút)</t>
  </si>
  <si>
    <t xml:space="preserve">Human nghiên cứu (phút)</t>
  </si>
  <si>
    <t xml:space="preserve">Ghi chú</t>
  </si>
  <si>
    <t xml:space="preserve">Ảnh chữ</t>
  </si>
  <si>
    <t xml:space="preserve">AI tự động = người chỉ duyệt nhanh, KHÔNG nghiên cứu. Human = nghiên cứu trend + viết góc nhìn riêng + chỉnh sửa.</t>
  </si>
  <si>
    <t xml:space="preserve">Carousel</t>
  </si>
  <si>
    <t xml:space="preserve">Carousel 6 slide.</t>
  </si>
  <si>
    <t xml:space="preserve">Reel</t>
  </si>
  <si>
    <t xml:space="preserve">Reel 15 giây có chữ/voiceover.</t>
  </si>
  <si>
    <t xml:space="preserve">D. Ngưỡng quyết định (đừng đổi giữa chừng)</t>
  </si>
  <si>
    <t xml:space="preserve">Số click tối thiểu mỗi biến thể mới được kết luận</t>
  </si>
  <si>
    <t xml:space="preserve">Dưới ngưỡng này kết quả chủ yếu là may rủi.</t>
  </si>
  <si>
    <t xml:space="preserve">Số bài tối thiểu mỗi biến thể mới được kết luận</t>
  </si>
  <si>
    <t xml:space="preserve">Đảm bảo kết quả không đến từ 1–2 bài "trúng".</t>
  </si>
  <si>
    <t xml:space="preserve">Ngưỡng p-value (mức "có ý nghĩa")</t>
  </si>
  <si>
    <t xml:space="preserve">p &lt; 0,05 nghĩa là: nếu thực ra hai bên bằng nhau thì chỉ có &lt;5% khả năng thấy chênh lệch lớn thế này do may rủi.</t>
  </si>
  <si>
    <t xml:space="preserve">Chênh lệch tối thiểu đáng quan tâm (lift)</t>
  </si>
  <si>
    <t xml:space="preserve">Dùng ở Cỡ mẫu: chỉ cố phát hiện biến thể tốt hơn mốc ít nhất 30%. Chênh nhỏ hơn thì cần nhiều bài hơn nhiều và thường không đáng công — kết quả sẽ hiện là HÒA.</t>
  </si>
  <si>
    <t xml:space="preserve">Độ nhạy mong muốn (power)</t>
  </si>
  <si>
    <t xml:space="preserve">80% = nếu chênh lệch thật ≥ lift, bạn có 80% khả năng phát hiện ra.</t>
  </si>
  <si>
    <t xml:space="preserve">E. Kết quả bạn CHỐT sau mỗi thí nghiệm (nhập tay)</t>
  </si>
  <si>
    <t xml:space="preserve">Format thắng (sau Thí nghiệm 1, cuối Tuần 7)</t>
  </si>
  <si>
    <t xml:space="preserve">Đang là giá trị TẠM để Thí nghiệm 2–3 có dữ liệu mẫu. Sau Tuần 7 chọn theo sheet Kết quả. Chọn từ danh sách.</t>
  </si>
  <si>
    <t xml:space="preserve">Hook thắng (sau Thí nghiệm 2, cuối Tuần 10)</t>
  </si>
  <si>
    <t xml:space="preserve">A</t>
  </si>
  <si>
    <t xml:space="preserve">Đang là giá trị TẠM. Sau Tuần 10 chọn theo sheet Kết quả.</t>
  </si>
  <si>
    <t xml:space="preserve">F. Mốc thời gian (tự tính từ ngày bắt đầu)</t>
  </si>
  <si>
    <t xml:space="preserve">Bắt đầu warm-up (Tuần 2)</t>
  </si>
  <si>
    <t xml:space="preserve">Tự tính</t>
  </si>
  <si>
    <t xml:space="preserve">Bắt đầu Thí nghiệm 1 — Format (Tuần 5)</t>
  </si>
  <si>
    <t xml:space="preserve">Bắt đầu Thí nghiệm 2 — Hook (Tuần 8)</t>
  </si>
  <si>
    <t xml:space="preserve">Bắt đầu Thí nghiệm 3 — AI vs Human (Tuần 11)</t>
  </si>
  <si>
    <t xml:space="preserve">Chốt &amp; mở rộng (Tuần 15)</t>
  </si>
  <si>
    <t xml:space="preserve">PAGE VÀ NGÁCH — 6 page lõi để chạy thí nghiệm + 2 page mở rộng</t>
  </si>
  <si>
    <t xml:space="preserve">Mỗi page = 1 ngách. Tên là GỢI Ý: tự kiểm tra tên còn trống trên Facebook và không trùng nhãn hiệu/tên truyện đang có bản quyền.</t>
  </si>
  <si>
    <t xml:space="preserve">Page</t>
  </si>
  <si>
    <t xml:space="preserve">Ngách</t>
  </si>
  <si>
    <t xml:space="preserve">Tropes chính (3 hướng nội dung)</t>
  </si>
  <si>
    <t xml:space="preserve">Tên gợi ý 1</t>
  </si>
  <si>
    <t xml:space="preserve">Tên gợi ý 2</t>
  </si>
  <si>
    <t xml:space="preserve">Khán giả / lý do chọn</t>
  </si>
  <si>
    <t xml:space="preserve">Hook mẫu (tiếng Anh, tự viết — dùng để chạy thử prompt)</t>
  </si>
  <si>
    <t xml:space="preserve">Rủi ro nội dung</t>
  </si>
  <si>
    <t xml:space="preserve">Giai đoạn</t>
  </si>
  <si>
    <t xml:space="preserve">Tên page thật (bạn nhập)</t>
  </si>
  <si>
    <t xml:space="preserve">Link page (bạn nhập)</t>
  </si>
  <si>
    <t xml:space="preserve">P1</t>
  </si>
  <si>
    <t xml:space="preserve">Werewolf / Rejected mate</t>
  </si>
  <si>
    <t xml:space="preserve">Rejected mate; Fated/True mate; Alpha &amp; Luna</t>
  </si>
  <si>
    <t xml:space="preserve">Moonbound Mates</t>
  </si>
  <si>
    <t xml:space="preserve">Rejected Mate Chronicles</t>
  </si>
  <si>
    <t xml:space="preserve">Cộng đồng đông, gắn bó mạnh; app truyện đều quảng bá werewolf/alpha làm trụ cột.</t>
  </si>
  <si>
    <t xml:space="preserve">My mate rejected me in front of the whole pack. Then the Alpha King stepped forward and said one word: "Mine."</t>
  </si>
  <si>
    <t xml:space="preserve">Trung bình</t>
  </si>
  <si>
    <t xml:space="preserve">Lõi</t>
  </si>
  <si>
    <t xml:space="preserve">P2</t>
  </si>
  <si>
    <t xml:space="preserve">Secret billionaire / CEO</t>
  </si>
  <si>
    <t xml:space="preserve">Hidden identity; CEO &amp; assistant; billionaire's secret heir</t>
  </si>
  <si>
    <t xml:space="preserve">The Hidden Billionaire Club</t>
  </si>
  <si>
    <t xml:space="preserve">CEO Secrets Romance</t>
  </si>
  <si>
    <t xml:space="preserve">Kịch tính dễ hiểu, không cần biết bối cảnh trước. Hợp với ảnh chữ và carousel.</t>
  </si>
  <si>
    <t xml:space="preserve">She cleaned his office for a year. He never noticed she owned the building.</t>
  </si>
  <si>
    <t xml:space="preserve">Thấp</t>
  </si>
  <si>
    <t xml:space="preserve">P3</t>
  </si>
  <si>
    <t xml:space="preserve">Contract marriage / Fake relationship</t>
  </si>
  <si>
    <t xml:space="preserve">Fake marriage; marriage of convenience; "rules of the contract"</t>
  </si>
  <si>
    <t xml:space="preserve">Contract Marriage Diaries</t>
  </si>
  <si>
    <t xml:space="preserve">Fake Vows Stories</t>
  </si>
  <si>
    <t xml:space="preserve">Hook một câu là hiểu ngay; trope phổ biến trên nhiều app truyện.</t>
  </si>
  <si>
    <t xml:space="preserve">Clause 7 of our contract: no falling in love. He has already broken it.</t>
  </si>
  <si>
    <t xml:space="preserve">P4</t>
  </si>
  <si>
    <t xml:space="preserve">Revenge / Betrayal ("you'll regret it")</t>
  </si>
  <si>
    <t xml:space="preserve">Cheating ex returns; wronged heiress; glow-up revenge</t>
  </si>
  <si>
    <t xml:space="preserve">Sweet Revenge Romance</t>
  </si>
  <si>
    <t xml:space="preserve">Regret Him Later</t>
  </si>
  <si>
    <t xml:space="preserve">Hook cảm xúc mạnh, dễ gây comment ("Team nào?").</t>
  </si>
  <si>
    <t xml:space="preserve">They laughed when I left with nothing. Five years later, they are begging me for a meeting.</t>
  </si>
  <si>
    <t xml:space="preserve">P5</t>
  </si>
  <si>
    <t xml:space="preserve">Mafia / Dark romance (teaser PG-13)</t>
  </si>
  <si>
    <t xml:space="preserve">Mafia boss; enemies-to-lovers; protective hero</t>
  </si>
  <si>
    <t xml:space="preserve">Mafia Heart Stories</t>
  </si>
  <si>
    <t xml:space="preserve">Dangerous Love Tales</t>
  </si>
  <si>
    <t xml:space="preserve">Nhóm trung thành nhưng nội dung nhạy cảm: chỉ đăng teaser an toàn để khỏi bị hạn chế/chặn quảng cáo.</t>
  </si>
  <si>
    <t xml:space="preserve">The boss warned everyone: touch her and you die. She never imagined he meant it.</t>
  </si>
  <si>
    <t xml:space="preserve">Cao</t>
  </si>
  <si>
    <t xml:space="preserve">P6</t>
  </si>
  <si>
    <t xml:space="preserve">Second chance / Secret baby</t>
  </si>
  <si>
    <t xml:space="preserve">Secret baby; second chance; ex returns</t>
  </si>
  <si>
    <t xml:space="preserve">Second Chance Hearts</t>
  </si>
  <si>
    <t xml:space="preserve">Secret Baby Secrets</t>
  </si>
  <si>
    <t xml:space="preserve">Cảm xúc gia đình + hối hận, hook dễ viết, nhóm đọc trung thành.</t>
  </si>
  <si>
    <t xml:space="preserve">He found out about our daughter five years too late.</t>
  </si>
  <si>
    <t xml:space="preserve">P7</t>
  </si>
  <si>
    <t xml:space="preserve">Vampire / Royal / Historical</t>
  </si>
  <si>
    <t xml:space="preserve">Vampire mate; duke &amp; governess; royal secret</t>
  </si>
  <si>
    <t xml:space="preserve">Fated Fangs</t>
  </si>
  <si>
    <t xml:space="preserve">Royal Secrets Romance</t>
  </si>
  <si>
    <t xml:space="preserve">Khán giả khác biệt. Chỉ mở sau Thí nghiệm 1 nếu còn công sức; KHÔNG nằm trong Nhật ký bài.</t>
  </si>
  <si>
    <t xml:space="preserve">The vampire king has waited three hundred years for one human heartbeat. Hers.</t>
  </si>
  <si>
    <t xml:space="preserve">Mở rộng</t>
  </si>
  <si>
    <t xml:space="preserve">P8</t>
  </si>
  <si>
    <t xml:space="preserve">Xianxia / Cultivation / LitRPG</t>
  </si>
  <si>
    <t xml:space="preserve">Reborn cultivator; system rewards; overpowered MC</t>
  </si>
  <si>
    <t xml:space="preserve">Reborn Cultivator Tales</t>
  </si>
  <si>
    <t xml:space="preserve">System Rewards Stories</t>
  </si>
  <si>
    <t xml:space="preserve">Khán giả thiên nam giới, khác hẳn romance — thử như thí nghiệm riêng sau Tuần 15.</t>
  </si>
  <si>
    <t xml:space="preserve">Checklist tạo mỗi page (làm trong Tuần 1)</t>
  </si>
  <si>
    <t xml:space="preserve">1. Tạo trong cùng một Business Portfolio, bật xác thực 2 bước (2FA) cho mọi quản trị viên. Không mua page.</t>
  </si>
  <si>
    <t xml:space="preserve">2. Ảnh đại diện + ảnh bìa riêng cho từng page (tự tạo hoặc ảnh có giấy phép). Không dùng bìa/ảnh của truyện có bản quyền.</t>
  </si>
  <si>
    <t xml:space="preserve">3. Mô tả ngắn: ngách + "stories &amp; teasers". KHÔNG đặt tên app trong tên page; ghi rõ là page giới thiệu truyện.</t>
  </si>
  <si>
    <t xml:space="preserve">4. Mỗi page có "giọng" khác nhau (cách xưng hô, emoji, kiểu hook) để không giống hệt nhau (tránh bị coi là spam/nội dung lặp).</t>
  </si>
  <si>
    <t xml:space="preserve">5. Cột "Page" (P1–P6) dùng làm mã trong Sub-ID và Nhật ký bài — đừng đổi mã.</t>
  </si>
  <si>
    <t xml:space="preserve">6. Chỉ P1–P6 có trong Nhật ký bài. P7–P8 chỉ mở sau khi có kết quả Thí nghiệm 1.</t>
  </si>
  <si>
    <t xml:space="preserve">THIẾT KẾ THÍ NGHIỆM — làm TUẦN TỰ, mỗi lần chỉ đổi MỘT thứ</t>
  </si>
  <si>
    <t xml:space="preserve">Vì sao tuần tự? Nếu đổi format, hook và cách làm cùng lúc thì không biết cái nào tạo ra khác biệt.</t>
  </si>
  <si>
    <t xml:space="preserve">Mã</t>
  </si>
  <si>
    <t xml:space="preserve">Câu hỏi cần trả lời</t>
  </si>
  <si>
    <t xml:space="preserve">Biến thay đổi</t>
  </si>
  <si>
    <t xml:space="preserve">Các phiên bản</t>
  </si>
  <si>
    <t xml:space="preserve">Giữ CỐ ĐỊNH</t>
  </si>
  <si>
    <t xml:space="preserve">Thời gian</t>
  </si>
  <si>
    <t xml:space="preserve">Số bài</t>
  </si>
  <si>
    <t xml:space="preserve">Chỉ số quyết định</t>
  </si>
  <si>
    <t xml:space="preserve">Quy tắc chốt</t>
  </si>
  <si>
    <t xml:space="preserve">Kết quả dùng cho</t>
  </si>
  <si>
    <t xml:space="preserve">TN1</t>
  </si>
  <si>
    <t xml:space="preserve">Format nào kéo nhiều click/tiền nhất, và có đáng công làm hơn không?</t>
  </si>
  <si>
    <t xml:space="preserve">Định dạng bài</t>
  </si>
  <si>
    <t xml:space="preserve">Ảnh chữ (mốc) · Carousel · Reel</t>
  </si>
  <si>
    <t xml:space="preserve">Hook = Prompt A; cách làm = AI tự động; cùng 6 page; 2 khung giờ luân phiên đều</t>
  </si>
  <si>
    <t xml:space="preserve">Tuần 5–7
(21 ngày)</t>
  </si>
  <si>
    <t xml:space="preserve">252 bài
(42 bài/page, mỗi format 14 bài/page = 84 bài/format)</t>
  </si>
  <si>
    <t xml:space="preserve">CTR, Click→Install, $/1.000 reach, rồi lãi ròng/bài sau trừ công</t>
  </si>
  <si>
    <t xml:space="preserve">Chỉ chốt vào ngày cuối Tuần 7 khi mỗi format ≥ 30 click &amp; ≥ 30 bài. p &lt; 0,05 và lãi ròng/bài hơn mốc → chọn. Nếu hòa → chọn format rẻ công hơn.</t>
  </si>
  <si>
    <t xml:space="preserve">Nhập "Format thắng" vào Cài đặt B32 → TN2, TN3 tự dùng format đó</t>
  </si>
  <si>
    <t xml:space="preserve">TN2</t>
  </si>
  <si>
    <t xml:space="preserve">Prompt hook nào (A/B/C) cho nhiều click nhất?</t>
  </si>
  <si>
    <t xml:space="preserve">Prompt tạo hook</t>
  </si>
  <si>
    <t xml:space="preserve">Prompt A (mốc) · Prompt B · Prompt C (xem sheet Prompt và Quy trình)</t>
  </si>
  <si>
    <t xml:space="preserve">Format = thắng của TN1; cách làm = AI tự động; cùng page, khung giờ luân phiên</t>
  </si>
  <si>
    <t xml:space="preserve">Tuần 8–10
(21 ngày)</t>
  </si>
  <si>
    <t xml:space="preserve">252 bài
(mỗi hook 84 bài)</t>
  </si>
  <si>
    <t xml:space="preserve">CTR, $/1.000 reach</t>
  </si>
  <si>
    <t xml:space="preserve">Giống TN1. Chi phí công như nhau nên chỉ cần xem tiền/click. Hòa → chọn hook ra ít chỉnh sửa nhất.</t>
  </si>
  <si>
    <t xml:space="preserve">Nhập "Hook thắng" vào Cài đặt B33 → TN3 dùng hook đó</t>
  </si>
  <si>
    <t xml:space="preserve">TN3</t>
  </si>
  <si>
    <t xml:space="preserve">Phần bài Human nghiên cứu (20%) có kiếm nhiều hơn đủ bù giờ công không?</t>
  </si>
  <si>
    <t xml:space="preserve">Cách làm</t>
  </si>
  <si>
    <t xml:space="preserve">AI tự động 80% (mốc) · Human nghiên cứu 20%</t>
  </si>
  <si>
    <t xml:space="preserve">Format + Hook = thắng của TN1/TN2; cùng page; Human trải đều theo tuần và 2 khung giờ</t>
  </si>
  <si>
    <t xml:space="preserve">Tuần 11–14
(28 ngày)</t>
  </si>
  <si>
    <t xml:space="preserve">336 bài
(270 AI + 66 Human)</t>
  </si>
  <si>
    <t xml:space="preserve">Lãi ròng/bài = doanh thu/bài − công/bài</t>
  </si>
  <si>
    <t xml:space="preserve">Chỉ chốt cuối Tuần 14. Nếu Human không đủ mẫu: tạm tăng lên 1/3 (xem Cỡ mẫu). Xứng đáng nếu lãi ròng/bài Human &gt; AI và p &lt; 0,05.</t>
  </si>
  <si>
    <t xml:space="preserve">Quyết định giữ/nâng/giảm tỉ lệ Human khi vận hành</t>
  </si>
  <si>
    <t xml:space="preserve">TN4
(tùy chọn)</t>
  </si>
  <si>
    <t xml:space="preserve">Link đặt trong comment hay trong bài thì ít bị giảm reach hơn?</t>
  </si>
  <si>
    <t xml:space="preserve">Vị trí link</t>
  </si>
  <si>
    <t xml:space="preserve">Link trong comment đầu · link trong bài · link ở bio/mô tả</t>
  </si>
  <si>
    <t xml:space="preserve">Mọi thứ khác theo kết quả TN1–3</t>
  </si>
  <si>
    <t xml:space="preserve">Sau Tuần 15</t>
  </si>
  <si>
    <t xml:space="preserve">Tự thiết kế, ≥ 30 click/biến thể</t>
  </si>
  <si>
    <t xml:space="preserve">Reach TB + CTR</t>
  </si>
  <si>
    <t xml:space="preserve">Chạy khi đã chốt TN1–3 và thấy reach tụt sau khi rải link.</t>
  </si>
  <si>
    <t xml:space="preserve">Quy tắc đặt link</t>
  </si>
  <si>
    <t xml:space="preserve">TN5
(tùy chọn)</t>
  </si>
  <si>
    <t xml:space="preserve">Ngách nào đáng nhân bản?</t>
  </si>
  <si>
    <t xml:space="preserve">Ngách / page</t>
  </si>
  <si>
    <t xml:space="preserve">P1–P6</t>
  </si>
  <si>
    <t xml:space="preserve">Không phải A/B chặt vì mỗi page khác tuổi/follower</t>
  </si>
  <si>
    <t xml:space="preserve">Liên tục</t>
  </si>
  <si>
    <t xml:space="preserve">Dữ liệu sẵn trong Kết quả</t>
  </si>
  <si>
    <t xml:space="preserve">$ / 1.000 reach theo page</t>
  </si>
  <si>
    <t xml:space="preserve">Xem bảng "So sánh ngách" cuối sheet Kết quả. Cắt page đứng cuối nếu 2 lần liên tiếp thấp nhất, nhân đôi ngách đứng đầu.</t>
  </si>
  <si>
    <t xml:space="preserve">Mở thêm page cùng ngách, hoặc P7–P8</t>
  </si>
  <si>
    <t xml:space="preserve">A/B testing — 7 quy tắc vàng cho người mới</t>
  </si>
  <si>
    <t xml:space="preserve">1. MỘT biến mỗi lần. Đổi 2 thứ cùng lúc là không biết thứ nào có tác dụng.</t>
  </si>
  <si>
    <t xml:space="preserve">2. ĐỪNG xem kết quả giữa chừng để đổi ý. Nhìn sớm rất dễ thấy "người thắng" chỉ là may rủi. Chỉ chốt ở ngày cuối thí nghiệm.</t>
  </si>
  <si>
    <t xml:space="preserve">3. CÙNG điều kiện: cùng page, cùng hook (hoặc cùng biến đã cố định), các khung giờ/ngày trong tuần luân phiên đều — Nhật ký bài đã làm sẵn việc này.</t>
  </si>
  <si>
    <t xml:space="preserve">4. ĐỦ mẫu: mỗi biến thể ≥ 30 click và ≥ 30 bài trước khi kết luận (xem Cỡ mẫu).</t>
  </si>
  <si>
    <t xml:space="preserve">5. Mỗi bài có SUB-ID RIÊNG để biết tiền đến từ biến thể nào (cột L trong Nhật ký bài, ví dụ P1_EXP1_R_A_AI_001).</t>
  </si>
  <si>
    <t xml:space="preserve">6. Quyết định theo TIỀN, không theo "thích": CTR cao nhưng không ra install thì vẫn thua. Sau cùng luôn trừ công sức.</t>
  </si>
  <si>
    <t xml:space="preserve">7. Ghi lại cả những gì thất bại (cột Story/ý tưởng + ghi chú). Thí nghiệm hòa cũng là kết quả hữu ích: chọn cách rẻ công hơn.</t>
  </si>
  <si>
    <t xml:space="preserve">Vì sao bài được xếp luân phiên (không chọn tay)?</t>
  </si>
  <si>
    <t xml:space="preserve">Nếu bạn tự chọn bài nào làm Reel, bạn sẽ vô thức dồn ý tưởng hay vào Reel → Reel "thắng" vì ý tưởng, không phải vì format.</t>
  </si>
  <si>
    <t xml:space="preserve">Nhật ký bài xoay vòng 3 phiên bản qua 2 khung giờ × 7 ngày trong tuần (chu kỳ 21 ngày) → mỗi phiên bản rơi đúng 7 lần vào mỗi khung giờ của mỗi page.</t>
  </si>
  <si>
    <t xml:space="preserve">AI sinh nội dung độc lập cho từng dòng, bạn chỉ làm theo ô "Format/Hook/Cách làm" ghi sẵn ở dòng đó.</t>
  </si>
  <si>
    <t xml:space="preserve">LỊCH 15 TUẦN — làm theo từng dòng</t>
  </si>
  <si>
    <t xml:space="preserve">Ngày tự tính từ Cài đặt B5. Trong tuần thí nghiệm: cuối tuần chỉ NHẬP số liệu, không kết luận, không đổi gì.</t>
  </si>
  <si>
    <t xml:space="preserve">Tuần</t>
  </si>
  <si>
    <t xml:space="preserve">Từ ngày</t>
  </si>
  <si>
    <t xml:space="preserve">Đến ngày</t>
  </si>
  <si>
    <t xml:space="preserve">Mục tiêu</t>
  </si>
  <si>
    <t xml:space="preserve">Bài/page/ngày</t>
  </si>
  <si>
    <t xml:space="preserve">Có link?</t>
  </si>
  <si>
    <t xml:space="preserve">Việc của AI (80% tự động)</t>
  </si>
  <si>
    <t xml:space="preserve">Việc của Human (20%)</t>
  </si>
  <si>
    <t xml:space="preserve">Số liệu cần ghi cuối tuần</t>
  </si>
  <si>
    <t xml:space="preserve">Điều kiện để sang tuần sau</t>
  </si>
  <si>
    <t xml:space="preserve">Chuẩn bị</t>
  </si>
  <si>
    <t xml:space="preserve">Dựng hạ tầng, chưa đăng bài thật</t>
  </si>
  <si>
    <t xml:space="preserve">0</t>
  </si>
  <si>
    <t xml:space="preserve">Không</t>
  </si>
  <si>
    <t xml:space="preserve">Tạo template ảnh/carousel/reel; chạy thử 3 prompt hook trên 6 ngách; dựng quy trình tạo + lên lịch tự động.</t>
  </si>
  <si>
    <t xml:space="preserve">Tạo Business Portfolio + 2FA; tạo 6 page; xin link tracking CÓ Sub-ID từ app; click thử để thấy Sub-ID trong dashboard; điền Cài đặt (tiền/install, giờ công thật).</t>
  </si>
  <si>
    <t xml:space="preserve">Click thử link ra đúng Sub-ID trong dashboard; 6 page hoàn thiện avatar/cover/bio.</t>
  </si>
  <si>
    <t xml:space="preserve">Warm-up</t>
  </si>
  <si>
    <t xml:space="preserve">Page có hoạt động đều, follower thật</t>
  </si>
  <si>
    <t xml:space="preserve">2–3</t>
  </si>
  <si>
    <t xml:space="preserve">KHÔNG</t>
  </si>
  <si>
    <t xml:space="preserve">Sinh bài từ prompt: câu hỏi tương tác, trích dẫn trope, meme; xoay đều 3 format; lên lịch qua Meta Business Suite; lưu mẫu hook/prompt hiệu quả.</t>
  </si>
  <si>
    <t xml:space="preserve">Trả lời comment; 2–3 giờ xem trend (top chart app truyện, trope đang hot trên Reels/BookTok, phim ngắn đang hot) và ghi vào danh sách "trope hot" (xem sheet Prompt và Quy trình).</t>
  </si>
  <si>
    <t xml:space="preserve">Follower, reach TB mỗi page (sheet Sức khỏe Page)</t>
  </si>
  <si>
    <t xml:space="preserve">Đăng đều mỗi ngày, không bị hạn chế.</t>
  </si>
  <si>
    <t xml:space="preserve">Trả lời comment; 2–3 giờ xem trend (top chart app truyện, trope đang hot trên Reels/BookTok, phim ngắn đang hot) và ghi vào danh sách "trope hot" (xem sheet Prompt và Quy trình). Chọn 3 trope sẽ dùng trong TN.</t>
  </si>
  <si>
    <t xml:space="preserve">Như tuần trước + reach theo format (tín hiệu sớm, chưa kết luận)</t>
  </si>
  <si>
    <t xml:space="preserve">Follower tăng đều.</t>
  </si>
  <si>
    <t xml:space="preserve">Chốt trước khi test</t>
  </si>
  <si>
    <t xml:space="preserve">Trả lời comment; 2–3 giờ xem trend (top chart app truyện, trope đang hot trên Reels/BookTok, phim ngắn đang hot) và ghi vào danh sách "trope hot" (xem sheet Prompt và Quy trình). Kiểm tra lại Sub-ID, template, lịch đăng Tuần 5.</t>
  </si>
  <si>
    <t xml:space="preserve">Như tuần trước</t>
  </si>
  <si>
    <t xml:space="preserve">≥ 500 follower thật/page, 21 ngày đăng đều, không cảnh báo hạn chế. Chưa đạt → kéo dài warm-up thêm 1 tuần.</t>
  </si>
  <si>
    <t xml:space="preserve">TN1 Format</t>
  </si>
  <si>
    <t xml:space="preserve">So Ảnh chữ vs Carousel vs Reel</t>
  </si>
  <si>
    <t xml:space="preserve">3 (2 test + 1 thuần nội dung)</t>
  </si>
  <si>
    <t xml:space="preserve">Có — link trong comment đầu + Sub-ID</t>
  </si>
  <si>
    <t xml:space="preserve">Mỗi ngày làm 2 bài theo cột Format ghi trong Nhật ký bài (hook A, cách làm AI). Sinh bài, render, lên lịch, gắn link + Sub-ID.</t>
  </si>
  <si>
    <t xml:space="preserve">Duyệt nhanh ≤ 3 phút/bài; ghi lại cảm nhận thủ công chưa phải kết luận.</t>
  </si>
  <si>
    <t xml:space="preserve">Mỗi bài (sau 48 giờ): Reach, Clicks, Installs, Tương tác → Nhật ký bài. Hằng tuần: Sức khỏe Page.</t>
  </si>
  <si>
    <t xml:space="preserve">Chưa kết luận. Chỉ kiểm tra: bài đăng đúng format/giờ như lịch? Sub-ID ghi nhận click?</t>
  </si>
  <si>
    <t xml:space="preserve">3</t>
  </si>
  <si>
    <t xml:space="preserve">Có</t>
  </si>
  <si>
    <t xml:space="preserve">Như Tuần 5</t>
  </si>
  <si>
    <t xml:space="preserve">Như Tuần 5. Không đổi gì giữa chừng.</t>
  </si>
  <si>
    <t xml:space="preserve">CHỐT thí nghiệm 1</t>
  </si>
  <si>
    <t xml:space="preserve">Như Tuần 5. Cuối tuần: mở sheet Kết quả.</t>
  </si>
  <si>
    <t xml:space="preserve">Hoàn tất số liệu 252 bài</t>
  </si>
  <si>
    <t xml:space="preserve">Mỗi format ≥ 30 click &amp; ≥ 30 bài. Nhập "Format thắng" vào Cài đặt B32. Chưa đủ → chạy thêm 1 tuần theo cùng lịch.</t>
  </si>
  <si>
    <t xml:space="preserve">TN2 Hook</t>
  </si>
  <si>
    <t xml:space="preserve">So Prompt A vs B vs C</t>
  </si>
  <si>
    <t xml:space="preserve">Sinh bài theo cột Hook trong Nhật ký bài (format thắng, cách làm AI).</t>
  </si>
  <si>
    <t xml:space="preserve">Duyệt nhanh; không thêm nghiên cứu.</t>
  </si>
  <si>
    <t xml:space="preserve">Như TN1</t>
  </si>
  <si>
    <t xml:space="preserve">Chưa kết luận.</t>
  </si>
  <si>
    <t xml:space="preserve">Như Tuần 8</t>
  </si>
  <si>
    <t xml:space="preserve">Không đổi gì giữa chừng.</t>
  </si>
  <si>
    <t xml:space="preserve">CHỐT thí nghiệm 2</t>
  </si>
  <si>
    <t xml:space="preserve">Cuối tuần: mở sheet Kết quả.</t>
  </si>
  <si>
    <t xml:space="preserve">Hoàn tất 252 bài</t>
  </si>
  <si>
    <t xml:space="preserve">Mỗi hook ≥ 30 click &amp; ≥ 30 bài. Nhập "Hook thắng" vào Cài đặt B33.</t>
  </si>
  <si>
    <t xml:space="preserve">TN3 AI vs Human</t>
  </si>
  <si>
    <t xml:space="preserve">So AI tự động vs Human nghiên cứu</t>
  </si>
  <si>
    <t xml:space="preserve">Làm 80% số bài theo cột "AI tự động" (hoàn toàn tự động, người duyệt ≤ 3 phút).</t>
  </si>
  <si>
    <t xml:space="preserve">Làm ~20% số bài theo cột "Human nghiên cứu": mỗi bài ghi nguồn cảm hứng + phút thực tế (cột M, T).</t>
  </si>
  <si>
    <t xml:space="preserve">Như TN1 + phút thực tế của bài Human</t>
  </si>
  <si>
    <t xml:space="preserve">Như Tuần 11</t>
  </si>
  <si>
    <t xml:space="preserve">Như TN1 + phút</t>
  </si>
  <si>
    <t xml:space="preserve">Như Tuần 11. Cuối tuần xem Cỡ mẫu: đủ bài Human chưa?</t>
  </si>
  <si>
    <t xml:space="preserve">Nếu Human &lt; số bài cần ở Cỡ mẫu, tuần 14 tăng tạm Human lên 1/3 (ghi chú vào Nhật ký).</t>
  </si>
  <si>
    <t xml:space="preserve">CHỐT thí nghiệm 3</t>
  </si>
  <si>
    <t xml:space="preserve">Hoàn tất 336 bài</t>
  </si>
  <si>
    <t xml:space="preserve">Ghi kết luận "Xứng đáng/Không xứng đáng" của Human. Quyết định tỉ lệ AI/Human vận hành.</t>
  </si>
  <si>
    <t xml:space="preserve">Chốt &amp; mở rộng</t>
  </si>
  <si>
    <t xml:space="preserve">Đưa công thức thắng vào vận hành, mở rộng</t>
  </si>
  <si>
    <t xml:space="preserve">Theo công thức thắng</t>
  </si>
  <si>
    <t xml:space="preserve">Chạy 100% công thức thắng (format + hook + tỉ lệ Human); nhân bản template cho page mới.</t>
  </si>
  <si>
    <t xml:space="preserve">Họp 1 giờ: xem bảng So sánh ngách → cắt page cuối bảng, nhân đôi ngách đứng đầu; quyết định mở P7–P8 hoặc TN4.</t>
  </si>
  <si>
    <t xml:space="preserve">Bảng So sánh ngách</t>
  </si>
  <si>
    <t xml:space="preserve">Quyết định mở rộng/cắt giảm đã ghi lại.</t>
  </si>
  <si>
    <t xml:space="preserve">PROMPT VÀ QUY TRÌNH — 3 prompt hook (A/B/C), 3 prompt theo format, quy trình AI 80% và checklist Human 20%</t>
  </si>
  <si>
    <t xml:space="preserve">Điền [GENRE], [PREMISE], [KEY SCENE] từ truyện thật. Hook luôn phải ĐÚNG với truyện — đừng hứa điều truyện không có.</t>
  </si>
  <si>
    <t xml:space="preserve">PROMPT A — Khoảng trống tò mò (mốc so sánh)</t>
  </si>
  <si>
    <t xml:space="preserve">You write Facebook hooks for a story page in the [GENRE] niche.
Story premise: [PREMISE]. Key scene: [KEY SCENE].
Write 5 hooks, each 1–2 sentences, under 220 characters.
Rules: open a question or tension, withhold the payoff, end mid-moment.
Do not invent events that are not in the story. No emojis beyond one.
End each with a short line inviting the reader to read what happens next.</t>
  </si>
  <si>
    <t xml:space="preserve">PROMPT B — Cảnh đối đầu / lời thoại</t>
  </si>
  <si>
    <t xml:space="preserve">You write Facebook hooks for a story page in the [GENRE] niche.
Story premise: [PREMISE]. Key scene: [KEY SCENE].
Write 5 hooks that open directly on a line of dialogue or a confrontation
(the most dramatic line of the scene), followed by one sentence of context.
Under 220 characters. Keep it faithful to the actual story.
Tone: intense, emotional, no spoilers of the final twist.</t>
  </si>
  <si>
    <t xml:space="preserve">PROMPT C — Đồng cảm + câu hỏi tương tác</t>
  </si>
  <si>
    <t xml:space="preserve">You write Facebook hooks for a story page in the [GENRE] niche.
Story premise: [PREMISE]. Key scene: [KEY SCENE].
Write 5 hooks that speak directly to the reader ("You..."/"Imagine...") or
ask a relatable question about the trope (e.g. "Would you forgive him?").
Under 220 characters. Make the reader pick a side in the comments,
then point them to the full story. Stay faithful to the story.</t>
  </si>
  <si>
    <t xml:space="preserve">PROMPT REEL (15 giây)</t>
  </si>
  <si>
    <t xml:space="preserve">You write short vertical video scripts (15 seconds) for a Facebook Reel in the [GENRE] niche.
On-screen hook for seconds 0–3: [HOOK from the prompt A/B/C winner].
Story premise: [PREMISE]. Key scene: [KEY SCENE].
Output: (1) on-screen text for 0–3s, 3–8s, 8–13s, 13–15s; (2) one voiceover sentence per segment;
(3) a caption under 15 words; (4) a last frame with a cliffhanger line, then "Full story: link in comments".
PG-13, faithful to the story, no ending spoilers.</t>
  </si>
  <si>
    <t xml:space="preserve">PROMPT CAROUSEL (6 slide)</t>
  </si>
  <si>
    <t xml:space="preserve">Create a 6-slide Facebook carousel for a story page in the [GENRE] niche.
Hook: [HOOK]. Story premise: [PREMISE]. Key scene: [KEY SCENE].
Slide 1: the hook, max 12 words. Slides 2–5: one escalating moment each, max 20 words per slide.
Slide 6: a cliffhanger plus "Read the full story: link in comments".
Also write a caption under 20 words. PG-13, faithful to the story.</t>
  </si>
  <si>
    <t xml:space="preserve">PROMPT ẢNH CHỮ (1 ảnh)</t>
  </si>
  <si>
    <t xml:space="preserve">Create ONE image post for a story page in the [GENRE] niche.
Hook: [HOOK]. Story premise: [PREMISE].
Output: overlay text max 18 words built from the hook; a 1-sentence caption that asks the reader to pick a side;
and 3 background mood keywords. PG-13, faithful to the story.</t>
  </si>
  <si>
    <t xml:space="preserve">QUY TRÌNH AI TỰ ĐỘNG (80% bài)</t>
  </si>
  <si>
    <t xml:space="preserve">1. Đọc dòng kế hoạch</t>
  </si>
  <si>
    <t xml:space="preserve">Lấy từ Nhật ký bài: Page → ngách, Format, Hook (prompt), Khung giờ. Không tự đổi.</t>
  </si>
  <si>
    <t xml:space="preserve">2. AI viết hook/kịch bản</t>
  </si>
  <si>
    <t xml:space="preserve">Chạy prompt A/B/C theo cột Hook; với Reel/Carousel/Ảnh chữ chạy thêm prompt theo format. Chọn 1 trong 5 phương án (hoặc để quy tắc tự chọn: ngắn nhất ≤ 220 ký tự).</t>
  </si>
  <si>
    <t xml:space="preserve">3. Kiểm tra tự động</t>
  </si>
  <si>
    <t xml:space="preserve">Quy tắc: đúng độ dài; không nội dung người lớn/bạo lực quá mức; không nhắc tên app; hook khớp premise (không bịa tình tiết).</t>
  </si>
  <si>
    <t xml:space="preserve">4. Dựng hình</t>
  </si>
  <si>
    <t xml:space="preserve">Ảnh chữ/Carousel: dùng template cố định (vd tạo hàng loạt bằng công cụ thiết kế có Bulk Create). Reel: template video + chữ trên màn hình. Ảnh/video chân thực do AI tạo: kiểm tra yêu cầu gắn nhãn nội dung AI của Meta.</t>
  </si>
  <si>
    <t xml:space="preserve">5. Lên lịch</t>
  </si>
  <si>
    <t xml:space="preserve">Lên lịch trong Meta Business Suite đúng Khung giờ (S1/S2) của dòng đó.</t>
  </si>
  <si>
    <t xml:space="preserve">6. Link + Sub-ID</t>
  </si>
  <si>
    <t xml:space="preserve">Bình luận đầu tiên: link tracking có Sub-ID lấy từ cột L, kèm dòng công khai affiliate (vd "Affiliate link").</t>
  </si>
  <si>
    <t xml:space="preserve">7. Thu số liệu sau 48 giờ</t>
  </si>
  <si>
    <t xml:space="preserve">Reach: Page Insights của bài. Clicks/Installs: dashboard đối tác của app, lọc theo Sub-ID. Nếu app không báo theo Sub-ID: dùng link rút gọn riêng cho mỗi bài.</t>
  </si>
  <si>
    <t xml:space="preserve">8. Nhập Nhật ký bài</t>
  </si>
  <si>
    <t xml:space="preserve">Điền cột M→T. Người duyệt AI ≤ 3 phút/bài; KHÔNG tính là "Human nghiên cứu".</t>
  </si>
  <si>
    <t xml:space="preserve">CHECKLIST HUMAN NGHIÊN CỨU (20% bài)</t>
  </si>
  <si>
    <t xml:space="preserve">Nghiên cứu (2–3 giờ/tuần)</t>
  </si>
  <si>
    <t xml:space="preserve">Xem top chart các app truyện, trope đang hot trên Reels/BookTok, phim ngắn (short drama) đang hot. Ghi: tên trope, câu mở đầu gây chú ý, định dạng, VÌ SAO hot (1 dòng).</t>
  </si>
  <si>
    <t xml:space="preserve">Chọn 1 góc nhìn riêng</t>
  </si>
  <si>
    <t xml:space="preserve">Chọn trope/tình tiết hợp ngách của page. Tự viết "góc nhìn riêng" bằng lời của bạn rồi đưa AI làm bản nháp. Tự chỉnh hook cho đúng truyện.</t>
  </si>
  <si>
    <t xml:space="preserve">KHÔNG sao chép</t>
  </si>
  <si>
    <t xml:space="preserve">Không copy câu chữ, cảnh, ảnh/video của phim hay truyện khác. Chỉ học CẤU TRÚC (trope, nhịp, kiểu mở đầu). Meta đang phạt nội dung không gốc.</t>
  </si>
  <si>
    <t xml:space="preserve">Ghi nguồn + phút thực tế</t>
  </si>
  <si>
    <t xml:space="preserve">Cột M: nguồn cảm hứng (link) + lý do chọn. Cột T: số phút thực tế bạn bỏ ra — đây là dữ liệu quyết định "có xứng đáng" ở TN3.</t>
  </si>
  <si>
    <t xml:space="preserve">Học được gì (3 dòng/tuần)</t>
  </si>
  <si>
    <t xml:space="preserve">Cuối tuần ghi: (1) trope nào hot tuần này, (2) bài Human nào thắng/thua AI, (3) vì sao. Đây là thứ AI tự động chưa làm được.</t>
  </si>
  <si>
    <t xml:space="preserve">Hiểu "80% AI / 20% Human" trong file này: 80% bài do AI làm trọn (người chỉ duyệt nhanh); 20% bài có người nghiên cứu trend và viết góc nhìn riêng trước khi nhờ AI. Nếu bạn hiểu khác, nói lại để mình chỉnh.</t>
  </si>
  <si>
    <t xml:space="preserve">NHẬT KÝ BÀI — mỗi dòng = 1 bài test. Bảng đã sinh sẵn lịch đăng cho 3 thí nghiệm (840 bài).</t>
  </si>
  <si>
    <t xml:space="preserve">Chỉ nhập vào các cột NỀN VÀNG (M→T). Cột khác tự tính. Mỗi ngày: lọc cột "Ngày đăng" = hôm nay → làm đúng Format/Hook/Cách làm ghi ở dòng đó.</t>
  </si>
  <si>
    <t xml:space="preserve">Mã bài</t>
  </si>
  <si>
    <t xml:space="preserve">Ngày thứ</t>
  </si>
  <si>
    <t xml:space="preserve">Ngày đăng</t>
  </si>
  <si>
    <t xml:space="preserve">Khung</t>
  </si>
  <si>
    <t xml:space="preserve">Giờ đăng</t>
  </si>
  <si>
    <t xml:space="preserve">Format</t>
  </si>
  <si>
    <t xml:space="preserve">Hook (prompt)</t>
  </si>
  <si>
    <t xml:space="preserve">Sub-ID (gắn vào link)</t>
  </si>
  <si>
    <t xml:space="preserve">Story / ý tưởng (+ nguồn cảm hứng nếu là Human)</t>
  </si>
  <si>
    <t xml:space="preserve">Link bài FB</t>
  </si>
  <si>
    <t xml:space="preserve">Reach</t>
  </si>
  <si>
    <t xml:space="preserve">Link clicks</t>
  </si>
  <si>
    <t xml:space="preserve">Installs</t>
  </si>
  <si>
    <t xml:space="preserve">Doanh thu thực ($) — nếu có</t>
  </si>
  <si>
    <t xml:space="preserve">Tương tác (react+cmt+share)</t>
  </si>
  <si>
    <t xml:space="preserve">Phút thực tế — nếu có</t>
  </si>
  <si>
    <t xml:space="preserve">CTR</t>
  </si>
  <si>
    <t xml:space="preserve">Click→Install</t>
  </si>
  <si>
    <t xml:space="preserve">Doanh thu tính ($)</t>
  </si>
  <si>
    <t xml:space="preserve">$ / 1.000 reach</t>
  </si>
  <si>
    <t xml:space="preserve">Phút công dùng</t>
  </si>
  <si>
    <t xml:space="preserve">E1-P1-000</t>
  </si>
  <si>
    <t xml:space="preserve">EXP1</t>
  </si>
  <si>
    <t xml:space="preserve">S1</t>
  </si>
  <si>
    <t xml:space="preserve">AI tự động</t>
  </si>
  <si>
    <t xml:space="preserve">VÍ DỤ: "Rejected mate" — hook về cảnh bị từ chối trước bầy</t>
  </si>
  <si>
    <t xml:space="preserve">facebook.com/…/posts/123</t>
  </si>
  <si>
    <t xml:space="preserve">← DÒNG VÍ DỤ, không tính vào kết quả</t>
  </si>
  <si>
    <t xml:space="preserve">E1-P1-001</t>
  </si>
  <si>
    <t xml:space="preserve">E1-P1-002</t>
  </si>
  <si>
    <t xml:space="preserve">S2</t>
  </si>
  <si>
    <t xml:space="preserve">E1-P2-001</t>
  </si>
  <si>
    <t xml:space="preserve">E1-P2-002</t>
  </si>
  <si>
    <t xml:space="preserve">E1-P3-001</t>
  </si>
  <si>
    <t xml:space="preserve">E1-P3-002</t>
  </si>
  <si>
    <t xml:space="preserve">E1-P4-001</t>
  </si>
  <si>
    <t xml:space="preserve">E1-P4-002</t>
  </si>
  <si>
    <t xml:space="preserve">E1-P5-001</t>
  </si>
  <si>
    <t xml:space="preserve">E1-P5-002</t>
  </si>
  <si>
    <t xml:space="preserve">E1-P6-001</t>
  </si>
  <si>
    <t xml:space="preserve">E1-P6-002</t>
  </si>
  <si>
    <t xml:space="preserve">E1-P1-003</t>
  </si>
  <si>
    <t xml:space="preserve">E1-P1-004</t>
  </si>
  <si>
    <t xml:space="preserve">E1-P2-003</t>
  </si>
  <si>
    <t xml:space="preserve">E1-P2-004</t>
  </si>
  <si>
    <t xml:space="preserve">E1-P3-003</t>
  </si>
  <si>
    <t xml:space="preserve">E1-P3-004</t>
  </si>
  <si>
    <t xml:space="preserve">E1-P4-003</t>
  </si>
  <si>
    <t xml:space="preserve">E1-P4-004</t>
  </si>
  <si>
    <t xml:space="preserve">E1-P5-003</t>
  </si>
  <si>
    <t xml:space="preserve">E1-P5-004</t>
  </si>
  <si>
    <t xml:space="preserve">E1-P6-003</t>
  </si>
  <si>
    <t xml:space="preserve">E1-P6-004</t>
  </si>
  <si>
    <t xml:space="preserve">E1-P1-005</t>
  </si>
  <si>
    <t xml:space="preserve">E1-P1-006</t>
  </si>
  <si>
    <t xml:space="preserve">E1-P2-005</t>
  </si>
  <si>
    <t xml:space="preserve">E1-P2-006</t>
  </si>
  <si>
    <t xml:space="preserve">E1-P3-005</t>
  </si>
  <si>
    <t xml:space="preserve">E1-P3-006</t>
  </si>
  <si>
    <t xml:space="preserve">E1-P4-005</t>
  </si>
  <si>
    <t xml:space="preserve">E1-P4-006</t>
  </si>
  <si>
    <t xml:space="preserve">E1-P5-005</t>
  </si>
  <si>
    <t xml:space="preserve">E1-P5-006</t>
  </si>
  <si>
    <t xml:space="preserve">E1-P6-005</t>
  </si>
  <si>
    <t xml:space="preserve">E1-P6-006</t>
  </si>
  <si>
    <t xml:space="preserve">E1-P1-007</t>
  </si>
  <si>
    <t xml:space="preserve">E1-P1-008</t>
  </si>
  <si>
    <t xml:space="preserve">E1-P2-007</t>
  </si>
  <si>
    <t xml:space="preserve">E1-P2-008</t>
  </si>
  <si>
    <t xml:space="preserve">E1-P3-007</t>
  </si>
  <si>
    <t xml:space="preserve">E1-P3-008</t>
  </si>
  <si>
    <t xml:space="preserve">E1-P4-007</t>
  </si>
  <si>
    <t xml:space="preserve">E1-P4-008</t>
  </si>
  <si>
    <t xml:space="preserve">E1-P5-007</t>
  </si>
  <si>
    <t xml:space="preserve">E1-P5-008</t>
  </si>
  <si>
    <t xml:space="preserve">E1-P6-007</t>
  </si>
  <si>
    <t xml:space="preserve">E1-P6-008</t>
  </si>
  <si>
    <t xml:space="preserve">E1-P1-009</t>
  </si>
  <si>
    <t xml:space="preserve">E1-P1-010</t>
  </si>
  <si>
    <t xml:space="preserve">E1-P2-009</t>
  </si>
  <si>
    <t xml:space="preserve">E1-P2-010</t>
  </si>
  <si>
    <t xml:space="preserve">E1-P3-009</t>
  </si>
  <si>
    <t xml:space="preserve">E1-P3-010</t>
  </si>
  <si>
    <t xml:space="preserve">E1-P4-009</t>
  </si>
  <si>
    <t xml:space="preserve">E1-P4-010</t>
  </si>
  <si>
    <t xml:space="preserve">E1-P5-009</t>
  </si>
  <si>
    <t xml:space="preserve">E1-P5-010</t>
  </si>
  <si>
    <t xml:space="preserve">E1-P6-009</t>
  </si>
  <si>
    <t xml:space="preserve">E1-P6-010</t>
  </si>
  <si>
    <t xml:space="preserve">E1-P1-011</t>
  </si>
  <si>
    <t xml:space="preserve">E1-P1-012</t>
  </si>
  <si>
    <t xml:space="preserve">E1-P2-011</t>
  </si>
  <si>
    <t xml:space="preserve">E1-P2-012</t>
  </si>
  <si>
    <t xml:space="preserve">E1-P3-011</t>
  </si>
  <si>
    <t xml:space="preserve">E1-P3-012</t>
  </si>
  <si>
    <t xml:space="preserve">E1-P4-011</t>
  </si>
  <si>
    <t xml:space="preserve">E1-P4-012</t>
  </si>
  <si>
    <t xml:space="preserve">E1-P5-011</t>
  </si>
  <si>
    <t xml:space="preserve">E1-P5-012</t>
  </si>
  <si>
    <t xml:space="preserve">E1-P6-011</t>
  </si>
  <si>
    <t xml:space="preserve">E1-P6-012</t>
  </si>
  <si>
    <t xml:space="preserve">E1-P1-013</t>
  </si>
  <si>
    <t xml:space="preserve">E1-P1-014</t>
  </si>
  <si>
    <t xml:space="preserve">E1-P2-013</t>
  </si>
  <si>
    <t xml:space="preserve">E1-P2-014</t>
  </si>
  <si>
    <t xml:space="preserve">E1-P3-013</t>
  </si>
  <si>
    <t xml:space="preserve">E1-P3-014</t>
  </si>
  <si>
    <t xml:space="preserve">E1-P4-013</t>
  </si>
  <si>
    <t xml:space="preserve">E1-P4-014</t>
  </si>
  <si>
    <t xml:space="preserve">E1-P5-013</t>
  </si>
  <si>
    <t xml:space="preserve">E1-P5-014</t>
  </si>
  <si>
    <t xml:space="preserve">E1-P6-013</t>
  </si>
  <si>
    <t xml:space="preserve">E1-P6-014</t>
  </si>
  <si>
    <t xml:space="preserve">E1-P1-015</t>
  </si>
  <si>
    <t xml:space="preserve">E1-P1-016</t>
  </si>
  <si>
    <t xml:space="preserve">E1-P2-015</t>
  </si>
  <si>
    <t xml:space="preserve">E1-P2-016</t>
  </si>
  <si>
    <t xml:space="preserve">E1-P3-015</t>
  </si>
  <si>
    <t xml:space="preserve">E1-P3-016</t>
  </si>
  <si>
    <t xml:space="preserve">E1-P4-015</t>
  </si>
  <si>
    <t xml:space="preserve">E1-P4-016</t>
  </si>
  <si>
    <t xml:space="preserve">E1-P5-015</t>
  </si>
  <si>
    <t xml:space="preserve">E1-P5-016</t>
  </si>
  <si>
    <t xml:space="preserve">E1-P6-015</t>
  </si>
  <si>
    <t xml:space="preserve">E1-P6-016</t>
  </si>
  <si>
    <t xml:space="preserve">E1-P1-017</t>
  </si>
  <si>
    <t xml:space="preserve">E1-P1-018</t>
  </si>
  <si>
    <t xml:space="preserve">E1-P2-017</t>
  </si>
  <si>
    <t xml:space="preserve">E1-P2-018</t>
  </si>
  <si>
    <t xml:space="preserve">E1-P3-017</t>
  </si>
  <si>
    <t xml:space="preserve">E1-P3-018</t>
  </si>
  <si>
    <t xml:space="preserve">E1-P4-017</t>
  </si>
  <si>
    <t xml:space="preserve">E1-P4-018</t>
  </si>
  <si>
    <t xml:space="preserve">E1-P5-017</t>
  </si>
  <si>
    <t xml:space="preserve">E1-P5-018</t>
  </si>
  <si>
    <t xml:space="preserve">E1-P6-017</t>
  </si>
  <si>
    <t xml:space="preserve">E1-P6-018</t>
  </si>
  <si>
    <t xml:space="preserve">E1-P1-019</t>
  </si>
  <si>
    <t xml:space="preserve">E1-P1-020</t>
  </si>
  <si>
    <t xml:space="preserve">E1-P2-019</t>
  </si>
  <si>
    <t xml:space="preserve">E1-P2-020</t>
  </si>
  <si>
    <t xml:space="preserve">E1-P3-019</t>
  </si>
  <si>
    <t xml:space="preserve">E1-P3-020</t>
  </si>
  <si>
    <t xml:space="preserve">E1-P4-019</t>
  </si>
  <si>
    <t xml:space="preserve">E1-P4-020</t>
  </si>
  <si>
    <t xml:space="preserve">E1-P5-019</t>
  </si>
  <si>
    <t xml:space="preserve">E1-P5-020</t>
  </si>
  <si>
    <t xml:space="preserve">E1-P6-019</t>
  </si>
  <si>
    <t xml:space="preserve">E1-P6-020</t>
  </si>
  <si>
    <t xml:space="preserve">E1-P1-021</t>
  </si>
  <si>
    <t xml:space="preserve">E1-P1-022</t>
  </si>
  <si>
    <t xml:space="preserve">E1-P2-021</t>
  </si>
  <si>
    <t xml:space="preserve">E1-P2-022</t>
  </si>
  <si>
    <t xml:space="preserve">E1-P3-021</t>
  </si>
  <si>
    <t xml:space="preserve">E1-P3-022</t>
  </si>
  <si>
    <t xml:space="preserve">E1-P4-021</t>
  </si>
  <si>
    <t xml:space="preserve">E1-P4-022</t>
  </si>
  <si>
    <t xml:space="preserve">E1-P5-021</t>
  </si>
  <si>
    <t xml:space="preserve">E1-P5-022</t>
  </si>
  <si>
    <t xml:space="preserve">E1-P6-021</t>
  </si>
  <si>
    <t xml:space="preserve">E1-P6-022</t>
  </si>
  <si>
    <t xml:space="preserve">E1-P1-023</t>
  </si>
  <si>
    <t xml:space="preserve">E1-P1-024</t>
  </si>
  <si>
    <t xml:space="preserve">E1-P2-023</t>
  </si>
  <si>
    <t xml:space="preserve">E1-P2-024</t>
  </si>
  <si>
    <t xml:space="preserve">E1-P3-023</t>
  </si>
  <si>
    <t xml:space="preserve">E1-P3-024</t>
  </si>
  <si>
    <t xml:space="preserve">E1-P4-023</t>
  </si>
  <si>
    <t xml:space="preserve">E1-P4-024</t>
  </si>
  <si>
    <t xml:space="preserve">E1-P5-023</t>
  </si>
  <si>
    <t xml:space="preserve">E1-P5-024</t>
  </si>
  <si>
    <t xml:space="preserve">E1-P6-023</t>
  </si>
  <si>
    <t xml:space="preserve">E1-P6-024</t>
  </si>
  <si>
    <t xml:space="preserve">E1-P1-025</t>
  </si>
  <si>
    <t xml:space="preserve">E1-P1-026</t>
  </si>
  <si>
    <t xml:space="preserve">E1-P2-025</t>
  </si>
  <si>
    <t xml:space="preserve">E1-P2-026</t>
  </si>
  <si>
    <t xml:space="preserve">E1-P3-025</t>
  </si>
  <si>
    <t xml:space="preserve">E1-P3-026</t>
  </si>
  <si>
    <t xml:space="preserve">E1-P4-025</t>
  </si>
  <si>
    <t xml:space="preserve">E1-P4-026</t>
  </si>
  <si>
    <t xml:space="preserve">E1-P5-025</t>
  </si>
  <si>
    <t xml:space="preserve">E1-P5-026</t>
  </si>
  <si>
    <t xml:space="preserve">E1-P6-025</t>
  </si>
  <si>
    <t xml:space="preserve">E1-P6-026</t>
  </si>
  <si>
    <t xml:space="preserve">E1-P1-027</t>
  </si>
  <si>
    <t xml:space="preserve">E1-P1-028</t>
  </si>
  <si>
    <t xml:space="preserve">E1-P2-027</t>
  </si>
  <si>
    <t xml:space="preserve">E1-P2-028</t>
  </si>
  <si>
    <t xml:space="preserve">E1-P3-027</t>
  </si>
  <si>
    <t xml:space="preserve">E1-P3-028</t>
  </si>
  <si>
    <t xml:space="preserve">E1-P4-027</t>
  </si>
  <si>
    <t xml:space="preserve">E1-P4-028</t>
  </si>
  <si>
    <t xml:space="preserve">E1-P5-027</t>
  </si>
  <si>
    <t xml:space="preserve">E1-P5-028</t>
  </si>
  <si>
    <t xml:space="preserve">E1-P6-027</t>
  </si>
  <si>
    <t xml:space="preserve">E1-P6-028</t>
  </si>
  <si>
    <t xml:space="preserve">E1-P1-029</t>
  </si>
  <si>
    <t xml:space="preserve">E1-P1-030</t>
  </si>
  <si>
    <t xml:space="preserve">E1-P2-029</t>
  </si>
  <si>
    <t xml:space="preserve">E1-P2-030</t>
  </si>
  <si>
    <t xml:space="preserve">E1-P3-029</t>
  </si>
  <si>
    <t xml:space="preserve">E1-P3-030</t>
  </si>
  <si>
    <t xml:space="preserve">E1-P4-029</t>
  </si>
  <si>
    <t xml:space="preserve">E1-P4-030</t>
  </si>
  <si>
    <t xml:space="preserve">E1-P5-029</t>
  </si>
  <si>
    <t xml:space="preserve">E1-P5-030</t>
  </si>
  <si>
    <t xml:space="preserve">E1-P6-029</t>
  </si>
  <si>
    <t xml:space="preserve">E1-P6-030</t>
  </si>
  <si>
    <t xml:space="preserve">E1-P1-031</t>
  </si>
  <si>
    <t xml:space="preserve">E1-P1-032</t>
  </si>
  <si>
    <t xml:space="preserve">E1-P2-031</t>
  </si>
  <si>
    <t xml:space="preserve">E1-P2-032</t>
  </si>
  <si>
    <t xml:space="preserve">E1-P3-031</t>
  </si>
  <si>
    <t xml:space="preserve">E1-P3-032</t>
  </si>
  <si>
    <t xml:space="preserve">E1-P4-031</t>
  </si>
  <si>
    <t xml:space="preserve">E1-P4-032</t>
  </si>
  <si>
    <t xml:space="preserve">E1-P5-031</t>
  </si>
  <si>
    <t xml:space="preserve">E1-P5-032</t>
  </si>
  <si>
    <t xml:space="preserve">E1-P6-031</t>
  </si>
  <si>
    <t xml:space="preserve">E1-P6-032</t>
  </si>
  <si>
    <t xml:space="preserve">E1-P1-033</t>
  </si>
  <si>
    <t xml:space="preserve">E1-P1-034</t>
  </si>
  <si>
    <t xml:space="preserve">E1-P2-033</t>
  </si>
  <si>
    <t xml:space="preserve">E1-P2-034</t>
  </si>
  <si>
    <t xml:space="preserve">E1-P3-033</t>
  </si>
  <si>
    <t xml:space="preserve">E1-P3-034</t>
  </si>
  <si>
    <t xml:space="preserve">E1-P4-033</t>
  </si>
  <si>
    <t xml:space="preserve">E1-P4-034</t>
  </si>
  <si>
    <t xml:space="preserve">E1-P5-033</t>
  </si>
  <si>
    <t xml:space="preserve">E1-P5-034</t>
  </si>
  <si>
    <t xml:space="preserve">E1-P6-033</t>
  </si>
  <si>
    <t xml:space="preserve">E1-P6-034</t>
  </si>
  <si>
    <t xml:space="preserve">E1-P1-035</t>
  </si>
  <si>
    <t xml:space="preserve">E1-P1-036</t>
  </si>
  <si>
    <t xml:space="preserve">E1-P2-035</t>
  </si>
  <si>
    <t xml:space="preserve">E1-P2-036</t>
  </si>
  <si>
    <t xml:space="preserve">E1-P3-035</t>
  </si>
  <si>
    <t xml:space="preserve">E1-P3-036</t>
  </si>
  <si>
    <t xml:space="preserve">E1-P4-035</t>
  </si>
  <si>
    <t xml:space="preserve">E1-P4-036</t>
  </si>
  <si>
    <t xml:space="preserve">E1-P5-035</t>
  </si>
  <si>
    <t xml:space="preserve">E1-P5-036</t>
  </si>
  <si>
    <t xml:space="preserve">E1-P6-035</t>
  </si>
  <si>
    <t xml:space="preserve">E1-P6-036</t>
  </si>
  <si>
    <t xml:space="preserve">E1-P1-037</t>
  </si>
  <si>
    <t xml:space="preserve">E1-P1-038</t>
  </si>
  <si>
    <t xml:space="preserve">E1-P2-037</t>
  </si>
  <si>
    <t xml:space="preserve">E1-P2-038</t>
  </si>
  <si>
    <t xml:space="preserve">E1-P3-037</t>
  </si>
  <si>
    <t xml:space="preserve">E1-P3-038</t>
  </si>
  <si>
    <t xml:space="preserve">E1-P4-037</t>
  </si>
  <si>
    <t xml:space="preserve">E1-P4-038</t>
  </si>
  <si>
    <t xml:space="preserve">E1-P5-037</t>
  </si>
  <si>
    <t xml:space="preserve">E1-P5-038</t>
  </si>
  <si>
    <t xml:space="preserve">E1-P6-037</t>
  </si>
  <si>
    <t xml:space="preserve">E1-P6-038</t>
  </si>
  <si>
    <t xml:space="preserve">E1-P1-039</t>
  </si>
  <si>
    <t xml:space="preserve">E1-P1-040</t>
  </si>
  <si>
    <t xml:space="preserve">E1-P2-039</t>
  </si>
  <si>
    <t xml:space="preserve">E1-P2-040</t>
  </si>
  <si>
    <t xml:space="preserve">E1-P3-039</t>
  </si>
  <si>
    <t xml:space="preserve">E1-P3-040</t>
  </si>
  <si>
    <t xml:space="preserve">E1-P4-039</t>
  </si>
  <si>
    <t xml:space="preserve">E1-P4-040</t>
  </si>
  <si>
    <t xml:space="preserve">E1-P5-039</t>
  </si>
  <si>
    <t xml:space="preserve">E1-P5-040</t>
  </si>
  <si>
    <t xml:space="preserve">E1-P6-039</t>
  </si>
  <si>
    <t xml:space="preserve">E1-P6-040</t>
  </si>
  <si>
    <t xml:space="preserve">E1-P1-041</t>
  </si>
  <si>
    <t xml:space="preserve">E1-P1-042</t>
  </si>
  <si>
    <t xml:space="preserve">E1-P2-041</t>
  </si>
  <si>
    <t xml:space="preserve">E1-P2-042</t>
  </si>
  <si>
    <t xml:space="preserve">E1-P3-041</t>
  </si>
  <si>
    <t xml:space="preserve">E1-P3-042</t>
  </si>
  <si>
    <t xml:space="preserve">E1-P4-041</t>
  </si>
  <si>
    <t xml:space="preserve">E1-P4-042</t>
  </si>
  <si>
    <t xml:space="preserve">E1-P5-041</t>
  </si>
  <si>
    <t xml:space="preserve">E1-P5-042</t>
  </si>
  <si>
    <t xml:space="preserve">E1-P6-041</t>
  </si>
  <si>
    <t xml:space="preserve">E1-P6-042</t>
  </si>
  <si>
    <t xml:space="preserve">E2-P1-001</t>
  </si>
  <si>
    <t xml:space="preserve">EXP2</t>
  </si>
  <si>
    <t xml:space="preserve">B</t>
  </si>
  <si>
    <t xml:space="preserve">E2-P1-002</t>
  </si>
  <si>
    <t xml:space="preserve">C</t>
  </si>
  <si>
    <t xml:space="preserve">E2-P2-001</t>
  </si>
  <si>
    <t xml:space="preserve">E2-P2-002</t>
  </si>
  <si>
    <t xml:space="preserve">E2-P3-001</t>
  </si>
  <si>
    <t xml:space="preserve">E2-P3-002</t>
  </si>
  <si>
    <t xml:space="preserve">E2-P4-001</t>
  </si>
  <si>
    <t xml:space="preserve">E2-P4-002</t>
  </si>
  <si>
    <t xml:space="preserve">E2-P5-001</t>
  </si>
  <si>
    <t xml:space="preserve">E2-P5-002</t>
  </si>
  <si>
    <t xml:space="preserve">E2-P6-001</t>
  </si>
  <si>
    <t xml:space="preserve">E2-P6-002</t>
  </si>
  <si>
    <t xml:space="preserve">E2-P1-003</t>
  </si>
  <si>
    <t xml:space="preserve">E2-P1-004</t>
  </si>
  <si>
    <t xml:space="preserve">E2-P2-003</t>
  </si>
  <si>
    <t xml:space="preserve">E2-P2-004</t>
  </si>
  <si>
    <t xml:space="preserve">E2-P3-003</t>
  </si>
  <si>
    <t xml:space="preserve">E2-P3-004</t>
  </si>
  <si>
    <t xml:space="preserve">E2-P4-003</t>
  </si>
  <si>
    <t xml:space="preserve">E2-P4-004</t>
  </si>
  <si>
    <t xml:space="preserve">E2-P5-003</t>
  </si>
  <si>
    <t xml:space="preserve">E2-P5-004</t>
  </si>
  <si>
    <t xml:space="preserve">E2-P6-003</t>
  </si>
  <si>
    <t xml:space="preserve">E2-P6-004</t>
  </si>
  <si>
    <t xml:space="preserve">E2-P1-005</t>
  </si>
  <si>
    <t xml:space="preserve">E2-P1-006</t>
  </si>
  <si>
    <t xml:space="preserve">E2-P2-005</t>
  </si>
  <si>
    <t xml:space="preserve">E2-P2-006</t>
  </si>
  <si>
    <t xml:space="preserve">E2-P3-005</t>
  </si>
  <si>
    <t xml:space="preserve">E2-P3-006</t>
  </si>
  <si>
    <t xml:space="preserve">E2-P4-005</t>
  </si>
  <si>
    <t xml:space="preserve">E2-P4-006</t>
  </si>
  <si>
    <t xml:space="preserve">E2-P5-005</t>
  </si>
  <si>
    <t xml:space="preserve">E2-P5-006</t>
  </si>
  <si>
    <t xml:space="preserve">E2-P6-005</t>
  </si>
  <si>
    <t xml:space="preserve">E2-P6-006</t>
  </si>
  <si>
    <t xml:space="preserve">E2-P1-007</t>
  </si>
  <si>
    <t xml:space="preserve">E2-P1-008</t>
  </si>
  <si>
    <t xml:space="preserve">E2-P2-007</t>
  </si>
  <si>
    <t xml:space="preserve">E2-P2-008</t>
  </si>
  <si>
    <t xml:space="preserve">E2-P3-007</t>
  </si>
  <si>
    <t xml:space="preserve">E2-P3-008</t>
  </si>
  <si>
    <t xml:space="preserve">E2-P4-007</t>
  </si>
  <si>
    <t xml:space="preserve">E2-P4-008</t>
  </si>
  <si>
    <t xml:space="preserve">E2-P5-007</t>
  </si>
  <si>
    <t xml:space="preserve">E2-P5-008</t>
  </si>
  <si>
    <t xml:space="preserve">E2-P6-007</t>
  </si>
  <si>
    <t xml:space="preserve">E2-P6-008</t>
  </si>
  <si>
    <t xml:space="preserve">E2-P1-009</t>
  </si>
  <si>
    <t xml:space="preserve">E2-P1-010</t>
  </si>
  <si>
    <t xml:space="preserve">E2-P2-009</t>
  </si>
  <si>
    <t xml:space="preserve">E2-P2-010</t>
  </si>
  <si>
    <t xml:space="preserve">E2-P3-009</t>
  </si>
  <si>
    <t xml:space="preserve">E2-P3-010</t>
  </si>
  <si>
    <t xml:space="preserve">E2-P4-009</t>
  </si>
  <si>
    <t xml:space="preserve">E2-P4-010</t>
  </si>
  <si>
    <t xml:space="preserve">E2-P5-009</t>
  </si>
  <si>
    <t xml:space="preserve">E2-P5-010</t>
  </si>
  <si>
    <t xml:space="preserve">E2-P6-009</t>
  </si>
  <si>
    <t xml:space="preserve">E2-P6-010</t>
  </si>
  <si>
    <t xml:space="preserve">E2-P1-011</t>
  </si>
  <si>
    <t xml:space="preserve">E2-P1-012</t>
  </si>
  <si>
    <t xml:space="preserve">E2-P2-011</t>
  </si>
  <si>
    <t xml:space="preserve">E2-P2-012</t>
  </si>
  <si>
    <t xml:space="preserve">E2-P3-011</t>
  </si>
  <si>
    <t xml:space="preserve">E2-P3-012</t>
  </si>
  <si>
    <t xml:space="preserve">E2-P4-011</t>
  </si>
  <si>
    <t xml:space="preserve">E2-P4-012</t>
  </si>
  <si>
    <t xml:space="preserve">E2-P5-011</t>
  </si>
  <si>
    <t xml:space="preserve">E2-P5-012</t>
  </si>
  <si>
    <t xml:space="preserve">E2-P6-011</t>
  </si>
  <si>
    <t xml:space="preserve">E2-P6-012</t>
  </si>
  <si>
    <t xml:space="preserve">E2-P1-013</t>
  </si>
  <si>
    <t xml:space="preserve">E2-P1-014</t>
  </si>
  <si>
    <t xml:space="preserve">E2-P2-013</t>
  </si>
  <si>
    <t xml:space="preserve">E2-P2-014</t>
  </si>
  <si>
    <t xml:space="preserve">E2-P3-013</t>
  </si>
  <si>
    <t xml:space="preserve">E2-P3-014</t>
  </si>
  <si>
    <t xml:space="preserve">E2-P4-013</t>
  </si>
  <si>
    <t xml:space="preserve">E2-P4-014</t>
  </si>
  <si>
    <t xml:space="preserve">E2-P5-013</t>
  </si>
  <si>
    <t xml:space="preserve">E2-P5-014</t>
  </si>
  <si>
    <t xml:space="preserve">E2-P6-013</t>
  </si>
  <si>
    <t xml:space="preserve">E2-P6-014</t>
  </si>
  <si>
    <t xml:space="preserve">E2-P1-015</t>
  </si>
  <si>
    <t xml:space="preserve">E2-P1-016</t>
  </si>
  <si>
    <t xml:space="preserve">E2-P2-015</t>
  </si>
  <si>
    <t xml:space="preserve">E2-P2-016</t>
  </si>
  <si>
    <t xml:space="preserve">E2-P3-015</t>
  </si>
  <si>
    <t xml:space="preserve">E2-P3-016</t>
  </si>
  <si>
    <t xml:space="preserve">E2-P4-015</t>
  </si>
  <si>
    <t xml:space="preserve">E2-P4-016</t>
  </si>
  <si>
    <t xml:space="preserve">E2-P5-015</t>
  </si>
  <si>
    <t xml:space="preserve">E2-P5-016</t>
  </si>
  <si>
    <t xml:space="preserve">E2-P6-015</t>
  </si>
  <si>
    <t xml:space="preserve">E2-P6-016</t>
  </si>
  <si>
    <t xml:space="preserve">E2-P1-017</t>
  </si>
  <si>
    <t xml:space="preserve">E2-P1-018</t>
  </si>
  <si>
    <t xml:space="preserve">E2-P2-017</t>
  </si>
  <si>
    <t xml:space="preserve">E2-P2-018</t>
  </si>
  <si>
    <t xml:space="preserve">E2-P3-017</t>
  </si>
  <si>
    <t xml:space="preserve">E2-P3-018</t>
  </si>
  <si>
    <t xml:space="preserve">E2-P4-017</t>
  </si>
  <si>
    <t xml:space="preserve">E2-P4-018</t>
  </si>
  <si>
    <t xml:space="preserve">E2-P5-017</t>
  </si>
  <si>
    <t xml:space="preserve">E2-P5-018</t>
  </si>
  <si>
    <t xml:space="preserve">E2-P6-017</t>
  </si>
  <si>
    <t xml:space="preserve">E2-P6-018</t>
  </si>
  <si>
    <t xml:space="preserve">E2-P1-019</t>
  </si>
  <si>
    <t xml:space="preserve">E2-P1-020</t>
  </si>
  <si>
    <t xml:space="preserve">E2-P2-019</t>
  </si>
  <si>
    <t xml:space="preserve">E2-P2-020</t>
  </si>
  <si>
    <t xml:space="preserve">E2-P3-019</t>
  </si>
  <si>
    <t xml:space="preserve">E2-P3-020</t>
  </si>
  <si>
    <t xml:space="preserve">E2-P4-019</t>
  </si>
  <si>
    <t xml:space="preserve">E2-P4-020</t>
  </si>
  <si>
    <t xml:space="preserve">E2-P5-019</t>
  </si>
  <si>
    <t xml:space="preserve">E2-P5-020</t>
  </si>
  <si>
    <t xml:space="preserve">E2-P6-019</t>
  </si>
  <si>
    <t xml:space="preserve">E2-P6-020</t>
  </si>
  <si>
    <t xml:space="preserve">E2-P1-021</t>
  </si>
  <si>
    <t xml:space="preserve">E2-P1-022</t>
  </si>
  <si>
    <t xml:space="preserve">E2-P2-021</t>
  </si>
  <si>
    <t xml:space="preserve">E2-P2-022</t>
  </si>
  <si>
    <t xml:space="preserve">E2-P3-021</t>
  </si>
  <si>
    <t xml:space="preserve">E2-P3-022</t>
  </si>
  <si>
    <t xml:space="preserve">E2-P4-021</t>
  </si>
  <si>
    <t xml:space="preserve">E2-P4-022</t>
  </si>
  <si>
    <t xml:space="preserve">E2-P5-021</t>
  </si>
  <si>
    <t xml:space="preserve">E2-P5-022</t>
  </si>
  <si>
    <t xml:space="preserve">E2-P6-021</t>
  </si>
  <si>
    <t xml:space="preserve">E2-P6-022</t>
  </si>
  <si>
    <t xml:space="preserve">E2-P1-023</t>
  </si>
  <si>
    <t xml:space="preserve">E2-P1-024</t>
  </si>
  <si>
    <t xml:space="preserve">E2-P2-023</t>
  </si>
  <si>
    <t xml:space="preserve">E2-P2-024</t>
  </si>
  <si>
    <t xml:space="preserve">E2-P3-023</t>
  </si>
  <si>
    <t xml:space="preserve">E2-P3-024</t>
  </si>
  <si>
    <t xml:space="preserve">E2-P4-023</t>
  </si>
  <si>
    <t xml:space="preserve">E2-P4-024</t>
  </si>
  <si>
    <t xml:space="preserve">E2-P5-023</t>
  </si>
  <si>
    <t xml:space="preserve">E2-P5-024</t>
  </si>
  <si>
    <t xml:space="preserve">E2-P6-023</t>
  </si>
  <si>
    <t xml:space="preserve">E2-P6-024</t>
  </si>
  <si>
    <t xml:space="preserve">E2-P1-025</t>
  </si>
  <si>
    <t xml:space="preserve">E2-P1-026</t>
  </si>
  <si>
    <t xml:space="preserve">E2-P2-025</t>
  </si>
  <si>
    <t xml:space="preserve">E2-P2-026</t>
  </si>
  <si>
    <t xml:space="preserve">E2-P3-025</t>
  </si>
  <si>
    <t xml:space="preserve">E2-P3-026</t>
  </si>
  <si>
    <t xml:space="preserve">E2-P4-025</t>
  </si>
  <si>
    <t xml:space="preserve">E2-P4-026</t>
  </si>
  <si>
    <t xml:space="preserve">E2-P5-025</t>
  </si>
  <si>
    <t xml:space="preserve">E2-P5-026</t>
  </si>
  <si>
    <t xml:space="preserve">E2-P6-025</t>
  </si>
  <si>
    <t xml:space="preserve">E2-P6-026</t>
  </si>
  <si>
    <t xml:space="preserve">E2-P1-027</t>
  </si>
  <si>
    <t xml:space="preserve">E2-P1-028</t>
  </si>
  <si>
    <t xml:space="preserve">E2-P2-027</t>
  </si>
  <si>
    <t xml:space="preserve">E2-P2-028</t>
  </si>
  <si>
    <t xml:space="preserve">E2-P3-027</t>
  </si>
  <si>
    <t xml:space="preserve">E2-P3-028</t>
  </si>
  <si>
    <t xml:space="preserve">E2-P4-027</t>
  </si>
  <si>
    <t xml:space="preserve">E2-P4-028</t>
  </si>
  <si>
    <t xml:space="preserve">E2-P5-027</t>
  </si>
  <si>
    <t xml:space="preserve">E2-P5-028</t>
  </si>
  <si>
    <t xml:space="preserve">E2-P6-027</t>
  </si>
  <si>
    <t xml:space="preserve">E2-P6-028</t>
  </si>
  <si>
    <t xml:space="preserve">E2-P1-029</t>
  </si>
  <si>
    <t xml:space="preserve">E2-P1-030</t>
  </si>
  <si>
    <t xml:space="preserve">E2-P2-029</t>
  </si>
  <si>
    <t xml:space="preserve">E2-P2-030</t>
  </si>
  <si>
    <t xml:space="preserve">E2-P3-029</t>
  </si>
  <si>
    <t xml:space="preserve">E2-P3-030</t>
  </si>
  <si>
    <t xml:space="preserve">E2-P4-029</t>
  </si>
  <si>
    <t xml:space="preserve">E2-P4-030</t>
  </si>
  <si>
    <t xml:space="preserve">E2-P5-029</t>
  </si>
  <si>
    <t xml:space="preserve">E2-P5-030</t>
  </si>
  <si>
    <t xml:space="preserve">E2-P6-029</t>
  </si>
  <si>
    <t xml:space="preserve">E2-P6-030</t>
  </si>
  <si>
    <t xml:space="preserve">E2-P1-031</t>
  </si>
  <si>
    <t xml:space="preserve">E2-P1-032</t>
  </si>
  <si>
    <t xml:space="preserve">E2-P2-031</t>
  </si>
  <si>
    <t xml:space="preserve">E2-P2-032</t>
  </si>
  <si>
    <t xml:space="preserve">E2-P3-031</t>
  </si>
  <si>
    <t xml:space="preserve">E2-P3-032</t>
  </si>
  <si>
    <t xml:space="preserve">E2-P4-031</t>
  </si>
  <si>
    <t xml:space="preserve">E2-P4-032</t>
  </si>
  <si>
    <t xml:space="preserve">E2-P5-031</t>
  </si>
  <si>
    <t xml:space="preserve">E2-P5-032</t>
  </si>
  <si>
    <t xml:space="preserve">E2-P6-031</t>
  </si>
  <si>
    <t xml:space="preserve">E2-P6-032</t>
  </si>
  <si>
    <t xml:space="preserve">E2-P1-033</t>
  </si>
  <si>
    <t xml:space="preserve">E2-P1-034</t>
  </si>
  <si>
    <t xml:space="preserve">E2-P2-033</t>
  </si>
  <si>
    <t xml:space="preserve">E2-P2-034</t>
  </si>
  <si>
    <t xml:space="preserve">E2-P3-033</t>
  </si>
  <si>
    <t xml:space="preserve">E2-P3-034</t>
  </si>
  <si>
    <t xml:space="preserve">E2-P4-033</t>
  </si>
  <si>
    <t xml:space="preserve">E2-P4-034</t>
  </si>
  <si>
    <t xml:space="preserve">E2-P5-033</t>
  </si>
  <si>
    <t xml:space="preserve">E2-P5-034</t>
  </si>
  <si>
    <t xml:space="preserve">E2-P6-033</t>
  </si>
  <si>
    <t xml:space="preserve">E2-P6-034</t>
  </si>
  <si>
    <t xml:space="preserve">E2-P1-035</t>
  </si>
  <si>
    <t xml:space="preserve">E2-P1-036</t>
  </si>
  <si>
    <t xml:space="preserve">E2-P2-035</t>
  </si>
  <si>
    <t xml:space="preserve">E2-P2-036</t>
  </si>
  <si>
    <t xml:space="preserve">E2-P3-035</t>
  </si>
  <si>
    <t xml:space="preserve">E2-P3-036</t>
  </si>
  <si>
    <t xml:space="preserve">E2-P4-035</t>
  </si>
  <si>
    <t xml:space="preserve">E2-P4-036</t>
  </si>
  <si>
    <t xml:space="preserve">E2-P5-035</t>
  </si>
  <si>
    <t xml:space="preserve">E2-P5-036</t>
  </si>
  <si>
    <t xml:space="preserve">E2-P6-035</t>
  </si>
  <si>
    <t xml:space="preserve">E2-P6-036</t>
  </si>
  <si>
    <t xml:space="preserve">E2-P1-037</t>
  </si>
  <si>
    <t xml:space="preserve">E2-P1-038</t>
  </si>
  <si>
    <t xml:space="preserve">E2-P2-037</t>
  </si>
  <si>
    <t xml:space="preserve">E2-P2-038</t>
  </si>
  <si>
    <t xml:space="preserve">E2-P3-037</t>
  </si>
  <si>
    <t xml:space="preserve">E2-P3-038</t>
  </si>
  <si>
    <t xml:space="preserve">E2-P4-037</t>
  </si>
  <si>
    <t xml:space="preserve">E2-P4-038</t>
  </si>
  <si>
    <t xml:space="preserve">E2-P5-037</t>
  </si>
  <si>
    <t xml:space="preserve">E2-P5-038</t>
  </si>
  <si>
    <t xml:space="preserve">E2-P6-037</t>
  </si>
  <si>
    <t xml:space="preserve">E2-P6-038</t>
  </si>
  <si>
    <t xml:space="preserve">E2-P1-039</t>
  </si>
  <si>
    <t xml:space="preserve">E2-P1-040</t>
  </si>
  <si>
    <t xml:space="preserve">E2-P2-039</t>
  </si>
  <si>
    <t xml:space="preserve">E2-P2-040</t>
  </si>
  <si>
    <t xml:space="preserve">E2-P3-039</t>
  </si>
  <si>
    <t xml:space="preserve">E2-P3-040</t>
  </si>
  <si>
    <t xml:space="preserve">E2-P4-039</t>
  </si>
  <si>
    <t xml:space="preserve">E2-P4-040</t>
  </si>
  <si>
    <t xml:space="preserve">E2-P5-039</t>
  </si>
  <si>
    <t xml:space="preserve">E2-P5-040</t>
  </si>
  <si>
    <t xml:space="preserve">E2-P6-039</t>
  </si>
  <si>
    <t xml:space="preserve">E2-P6-040</t>
  </si>
  <si>
    <t xml:space="preserve">E2-P1-041</t>
  </si>
  <si>
    <t xml:space="preserve">E2-P1-042</t>
  </si>
  <si>
    <t xml:space="preserve">E2-P2-041</t>
  </si>
  <si>
    <t xml:space="preserve">E2-P2-042</t>
  </si>
  <si>
    <t xml:space="preserve">E2-P3-041</t>
  </si>
  <si>
    <t xml:space="preserve">E2-P3-042</t>
  </si>
  <si>
    <t xml:space="preserve">E2-P4-041</t>
  </si>
  <si>
    <t xml:space="preserve">E2-P4-042</t>
  </si>
  <si>
    <t xml:space="preserve">E2-P5-041</t>
  </si>
  <si>
    <t xml:space="preserve">E2-P5-042</t>
  </si>
  <si>
    <t xml:space="preserve">E2-P6-041</t>
  </si>
  <si>
    <t xml:space="preserve">E2-P6-042</t>
  </si>
  <si>
    <t xml:space="preserve">E3-P1-001</t>
  </si>
  <si>
    <t xml:space="preserve">EXP3</t>
  </si>
  <si>
    <t xml:space="preserve">E3-P1-002</t>
  </si>
  <si>
    <t xml:space="preserve">E3-P2-001</t>
  </si>
  <si>
    <t xml:space="preserve">Human nghiên cứu</t>
  </si>
  <si>
    <t xml:space="preserve">E3-P2-002</t>
  </si>
  <si>
    <t xml:space="preserve">E3-P3-001</t>
  </si>
  <si>
    <t xml:space="preserve">E3-P3-002</t>
  </si>
  <si>
    <t xml:space="preserve">E3-P4-001</t>
  </si>
  <si>
    <t xml:space="preserve">E3-P4-002</t>
  </si>
  <si>
    <t xml:space="preserve">E3-P5-001</t>
  </si>
  <si>
    <t xml:space="preserve">E3-P5-002</t>
  </si>
  <si>
    <t xml:space="preserve">E3-P6-001</t>
  </si>
  <si>
    <t xml:space="preserve">E3-P6-002</t>
  </si>
  <si>
    <t xml:space="preserve">E3-P1-003</t>
  </si>
  <si>
    <t xml:space="preserve">E3-P1-004</t>
  </si>
  <si>
    <t xml:space="preserve">E3-P2-003</t>
  </si>
  <si>
    <t xml:space="preserve">E3-P2-004</t>
  </si>
  <si>
    <t xml:space="preserve">E3-P3-003</t>
  </si>
  <si>
    <t xml:space="preserve">E3-P3-004</t>
  </si>
  <si>
    <t xml:space="preserve">E3-P4-003</t>
  </si>
  <si>
    <t xml:space="preserve">E3-P4-004</t>
  </si>
  <si>
    <t xml:space="preserve">E3-P5-003</t>
  </si>
  <si>
    <t xml:space="preserve">E3-P5-004</t>
  </si>
  <si>
    <t xml:space="preserve">E3-P6-003</t>
  </si>
  <si>
    <t xml:space="preserve">E3-P6-004</t>
  </si>
  <si>
    <t xml:space="preserve">E3-P1-005</t>
  </si>
  <si>
    <t xml:space="preserve">E3-P1-006</t>
  </si>
  <si>
    <t xml:space="preserve">E3-P2-005</t>
  </si>
  <si>
    <t xml:space="preserve">E3-P2-006</t>
  </si>
  <si>
    <t xml:space="preserve">E3-P3-005</t>
  </si>
  <si>
    <t xml:space="preserve">E3-P3-006</t>
  </si>
  <si>
    <t xml:space="preserve">E3-P4-005</t>
  </si>
  <si>
    <t xml:space="preserve">E3-P4-006</t>
  </si>
  <si>
    <t xml:space="preserve">E3-P5-005</t>
  </si>
  <si>
    <t xml:space="preserve">E3-P5-006</t>
  </si>
  <si>
    <t xml:space="preserve">E3-P6-005</t>
  </si>
  <si>
    <t xml:space="preserve">E3-P6-006</t>
  </si>
  <si>
    <t xml:space="preserve">E3-P1-007</t>
  </si>
  <si>
    <t xml:space="preserve">E3-P1-008</t>
  </si>
  <si>
    <t xml:space="preserve">E3-P2-007</t>
  </si>
  <si>
    <t xml:space="preserve">E3-P2-008</t>
  </si>
  <si>
    <t xml:space="preserve">E3-P3-007</t>
  </si>
  <si>
    <t xml:space="preserve">E3-P3-008</t>
  </si>
  <si>
    <t xml:space="preserve">E3-P4-007</t>
  </si>
  <si>
    <t xml:space="preserve">E3-P4-008</t>
  </si>
  <si>
    <t xml:space="preserve">E3-P5-007</t>
  </si>
  <si>
    <t xml:space="preserve">E3-P5-008</t>
  </si>
  <si>
    <t xml:space="preserve">E3-P6-007</t>
  </si>
  <si>
    <t xml:space="preserve">E3-P6-008</t>
  </si>
  <si>
    <t xml:space="preserve">E3-P1-009</t>
  </si>
  <si>
    <t xml:space="preserve">E3-P1-010</t>
  </si>
  <si>
    <t xml:space="preserve">E3-P2-009</t>
  </si>
  <si>
    <t xml:space="preserve">E3-P2-010</t>
  </si>
  <si>
    <t xml:space="preserve">E3-P3-009</t>
  </si>
  <si>
    <t xml:space="preserve">E3-P3-010</t>
  </si>
  <si>
    <t xml:space="preserve">E3-P4-009</t>
  </si>
  <si>
    <t xml:space="preserve">E3-P4-010</t>
  </si>
  <si>
    <t xml:space="preserve">E3-P5-009</t>
  </si>
  <si>
    <t xml:space="preserve">E3-P5-010</t>
  </si>
  <si>
    <t xml:space="preserve">E3-P6-009</t>
  </si>
  <si>
    <t xml:space="preserve">E3-P6-010</t>
  </si>
  <si>
    <t xml:space="preserve">E3-P1-011</t>
  </si>
  <si>
    <t xml:space="preserve">E3-P1-012</t>
  </si>
  <si>
    <t xml:space="preserve">E3-P2-011</t>
  </si>
  <si>
    <t xml:space="preserve">E3-P2-012</t>
  </si>
  <si>
    <t xml:space="preserve">E3-P3-011</t>
  </si>
  <si>
    <t xml:space="preserve">E3-P3-012</t>
  </si>
  <si>
    <t xml:space="preserve">E3-P4-011</t>
  </si>
  <si>
    <t xml:space="preserve">E3-P4-012</t>
  </si>
  <si>
    <t xml:space="preserve">E3-P5-011</t>
  </si>
  <si>
    <t xml:space="preserve">E3-P5-012</t>
  </si>
  <si>
    <t xml:space="preserve">E3-P6-011</t>
  </si>
  <si>
    <t xml:space="preserve">E3-P6-012</t>
  </si>
  <si>
    <t xml:space="preserve">E3-P1-013</t>
  </si>
  <si>
    <t xml:space="preserve">E3-P1-014</t>
  </si>
  <si>
    <t xml:space="preserve">E3-P2-013</t>
  </si>
  <si>
    <t xml:space="preserve">E3-P2-014</t>
  </si>
  <si>
    <t xml:space="preserve">E3-P3-013</t>
  </si>
  <si>
    <t xml:space="preserve">E3-P3-014</t>
  </si>
  <si>
    <t xml:space="preserve">E3-P4-013</t>
  </si>
  <si>
    <t xml:space="preserve">E3-P4-014</t>
  </si>
  <si>
    <t xml:space="preserve">E3-P5-013</t>
  </si>
  <si>
    <t xml:space="preserve">E3-P5-014</t>
  </si>
  <si>
    <t xml:space="preserve">E3-P6-013</t>
  </si>
  <si>
    <t xml:space="preserve">E3-P6-014</t>
  </si>
  <si>
    <t xml:space="preserve">E3-P1-015</t>
  </si>
  <si>
    <t xml:space="preserve">E3-P1-016</t>
  </si>
  <si>
    <t xml:space="preserve">E3-P2-015</t>
  </si>
  <si>
    <t xml:space="preserve">E3-P2-016</t>
  </si>
  <si>
    <t xml:space="preserve">E3-P3-015</t>
  </si>
  <si>
    <t xml:space="preserve">E3-P3-016</t>
  </si>
  <si>
    <t xml:space="preserve">E3-P4-015</t>
  </si>
  <si>
    <t xml:space="preserve">E3-P4-016</t>
  </si>
  <si>
    <t xml:space="preserve">E3-P5-015</t>
  </si>
  <si>
    <t xml:space="preserve">E3-P5-016</t>
  </si>
  <si>
    <t xml:space="preserve">E3-P6-015</t>
  </si>
  <si>
    <t xml:space="preserve">E3-P6-016</t>
  </si>
  <si>
    <t xml:space="preserve">E3-P1-017</t>
  </si>
  <si>
    <t xml:space="preserve">E3-P1-018</t>
  </si>
  <si>
    <t xml:space="preserve">E3-P2-017</t>
  </si>
  <si>
    <t xml:space="preserve">E3-P2-018</t>
  </si>
  <si>
    <t xml:space="preserve">E3-P3-017</t>
  </si>
  <si>
    <t xml:space="preserve">E3-P3-018</t>
  </si>
  <si>
    <t xml:space="preserve">E3-P4-017</t>
  </si>
  <si>
    <t xml:space="preserve">E3-P4-018</t>
  </si>
  <si>
    <t xml:space="preserve">E3-P5-017</t>
  </si>
  <si>
    <t xml:space="preserve">E3-P5-018</t>
  </si>
  <si>
    <t xml:space="preserve">E3-P6-017</t>
  </si>
  <si>
    <t xml:space="preserve">E3-P6-018</t>
  </si>
  <si>
    <t xml:space="preserve">E3-P1-019</t>
  </si>
  <si>
    <t xml:space="preserve">E3-P1-020</t>
  </si>
  <si>
    <t xml:space="preserve">E3-P2-019</t>
  </si>
  <si>
    <t xml:space="preserve">E3-P2-020</t>
  </si>
  <si>
    <t xml:space="preserve">E3-P3-019</t>
  </si>
  <si>
    <t xml:space="preserve">E3-P3-020</t>
  </si>
  <si>
    <t xml:space="preserve">E3-P4-019</t>
  </si>
  <si>
    <t xml:space="preserve">E3-P4-020</t>
  </si>
  <si>
    <t xml:space="preserve">E3-P5-019</t>
  </si>
  <si>
    <t xml:space="preserve">E3-P5-020</t>
  </si>
  <si>
    <t xml:space="preserve">E3-P6-019</t>
  </si>
  <si>
    <t xml:space="preserve">E3-P6-020</t>
  </si>
  <si>
    <t xml:space="preserve">E3-P1-021</t>
  </si>
  <si>
    <t xml:space="preserve">E3-P1-022</t>
  </si>
  <si>
    <t xml:space="preserve">E3-P2-021</t>
  </si>
  <si>
    <t xml:space="preserve">E3-P2-022</t>
  </si>
  <si>
    <t xml:space="preserve">E3-P3-021</t>
  </si>
  <si>
    <t xml:space="preserve">E3-P3-022</t>
  </si>
  <si>
    <t xml:space="preserve">E3-P4-021</t>
  </si>
  <si>
    <t xml:space="preserve">E3-P4-022</t>
  </si>
  <si>
    <t xml:space="preserve">E3-P5-021</t>
  </si>
  <si>
    <t xml:space="preserve">E3-P5-022</t>
  </si>
  <si>
    <t xml:space="preserve">E3-P6-021</t>
  </si>
  <si>
    <t xml:space="preserve">E3-P6-022</t>
  </si>
  <si>
    <t xml:space="preserve">E3-P1-023</t>
  </si>
  <si>
    <t xml:space="preserve">E3-P1-024</t>
  </si>
  <si>
    <t xml:space="preserve">E3-P2-023</t>
  </si>
  <si>
    <t xml:space="preserve">E3-P2-024</t>
  </si>
  <si>
    <t xml:space="preserve">E3-P3-023</t>
  </si>
  <si>
    <t xml:space="preserve">E3-P3-024</t>
  </si>
  <si>
    <t xml:space="preserve">E3-P4-023</t>
  </si>
  <si>
    <t xml:space="preserve">E3-P4-024</t>
  </si>
  <si>
    <t xml:space="preserve">E3-P5-023</t>
  </si>
  <si>
    <t xml:space="preserve">E3-P5-024</t>
  </si>
  <si>
    <t xml:space="preserve">E3-P6-023</t>
  </si>
  <si>
    <t xml:space="preserve">E3-P6-024</t>
  </si>
  <si>
    <t xml:space="preserve">E3-P1-025</t>
  </si>
  <si>
    <t xml:space="preserve">E3-P1-026</t>
  </si>
  <si>
    <t xml:space="preserve">E3-P2-025</t>
  </si>
  <si>
    <t xml:space="preserve">E3-P2-026</t>
  </si>
  <si>
    <t xml:space="preserve">E3-P3-025</t>
  </si>
  <si>
    <t xml:space="preserve">E3-P3-026</t>
  </si>
  <si>
    <t xml:space="preserve">E3-P4-025</t>
  </si>
  <si>
    <t xml:space="preserve">E3-P4-026</t>
  </si>
  <si>
    <t xml:space="preserve">E3-P5-025</t>
  </si>
  <si>
    <t xml:space="preserve">E3-P5-026</t>
  </si>
  <si>
    <t xml:space="preserve">E3-P6-025</t>
  </si>
  <si>
    <t xml:space="preserve">E3-P6-026</t>
  </si>
  <si>
    <t xml:space="preserve">E3-P1-027</t>
  </si>
  <si>
    <t xml:space="preserve">E3-P1-028</t>
  </si>
  <si>
    <t xml:space="preserve">E3-P2-027</t>
  </si>
  <si>
    <t xml:space="preserve">E3-P2-028</t>
  </si>
  <si>
    <t xml:space="preserve">E3-P3-027</t>
  </si>
  <si>
    <t xml:space="preserve">E3-P3-028</t>
  </si>
  <si>
    <t xml:space="preserve">E3-P4-027</t>
  </si>
  <si>
    <t xml:space="preserve">E3-P4-028</t>
  </si>
  <si>
    <t xml:space="preserve">E3-P5-027</t>
  </si>
  <si>
    <t xml:space="preserve">E3-P5-028</t>
  </si>
  <si>
    <t xml:space="preserve">E3-P6-027</t>
  </si>
  <si>
    <t xml:space="preserve">E3-P6-028</t>
  </si>
  <si>
    <t xml:space="preserve">E3-P1-029</t>
  </si>
  <si>
    <t xml:space="preserve">E3-P1-030</t>
  </si>
  <si>
    <t xml:space="preserve">E3-P2-029</t>
  </si>
  <si>
    <t xml:space="preserve">E3-P2-030</t>
  </si>
  <si>
    <t xml:space="preserve">E3-P3-029</t>
  </si>
  <si>
    <t xml:space="preserve">E3-P3-030</t>
  </si>
  <si>
    <t xml:space="preserve">E3-P4-029</t>
  </si>
  <si>
    <t xml:space="preserve">E3-P4-030</t>
  </si>
  <si>
    <t xml:space="preserve">E3-P5-029</t>
  </si>
  <si>
    <t xml:space="preserve">E3-P5-030</t>
  </si>
  <si>
    <t xml:space="preserve">E3-P6-029</t>
  </si>
  <si>
    <t xml:space="preserve">E3-P6-030</t>
  </si>
  <si>
    <t xml:space="preserve">E3-P1-031</t>
  </si>
  <si>
    <t xml:space="preserve">E3-P1-032</t>
  </si>
  <si>
    <t xml:space="preserve">E3-P2-031</t>
  </si>
  <si>
    <t xml:space="preserve">E3-P2-032</t>
  </si>
  <si>
    <t xml:space="preserve">E3-P3-031</t>
  </si>
  <si>
    <t xml:space="preserve">E3-P3-032</t>
  </si>
  <si>
    <t xml:space="preserve">E3-P4-031</t>
  </si>
  <si>
    <t xml:space="preserve">E3-P4-032</t>
  </si>
  <si>
    <t xml:space="preserve">E3-P5-031</t>
  </si>
  <si>
    <t xml:space="preserve">E3-P5-032</t>
  </si>
  <si>
    <t xml:space="preserve">E3-P6-031</t>
  </si>
  <si>
    <t xml:space="preserve">E3-P6-032</t>
  </si>
  <si>
    <t xml:space="preserve">E3-P1-033</t>
  </si>
  <si>
    <t xml:space="preserve">E3-P1-034</t>
  </si>
  <si>
    <t xml:space="preserve">E3-P2-033</t>
  </si>
  <si>
    <t xml:space="preserve">E3-P2-034</t>
  </si>
  <si>
    <t xml:space="preserve">E3-P3-033</t>
  </si>
  <si>
    <t xml:space="preserve">E3-P3-034</t>
  </si>
  <si>
    <t xml:space="preserve">E3-P4-033</t>
  </si>
  <si>
    <t xml:space="preserve">E3-P4-034</t>
  </si>
  <si>
    <t xml:space="preserve">E3-P5-033</t>
  </si>
  <si>
    <t xml:space="preserve">E3-P5-034</t>
  </si>
  <si>
    <t xml:space="preserve">E3-P6-033</t>
  </si>
  <si>
    <t xml:space="preserve">E3-P6-034</t>
  </si>
  <si>
    <t xml:space="preserve">E3-P1-035</t>
  </si>
  <si>
    <t xml:space="preserve">E3-P1-036</t>
  </si>
  <si>
    <t xml:space="preserve">E3-P2-035</t>
  </si>
  <si>
    <t xml:space="preserve">E3-P2-036</t>
  </si>
  <si>
    <t xml:space="preserve">E3-P3-035</t>
  </si>
  <si>
    <t xml:space="preserve">E3-P3-036</t>
  </si>
  <si>
    <t xml:space="preserve">E3-P4-035</t>
  </si>
  <si>
    <t xml:space="preserve">E3-P4-036</t>
  </si>
  <si>
    <t xml:space="preserve">E3-P5-035</t>
  </si>
  <si>
    <t xml:space="preserve">E3-P5-036</t>
  </si>
  <si>
    <t xml:space="preserve">E3-P6-035</t>
  </si>
  <si>
    <t xml:space="preserve">E3-P6-036</t>
  </si>
  <si>
    <t xml:space="preserve">E3-P1-037</t>
  </si>
  <si>
    <t xml:space="preserve">E3-P1-038</t>
  </si>
  <si>
    <t xml:space="preserve">E3-P2-037</t>
  </si>
  <si>
    <t xml:space="preserve">E3-P2-038</t>
  </si>
  <si>
    <t xml:space="preserve">E3-P3-037</t>
  </si>
  <si>
    <t xml:space="preserve">E3-P3-038</t>
  </si>
  <si>
    <t xml:space="preserve">E3-P4-037</t>
  </si>
  <si>
    <t xml:space="preserve">E3-P4-038</t>
  </si>
  <si>
    <t xml:space="preserve">E3-P5-037</t>
  </si>
  <si>
    <t xml:space="preserve">E3-P5-038</t>
  </si>
  <si>
    <t xml:space="preserve">E3-P6-037</t>
  </si>
  <si>
    <t xml:space="preserve">E3-P6-038</t>
  </si>
  <si>
    <t xml:space="preserve">E3-P1-039</t>
  </si>
  <si>
    <t xml:space="preserve">E3-P1-040</t>
  </si>
  <si>
    <t xml:space="preserve">E3-P2-039</t>
  </si>
  <si>
    <t xml:space="preserve">E3-P2-040</t>
  </si>
  <si>
    <t xml:space="preserve">E3-P3-039</t>
  </si>
  <si>
    <t xml:space="preserve">E3-P3-040</t>
  </si>
  <si>
    <t xml:space="preserve">E3-P4-039</t>
  </si>
  <si>
    <t xml:space="preserve">E3-P4-040</t>
  </si>
  <si>
    <t xml:space="preserve">E3-P5-039</t>
  </si>
  <si>
    <t xml:space="preserve">E3-P5-040</t>
  </si>
  <si>
    <t xml:space="preserve">E3-P6-039</t>
  </si>
  <si>
    <t xml:space="preserve">E3-P6-040</t>
  </si>
  <si>
    <t xml:space="preserve">E3-P1-041</t>
  </si>
  <si>
    <t xml:space="preserve">E3-P1-042</t>
  </si>
  <si>
    <t xml:space="preserve">E3-P2-041</t>
  </si>
  <si>
    <t xml:space="preserve">E3-P2-042</t>
  </si>
  <si>
    <t xml:space="preserve">E3-P3-041</t>
  </si>
  <si>
    <t xml:space="preserve">E3-P3-042</t>
  </si>
  <si>
    <t xml:space="preserve">E3-P4-041</t>
  </si>
  <si>
    <t xml:space="preserve">E3-P4-042</t>
  </si>
  <si>
    <t xml:space="preserve">E3-P5-041</t>
  </si>
  <si>
    <t xml:space="preserve">E3-P5-042</t>
  </si>
  <si>
    <t xml:space="preserve">E3-P6-041</t>
  </si>
  <si>
    <t xml:space="preserve">E3-P6-042</t>
  </si>
  <si>
    <t xml:space="preserve">E3-P1-043</t>
  </si>
  <si>
    <t xml:space="preserve">E3-P1-044</t>
  </si>
  <si>
    <t xml:space="preserve">E3-P2-043</t>
  </si>
  <si>
    <t xml:space="preserve">E3-P2-044</t>
  </si>
  <si>
    <t xml:space="preserve">E3-P3-043</t>
  </si>
  <si>
    <t xml:space="preserve">E3-P3-044</t>
  </si>
  <si>
    <t xml:space="preserve">E3-P4-043</t>
  </si>
  <si>
    <t xml:space="preserve">E3-P4-044</t>
  </si>
  <si>
    <t xml:space="preserve">E3-P5-043</t>
  </si>
  <si>
    <t xml:space="preserve">E3-P5-044</t>
  </si>
  <si>
    <t xml:space="preserve">E3-P6-043</t>
  </si>
  <si>
    <t xml:space="preserve">E3-P6-044</t>
  </si>
  <si>
    <t xml:space="preserve">E3-P1-045</t>
  </si>
  <si>
    <t xml:space="preserve">E3-P1-046</t>
  </si>
  <si>
    <t xml:space="preserve">E3-P2-045</t>
  </si>
  <si>
    <t xml:space="preserve">E3-P2-046</t>
  </si>
  <si>
    <t xml:space="preserve">E3-P3-045</t>
  </si>
  <si>
    <t xml:space="preserve">E3-P3-046</t>
  </si>
  <si>
    <t xml:space="preserve">E3-P4-045</t>
  </si>
  <si>
    <t xml:space="preserve">E3-P4-046</t>
  </si>
  <si>
    <t xml:space="preserve">E3-P5-045</t>
  </si>
  <si>
    <t xml:space="preserve">E3-P5-046</t>
  </si>
  <si>
    <t xml:space="preserve">E3-P6-045</t>
  </si>
  <si>
    <t xml:space="preserve">E3-P6-046</t>
  </si>
  <si>
    <t xml:space="preserve">E3-P1-047</t>
  </si>
  <si>
    <t xml:space="preserve">E3-P1-048</t>
  </si>
  <si>
    <t xml:space="preserve">E3-P2-047</t>
  </si>
  <si>
    <t xml:space="preserve">E3-P2-048</t>
  </si>
  <si>
    <t xml:space="preserve">E3-P3-047</t>
  </si>
  <si>
    <t xml:space="preserve">E3-P3-048</t>
  </si>
  <si>
    <t xml:space="preserve">E3-P4-047</t>
  </si>
  <si>
    <t xml:space="preserve">E3-P4-048</t>
  </si>
  <si>
    <t xml:space="preserve">E3-P5-047</t>
  </si>
  <si>
    <t xml:space="preserve">E3-P5-048</t>
  </si>
  <si>
    <t xml:space="preserve">E3-P6-047</t>
  </si>
  <si>
    <t xml:space="preserve">E3-P6-048</t>
  </si>
  <si>
    <t xml:space="preserve">E3-P1-049</t>
  </si>
  <si>
    <t xml:space="preserve">E3-P1-050</t>
  </si>
  <si>
    <t xml:space="preserve">E3-P2-049</t>
  </si>
  <si>
    <t xml:space="preserve">E3-P2-050</t>
  </si>
  <si>
    <t xml:space="preserve">E3-P3-049</t>
  </si>
  <si>
    <t xml:space="preserve">E3-P3-050</t>
  </si>
  <si>
    <t xml:space="preserve">E3-P4-049</t>
  </si>
  <si>
    <t xml:space="preserve">E3-P4-050</t>
  </si>
  <si>
    <t xml:space="preserve">E3-P5-049</t>
  </si>
  <si>
    <t xml:space="preserve">E3-P5-050</t>
  </si>
  <si>
    <t xml:space="preserve">E3-P6-049</t>
  </si>
  <si>
    <t xml:space="preserve">E3-P6-050</t>
  </si>
  <si>
    <t xml:space="preserve">E3-P1-051</t>
  </si>
  <si>
    <t xml:space="preserve">E3-P1-052</t>
  </si>
  <si>
    <t xml:space="preserve">E3-P2-051</t>
  </si>
  <si>
    <t xml:space="preserve">E3-P2-052</t>
  </si>
  <si>
    <t xml:space="preserve">E3-P3-051</t>
  </si>
  <si>
    <t xml:space="preserve">E3-P3-052</t>
  </si>
  <si>
    <t xml:space="preserve">E3-P4-051</t>
  </si>
  <si>
    <t xml:space="preserve">E3-P4-052</t>
  </si>
  <si>
    <t xml:space="preserve">E3-P5-051</t>
  </si>
  <si>
    <t xml:space="preserve">E3-P5-052</t>
  </si>
  <si>
    <t xml:space="preserve">E3-P6-051</t>
  </si>
  <si>
    <t xml:space="preserve">E3-P6-052</t>
  </si>
  <si>
    <t xml:space="preserve">E3-P1-053</t>
  </si>
  <si>
    <t xml:space="preserve">E3-P1-054</t>
  </si>
  <si>
    <t xml:space="preserve">E3-P2-053</t>
  </si>
  <si>
    <t xml:space="preserve">E3-P2-054</t>
  </si>
  <si>
    <t xml:space="preserve">E3-P3-053</t>
  </si>
  <si>
    <t xml:space="preserve">E3-P3-054</t>
  </si>
  <si>
    <t xml:space="preserve">E3-P4-053</t>
  </si>
  <si>
    <t xml:space="preserve">E3-P4-054</t>
  </si>
  <si>
    <t xml:space="preserve">E3-P5-053</t>
  </si>
  <si>
    <t xml:space="preserve">E3-P5-054</t>
  </si>
  <si>
    <t xml:space="preserve">E3-P6-053</t>
  </si>
  <si>
    <t xml:space="preserve">E3-P6-054</t>
  </si>
  <si>
    <t xml:space="preserve">E3-P1-055</t>
  </si>
  <si>
    <t xml:space="preserve">E3-P1-056</t>
  </si>
  <si>
    <t xml:space="preserve">E3-P2-055</t>
  </si>
  <si>
    <t xml:space="preserve">E3-P2-056</t>
  </si>
  <si>
    <t xml:space="preserve">E3-P3-055</t>
  </si>
  <si>
    <t xml:space="preserve">E3-P3-056</t>
  </si>
  <si>
    <t xml:space="preserve">E3-P4-055</t>
  </si>
  <si>
    <t xml:space="preserve">E3-P4-056</t>
  </si>
  <si>
    <t xml:space="preserve">E3-P5-055</t>
  </si>
  <si>
    <t xml:space="preserve">E3-P5-056</t>
  </si>
  <si>
    <t xml:space="preserve">E3-P6-055</t>
  </si>
  <si>
    <t xml:space="preserve">E3-P6-056</t>
  </si>
  <si>
    <t xml:space="preserve">KẾT QUẢ — tự tính từ Nhật ký bài. Chỉ MỞ để chốt kết luận vào ngày cuối mỗi thí nghiệm.</t>
  </si>
  <si>
    <t xml:space="preserve">Đừng "ngó" rồi đổi giữa chừng: nhìn sớm dễ bị đánh lừa bởi may rủi. Mọi ô ở đây là công thức — không sửa tay.</t>
  </si>
  <si>
    <t xml:space="preserve">TÓM TẮT NHANH — cập nhật tự động</t>
  </si>
  <si>
    <t xml:space="preserve">Gợi ý theo CTR</t>
  </si>
  <si>
    <t xml:space="preserve">Gợi ý theo $/1.000 reach</t>
  </si>
  <si>
    <t xml:space="preserve">Bạn đã chốt</t>
  </si>
  <si>
    <t xml:space="preserve">Trạng thái / Xứng đáng?</t>
  </si>
  <si>
    <t xml:space="preserve">TN1 — Format</t>
  </si>
  <si>
    <t xml:space="preserve">Xem bảng "Công sức có xứng đáng?" của TN1</t>
  </si>
  <si>
    <t xml:space="preserve">TN2 — Hook</t>
  </si>
  <si>
    <t xml:space="preserve">Chọn hook có p &lt; ngưỡng; nếu hòa, chọn hook dễ sản xuất nhất</t>
  </si>
  <si>
    <t xml:space="preserve">TN3 — Cách làm</t>
  </si>
  <si>
    <t xml:space="preserve">—</t>
  </si>
  <si>
    <t xml:space="preserve">THÍ NGHIỆM 1 — ĐỊNH DẠNG: Ảnh chữ vs Carousel vs Reel (Tuần 5–7, cùng hook A, cùng cách làm AI)</t>
  </si>
  <si>
    <t xml:space="preserve">Mốc so sánh = Ảnh chữ (rẻ công nhất). Hỏi: Carousel/Reel có kéo thêm click/tiền đủ bù công làm thêm không?</t>
  </si>
  <si>
    <t xml:space="preserve">Biến thể</t>
  </si>
  <si>
    <t xml:space="preserve">Số bài có dữ liệu</t>
  </si>
  <si>
    <t xml:space="preserve">Clicks</t>
  </si>
  <si>
    <t xml:space="preserve">Doanh thu ($)</t>
  </si>
  <si>
    <t xml:space="preserve">$ / bài</t>
  </si>
  <si>
    <t xml:space="preserve">Phút công</t>
  </si>
  <si>
    <t xml:space="preserve">z so với mốc</t>
  </si>
  <si>
    <t xml:space="preserve">p-value</t>
  </si>
  <si>
    <t xml:space="preserve">Đủ dữ liệu?</t>
  </si>
  <si>
    <t xml:space="preserve">Kết luận so với mốc (baseline)</t>
  </si>
  <si>
    <t xml:space="preserve">MỐC SO SÁNH (baseline)</t>
  </si>
  <si>
    <t xml:space="preserve">Dùng khi chưa đủ install (&lt; 10 install mỗi biến thể).</t>
  </si>
  <si>
    <t xml:space="preserve">Ưu tiên khi đã có ≥ 10 install mỗi biến thể: đây là chỉ số gần tiền nhất.</t>
  </si>
  <si>
    <t xml:space="preserve">Công sức có xứng đáng? (so với mốc Ảnh chữ)</t>
  </si>
  <si>
    <t xml:space="preserve">Phút/bài (AI)</t>
  </si>
  <si>
    <t xml:space="preserve">Công/bài ($)</t>
  </si>
  <si>
    <t xml:space="preserve">Doanh thu/bài ($)</t>
  </si>
  <si>
    <t xml:space="preserve">Lãi ròng/bài ($)</t>
  </si>
  <si>
    <t xml:space="preserve">Hơn mốc ($/bài)</t>
  </si>
  <si>
    <t xml:space="preserve">Kết luận</t>
  </si>
  <si>
    <t xml:space="preserve">MỐC</t>
  </si>
  <si>
    <t xml:space="preserve">Lãi ròng/bài = doanh thu/bài − (phút làm ÷ 60 × giá giờ công). Phút lấy từ ước tính trong Cài đặt. Nếu Carousel/Reel có "Hơn mốc" dương và đủ dữ liệu → đáng làm.</t>
  </si>
  <si>
    <t xml:space="preserve">THÍ NGHIỆM 2 — HOOK: Prompt A vs B vs C (Tuần 8–10, dùng Format thắng, cách làm AI)</t>
  </si>
  <si>
    <t xml:space="preserve">Mốc so sánh = Prompt A. Ba hook cùng chi phí công nên chỉ cần xem cái nào cho nhiều tiền/click hơn.</t>
  </si>
  <si>
    <t xml:space="preserve">THÍ NGHIỆM 3 — CÁCH LÀM: AI tự động (80%) vs Human nghiên cứu (20%) (Tuần 11–14, Format + Hook thắng)</t>
  </si>
  <si>
    <t xml:space="preserve">Mốc so sánh = AI tự động. Hỏi: phần bài Human có kéo thêm tiền đủ bù giờ công nghiên cứu không?</t>
  </si>
  <si>
    <t xml:space="preserve">Công sức có xứng đáng? (Human so với AI)</t>
  </si>
  <si>
    <t xml:space="preserve">Phút/bài</t>
  </si>
  <si>
    <t xml:space="preserve">Hơn AI ($/bài)</t>
  </si>
  <si>
    <t xml:space="preserve">Human cần kiếm thêm tối thiểu ($/bài) để hòa vốn</t>
  </si>
  <si>
    <t xml:space="preserve">(công thêm của Human mỗi bài) — tương đương % doanh thu AI:</t>
  </si>
  <si>
    <t xml:space="preserve">Human đang tạo thêm ($/bài) so với AI</t>
  </si>
  <si>
    <t xml:space="preserve">SO SÁNH NGÁCH / PAGE (gộp cả 3 thí nghiệm) — chỉ để gợi ý ngách nào đáng đầu tư thêm</t>
  </si>
  <si>
    <t xml:space="preserve">Lưu ý: mỗi page có tuổi, follower và ngách khác nhau, nên đây chỉ là tín hiệu tham khảo, không phải kết luận A/B chặt.</t>
  </si>
  <si>
    <t xml:space="preserve">Hạng ($/1.000 reach)</t>
  </si>
  <si>
    <t xml:space="preserve">TỔNG CÔNG SỨC ĐÃ DÙNG (chỉ tính bài đã có dữ liệu)</t>
  </si>
  <si>
    <t xml:space="preserve">Phút</t>
  </si>
  <si>
    <t xml:space="preserve">Giờ</t>
  </si>
  <si>
    <t xml:space="preserve">Chi phí công ($)</t>
  </si>
  <si>
    <t xml:space="preserve">CỠ MẪU — cần bao nhiêu bài / bao nhiêu tuần thì mới đủ kết luận?</t>
  </si>
  <si>
    <t xml:space="preserve">Chữ xanh lá = lấy từ Cài đặt (sửa ở đó). Chữ xanh dương + nền vàng = sửa tại đây.</t>
  </si>
  <si>
    <t xml:space="preserve">Đầu vào</t>
  </si>
  <si>
    <t xml:space="preserve">CTR baseline (giả định)</t>
  </si>
  <si>
    <t xml:space="preserve">Thay bằng CTR thực sau warm-up/TN1 để ước tính chính xác hơn.</t>
  </si>
  <si>
    <t xml:space="preserve">Chênh lệch tối thiểu muốn phát hiện (lift tương đối)</t>
  </si>
  <si>
    <t xml:space="preserve">Vd 30% = biến thể tốt hơn mốc ít nhất gần 1/3. Hạ xuống 20% thì số bài cần tăng khoảng 2 lần (xem ô B19).</t>
  </si>
  <si>
    <t xml:space="preserve">Mức p-value (alpha)</t>
  </si>
  <si>
    <t xml:space="preserve">Độ nhạy (power)</t>
  </si>
  <si>
    <t xml:space="preserve">Reach trung bình mỗi bài</t>
  </si>
  <si>
    <t xml:space="preserve">Giả định; thay bằng số thật.</t>
  </si>
  <si>
    <t xml:space="preserve">Số page chạy test</t>
  </si>
  <si>
    <t xml:space="preserve">Cố định P1–P6.</t>
  </si>
  <si>
    <t xml:space="preserve">Số bài test / page / ngày</t>
  </si>
  <si>
    <t xml:space="preserve">Hệ số an toàn (design effect)</t>
  </si>
  <si>
    <t xml:space="preserve">GIẢ ĐỊNH: các bài trong cùng một page tương quan với nhau (page/ngách có "mùi" riêng) nên cần nhiều mẫu hơn công thức lý thuyết. 1,3 = thêm 30%. Chưa có nguồn cụ thể; nhập 1 nếu muốn công thức thuần.</t>
  </si>
  <si>
    <t xml:space="preserve">Tính toán</t>
  </si>
  <si>
    <t xml:space="preserve">CTR của biến thể tốt hơn (giả định)</t>
  </si>
  <si>
    <t xml:space="preserve">z (alpha, 2 phía)</t>
  </si>
  <si>
    <t xml:space="preserve">z (power)</t>
  </si>
  <si>
    <t xml:space="preserve">Reach cần mỗi biến thể</t>
  </si>
  <si>
    <t xml:space="preserve">Công thức so sánh 2 tỉ lệ; đã nhân hệ số an toàn.</t>
  </si>
  <si>
    <t xml:space="preserve">Số bài cần mỗi biến thể</t>
  </si>
  <si>
    <t xml:space="preserve">Số bài test mỗi tuần (tất cả page)</t>
  </si>
  <si>
    <t xml:space="preserve">Thí nghiệm 1 &amp; 2 (3 biến thể chia đều)</t>
  </si>
  <si>
    <t xml:space="preserve">Tổng số bài cần</t>
  </si>
  <si>
    <t xml:space="preserve">Số tuần cần</t>
  </si>
  <si>
    <t xml:space="preserve">File xếp 3 tuần cho mỗi thí nghiệm (TN1, TN2) = 84 bài mỗi biến thể.</t>
  </si>
  <si>
    <t xml:space="preserve">Số bài mỗi biến thể file đang sinh sẵn</t>
  </si>
  <si>
    <t xml:space="preserve">TN1/TN2: 6 page × 14 bài mỗi biến thể = 84.</t>
  </si>
  <si>
    <t xml:space="preserve">Đủ chưa?</t>
  </si>
  <si>
    <t xml:space="preserve">Thí nghiệm 3 (AI vs Human) — vì Human chỉ chiếm ít % bài nên cần chạy lâu hơn</t>
  </si>
  <si>
    <t xml:space="preserve">Tỉ lệ bài Human</t>
  </si>
  <si>
    <t xml:space="preserve">Đúng tỉ lệ 80/20 bạn muốn</t>
  </si>
  <si>
    <t xml:space="preserve">Tạm tăng Human lên 1/3 trong lúc test</t>
  </si>
  <si>
    <t xml:space="preserve">Chia đôi: nhanh nhất nhưng tốn công nhất</t>
  </si>
  <si>
    <t xml:space="preserve">Số bài Human file đang sinh sẵn cho TN3 (cả 6 page)</t>
  </si>
  <si>
    <t xml:space="preserve">11 bài/page × 6 page = 66 bài Human; 270 bài AI (tổng 336).</t>
  </si>
  <si>
    <t xml:space="preserve">Đủ chưa (cho nhánh Human)?</t>
  </si>
  <si>
    <t xml:space="preserve">Nếu "chưa đủ": tăng tạm tỉ lệ Human trong TN3 lên 1/3, sau đó quay về 20% khi vận hành.</t>
  </si>
  <si>
    <t xml:space="preserve">MÁY TÍNH A-B — dán 2 con số của mỗi bên để biết có khác nhau thật không</t>
  </si>
  <si>
    <t xml:space="preserve">Dùng cho mọi so sánh nhanh (vd: Reel vs Carousel). Hai ví dụ đã điền sẵn, thay bằng số của bạn.</t>
  </si>
  <si>
    <t xml:space="preserve">Phiên bản A</t>
  </si>
  <si>
    <t xml:space="preserve">Phiên bản B</t>
  </si>
  <si>
    <t xml:space="preserve">Reach (số người đã thấy)</t>
  </si>
  <si>
    <t xml:space="preserve">VÍ DỤ 1: A = Reel, B = Carousel. Tổng reach của tất cả bài mỗi bên.</t>
  </si>
  <si>
    <t xml:space="preserve">Lấy từ dashboard của app (theo Sub-ID), không lấy "lượt xem".</t>
  </si>
  <si>
    <t xml:space="preserve">B hơn/kém A bao nhiêu % (lift)</t>
  </si>
  <si>
    <t xml:space="preserve">Âm = B kém hơn A.</t>
  </si>
  <si>
    <t xml:space="preserve">z</t>
  </si>
  <si>
    <t xml:space="preserve">Xác suất thấy chênh lệch lớn như vậy NẾU thực ra A và B bằng nhau. Càng nhỏ càng đáng tin.</t>
  </si>
  <si>
    <t xml:space="preserve">Nếu HÒA: chọn bên rẻ công hơn / dễ làm hơn, hoặc chạy thêm.</t>
  </si>
  <si>
    <t xml:space="preserve">VÍ DỤ 2 (để thấy "chênh nhưng chưa chắc"): A: reach 3.000, 30 click · B: reach 3.000, 36 click → CTR 1,00% vs 1,20% nhưng p ≈ 0,46 → HÒA. Chênh 20% mà ít mẫu thì có thể chỉ là may rủi.</t>
  </si>
  <si>
    <t xml:space="preserve">Lưu ý kỹ thuật: máy tính coi mỗi lượt reach là một "lần thử" độc lập — gần đúng, hơi lạc quan vì các bài trong cùng page có tương quan. Vì vậy mới đặt ngưỡng 30 click/30 bài và hệ số an toàn ở sheet Cỡ mẫu.</t>
  </si>
  <si>
    <t xml:space="preserve">SỨC KHỎE PAGE — mỗi tuần ghi 1 dòng/page để phát hiện sớm reach tụt (dấu hiệu bị hạn chế)</t>
  </si>
  <si>
    <t xml:space="preserve">Nhập vào cột nền vàng. Cột F, G tự tính. Reach tụt &gt; 30% khi bắt đầu rải link → giảm số bài có link.</t>
  </si>
  <si>
    <t xml:space="preserve">Follower</t>
  </si>
  <si>
    <t xml:space="preserve">Reach TB bài KHÔNG link</t>
  </si>
  <si>
    <t xml:space="preserve">Reach TB bài CÓ link</t>
  </si>
  <si>
    <t xml:space="preserve">Chênh %</t>
  </si>
  <si>
    <t xml:space="preserve">Cảnh báo</t>
  </si>
  <si>
    <t xml:space="preserve">← DÒNG VÍ DỤ</t>
  </si>
</sst>
</file>

<file path=xl/styles.xml><?xml version="1.0" encoding="utf-8"?>
<styleSheet xmlns="http://schemas.openxmlformats.org/spreadsheetml/2006/main">
  <numFmts count="14">
    <numFmt numFmtId="164" formatCode="General"/>
    <numFmt numFmtId="165" formatCode="dd/mm/yyyy"/>
    <numFmt numFmtId="166" formatCode="0"/>
    <numFmt numFmtId="167" formatCode="0%"/>
    <numFmt numFmtId="168" formatCode="\$#,##0.00"/>
    <numFmt numFmtId="169" formatCode="0.0%"/>
    <numFmt numFmtId="170" formatCode="#,##0"/>
    <numFmt numFmtId="171" formatCode="0.00"/>
    <numFmt numFmtId="172" formatCode="0.00%"/>
    <numFmt numFmtId="173" formatCode="0.000"/>
    <numFmt numFmtId="174" formatCode="\$#,##0.00;[RED]&quot;-$&quot;#,##0.00"/>
    <numFmt numFmtId="175" formatCode="0.0"/>
    <numFmt numFmtId="176" formatCode="0.0%;[RED]\-0.0%"/>
    <numFmt numFmtId="177" formatCode="0%;[RED]\-0%"/>
  </numFmts>
  <fonts count="21">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b val="true"/>
      <sz val="12"/>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008000"/>
      <name val="Arial"/>
      <family val="0"/>
      <charset val="1"/>
    </font>
    <font>
      <i val="true"/>
      <sz val="10"/>
      <name val="Arial"/>
      <family val="0"/>
      <charset val="1"/>
    </font>
    <font>
      <b val="true"/>
      <sz val="12"/>
      <color rgb="FFC00000"/>
      <name val="Arial"/>
      <family val="0"/>
      <charset val="1"/>
    </font>
    <font>
      <b val="true"/>
      <sz val="10"/>
      <color rgb="FF1F3864"/>
      <name val="Arial"/>
      <family val="0"/>
      <charset val="1"/>
    </font>
    <font>
      <sz val="9"/>
      <name val="Consolas"/>
      <family val="0"/>
      <charset val="1"/>
    </font>
    <font>
      <i val="true"/>
      <sz val="9"/>
      <name val="Arial"/>
      <family val="0"/>
      <charset val="1"/>
    </font>
    <font>
      <i val="true"/>
      <sz val="9"/>
      <color rgb="FF008000"/>
      <name val="Arial"/>
      <family val="0"/>
      <charset val="1"/>
    </font>
    <font>
      <i val="true"/>
      <sz val="9"/>
      <color rgb="FFC00000"/>
      <name val="Arial"/>
      <family val="0"/>
      <charset val="1"/>
    </font>
    <font>
      <sz val="9"/>
      <name val="Arial"/>
      <family val="0"/>
      <charset val="1"/>
    </font>
    <font>
      <sz val="9"/>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false" indent="0" shrinkToFit="false"/>
      <protection locked="true" hidden="false"/>
    </xf>
    <xf numFmtId="165" fontId="10" fillId="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8" fontId="10" fillId="3" borderId="1" xfId="0" applyFont="true" applyBorder="true" applyAlignment="true" applyProtection="false">
      <alignment horizontal="center" vertical="top" textRotation="0" wrapText="true" indent="0" shrinkToFit="false"/>
      <protection locked="true" hidden="false"/>
    </xf>
    <xf numFmtId="169" fontId="10" fillId="3" borderId="1" xfId="0" applyFont="true" applyBorder="true" applyAlignment="true" applyProtection="false">
      <alignment horizontal="center" vertical="top" textRotation="0" wrapText="true" indent="0" shrinkToFit="false"/>
      <protection locked="true" hidden="false"/>
    </xf>
    <xf numFmtId="167" fontId="10" fillId="3" borderId="1" xfId="0" applyFont="true" applyBorder="true" applyAlignment="true" applyProtection="false">
      <alignment horizontal="center" vertical="top" textRotation="0" wrapText="true" indent="0" shrinkToFit="false"/>
      <protection locked="true" hidden="false"/>
    </xf>
    <xf numFmtId="170" fontId="10" fillId="3" borderId="1" xfId="0" applyFont="true" applyBorder="true" applyAlignment="true" applyProtection="false">
      <alignment horizontal="center" vertical="top" textRotation="0" wrapText="true" indent="0" shrinkToFit="false"/>
      <protection locked="true" hidden="false"/>
    </xf>
    <xf numFmtId="166" fontId="10" fillId="3" borderId="1" xfId="0" applyFont="true" applyBorder="true" applyAlignment="true" applyProtection="false">
      <alignment horizontal="center" vertical="top" textRotation="0" wrapText="true" indent="0" shrinkToFit="false"/>
      <protection locked="true" hidden="false"/>
    </xf>
    <xf numFmtId="171" fontId="10" fillId="3"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false" indent="0" shrinkToFit="false"/>
      <protection locked="true" hidden="false"/>
    </xf>
    <xf numFmtId="164" fontId="16" fillId="4" borderId="1" xfId="0" applyFont="true" applyBorder="true" applyAlignment="true" applyProtection="false">
      <alignment horizontal="general" vertical="top" textRotation="0" wrapText="false" indent="0" shrinkToFit="false"/>
      <protection locked="true" hidden="false"/>
    </xf>
    <xf numFmtId="165" fontId="16" fillId="4" borderId="1" xfId="0" applyFont="true" applyBorder="true" applyAlignment="true" applyProtection="false">
      <alignment horizontal="general" vertical="top" textRotation="0" wrapText="false" indent="0" shrinkToFit="false"/>
      <protection locked="true" hidden="false"/>
    </xf>
    <xf numFmtId="164" fontId="17" fillId="4" borderId="1" xfId="0" applyFont="true" applyBorder="true" applyAlignment="true" applyProtection="false">
      <alignment horizontal="center" vertical="top" textRotation="0" wrapText="false" indent="0" shrinkToFit="false"/>
      <protection locked="true" hidden="false"/>
    </xf>
    <xf numFmtId="170" fontId="16" fillId="4" borderId="1" xfId="0" applyFont="true" applyBorder="true" applyAlignment="true" applyProtection="false">
      <alignment horizontal="center" vertical="top" textRotation="0" wrapText="false" indent="0" shrinkToFit="false"/>
      <protection locked="true" hidden="false"/>
    </xf>
    <xf numFmtId="168" fontId="16" fillId="4" borderId="1" xfId="0" applyFont="true" applyBorder="true" applyAlignment="true" applyProtection="false">
      <alignment horizontal="general" vertical="top" textRotation="0" wrapText="false" indent="0" shrinkToFit="false"/>
      <protection locked="true" hidden="false"/>
    </xf>
    <xf numFmtId="172" fontId="16" fillId="4" borderId="1" xfId="0" applyFont="true" applyBorder="true" applyAlignment="true" applyProtection="false">
      <alignment horizontal="center" vertical="top" textRotation="0" wrapText="false" indent="0" shrinkToFit="false"/>
      <protection locked="true" hidden="false"/>
    </xf>
    <xf numFmtId="169" fontId="16" fillId="4" borderId="1" xfId="0" applyFont="true" applyBorder="true" applyAlignment="true" applyProtection="false">
      <alignment horizontal="center" vertical="top" textRotation="0" wrapText="false" indent="0" shrinkToFit="false"/>
      <protection locked="true" hidden="false"/>
    </xf>
    <xf numFmtId="168" fontId="16" fillId="4" borderId="1" xfId="0" applyFont="true" applyBorder="true" applyAlignment="true" applyProtection="false">
      <alignment horizontal="center" vertical="top" textRotation="0" wrapText="false" indent="0" shrinkToFit="false"/>
      <protection locked="true" hidden="false"/>
    </xf>
    <xf numFmtId="166" fontId="16" fillId="4" borderId="1" xfId="0" applyFont="true" applyBorder="tru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center"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65" fontId="19" fillId="0" borderId="1" xfId="0" applyFont="true" applyBorder="true" applyAlignment="true" applyProtection="false">
      <alignment horizontal="general" vertical="top" textRotation="0" wrapText="false" indent="0" shrinkToFit="false"/>
      <protection locked="true" hidden="false"/>
    </xf>
    <xf numFmtId="164" fontId="20" fillId="0" borderId="1" xfId="0" applyFont="true" applyBorder="true" applyAlignment="true" applyProtection="false">
      <alignment horizontal="center" vertical="top" textRotation="0" wrapText="false" indent="0" shrinkToFit="false"/>
      <protection locked="true" hidden="false"/>
    </xf>
    <xf numFmtId="164" fontId="19" fillId="3" borderId="1" xfId="0" applyFont="true" applyBorder="true" applyAlignment="true" applyProtection="false">
      <alignment horizontal="general" vertical="top" textRotation="0" wrapText="false" indent="0" shrinkToFit="false"/>
      <protection locked="true" hidden="false"/>
    </xf>
    <xf numFmtId="170" fontId="19" fillId="3" borderId="1" xfId="0" applyFont="true" applyBorder="true" applyAlignment="true" applyProtection="false">
      <alignment horizontal="general" vertical="top" textRotation="0" wrapText="false" indent="0" shrinkToFit="false"/>
      <protection locked="true" hidden="false"/>
    </xf>
    <xf numFmtId="168" fontId="19" fillId="3" borderId="1" xfId="0" applyFont="true" applyBorder="true" applyAlignment="true" applyProtection="false">
      <alignment horizontal="general" vertical="top" textRotation="0" wrapText="false" indent="0" shrinkToFit="false"/>
      <protection locked="true" hidden="false"/>
    </xf>
    <xf numFmtId="172" fontId="19" fillId="0" borderId="1" xfId="0" applyFont="true" applyBorder="true" applyAlignment="true" applyProtection="false">
      <alignment horizontal="center" vertical="top" textRotation="0" wrapText="false" indent="0" shrinkToFit="false"/>
      <protection locked="true" hidden="false"/>
    </xf>
    <xf numFmtId="169" fontId="19" fillId="0" borderId="1" xfId="0" applyFont="true" applyBorder="true" applyAlignment="true" applyProtection="false">
      <alignment horizontal="center" vertical="top" textRotation="0" wrapText="false" indent="0" shrinkToFit="false"/>
      <protection locked="true" hidden="false"/>
    </xf>
    <xf numFmtId="168" fontId="19" fillId="0" borderId="1" xfId="0" applyFont="true" applyBorder="true" applyAlignment="true" applyProtection="false">
      <alignment horizontal="center" vertical="top" textRotation="0" wrapText="false" indent="0" shrinkToFit="false"/>
      <protection locked="true" hidden="false"/>
    </xf>
    <xf numFmtId="166" fontId="19"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center"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72" fontId="7" fillId="0" borderId="1" xfId="0" applyFont="true" applyBorder="true" applyAlignment="true" applyProtection="false">
      <alignment horizontal="center" vertical="top" textRotation="0" wrapText="true" indent="0" shrinkToFit="false"/>
      <protection locked="true" hidden="false"/>
    </xf>
    <xf numFmtId="169" fontId="7" fillId="0" borderId="1" xfId="0" applyFont="true" applyBorder="true" applyAlignment="true" applyProtection="false">
      <alignment horizontal="center" vertical="top" textRotation="0" wrapText="true" indent="0" shrinkToFit="false"/>
      <protection locked="true" hidden="false"/>
    </xf>
    <xf numFmtId="171" fontId="7" fillId="0" borderId="1" xfId="0" applyFont="true" applyBorder="true" applyAlignment="true" applyProtection="false">
      <alignment horizontal="center" vertical="top" textRotation="0" wrapText="true" indent="0" shrinkToFit="false"/>
      <protection locked="true" hidden="false"/>
    </xf>
    <xf numFmtId="173" fontId="7" fillId="0" borderId="1" xfId="0" applyFont="true" applyBorder="true" applyAlignment="true" applyProtection="false">
      <alignment horizontal="center" vertical="top" textRotation="0" wrapText="true" indent="0" shrinkToFit="false"/>
      <protection locked="true" hidden="false"/>
    </xf>
    <xf numFmtId="174" fontId="7" fillId="0" borderId="1" xfId="0" applyFont="true" applyBorder="true" applyAlignment="true" applyProtection="false">
      <alignment horizontal="center" vertical="top" textRotation="0" wrapText="true" indent="0" shrinkToFit="false"/>
      <protection locked="true" hidden="false"/>
    </xf>
    <xf numFmtId="175" fontId="7" fillId="0" borderId="1" xfId="0" applyFont="true" applyBorder="true" applyAlignment="true" applyProtection="false">
      <alignment horizontal="center" vertical="top" textRotation="0" wrapText="true" indent="0" shrinkToFit="false"/>
      <protection locked="true" hidden="false"/>
    </xf>
    <xf numFmtId="172"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top" textRotation="0" wrapText="true" indent="0" shrinkToFit="false"/>
      <protection locked="true" hidden="false"/>
    </xf>
    <xf numFmtId="171" fontId="11" fillId="0" borderId="1" xfId="0" applyFont="true" applyBorder="true" applyAlignment="true" applyProtection="false">
      <alignment horizontal="center" vertical="top" textRotation="0" wrapText="true" indent="0" shrinkToFit="false"/>
      <protection locked="true" hidden="false"/>
    </xf>
    <xf numFmtId="170" fontId="11" fillId="0" borderId="1" xfId="0" applyFont="true" applyBorder="true" applyAlignment="true" applyProtection="false">
      <alignment horizontal="center" vertical="top" textRotation="0" wrapText="true" indent="0" shrinkToFit="false"/>
      <protection locked="true" hidden="false"/>
    </xf>
    <xf numFmtId="166" fontId="11" fillId="0" borderId="1" xfId="0" applyFont="true" applyBorder="true" applyAlignment="true" applyProtection="false">
      <alignment horizontal="center" vertical="top" textRotation="0" wrapText="true" indent="0" shrinkToFit="false"/>
      <protection locked="true" hidden="false"/>
    </xf>
    <xf numFmtId="176" fontId="7" fillId="0"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70" fontId="12" fillId="4" borderId="1" xfId="0" applyFont="true" applyBorder="true" applyAlignment="true" applyProtection="false">
      <alignment horizontal="center" vertical="top" textRotation="0" wrapText="true" indent="0" shrinkToFit="false"/>
      <protection locked="true" hidden="false"/>
    </xf>
    <xf numFmtId="177" fontId="12" fillId="4" borderId="1" xfId="0" applyFont="true" applyBorder="true" applyAlignment="true" applyProtection="false">
      <alignment horizontal="center" vertical="top" textRotation="0" wrapText="true" indent="0" shrinkToFit="false"/>
      <protection locked="true" hidden="false"/>
    </xf>
    <xf numFmtId="177"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F2CC"/>
          <bgColor rgb="FF000000"/>
        </patternFill>
      </fill>
    </dxf>
    <dxf>
      <fill>
        <patternFill>
          <bgColor rgb="FFC6EFCE"/>
        </patternFill>
      </fill>
    </dxf>
    <dxf>
      <fill>
        <patternFill>
          <bgColor rgb="FFFFEB9C"/>
        </patternFill>
      </fill>
    </dxf>
    <dxf>
      <fill>
        <patternFill patternType="solid">
          <fgColor rgb="FF0000FF"/>
          <bgColor rgb="FF000000"/>
        </patternFill>
      </fill>
    </dxf>
    <dxf>
      <fill>
        <patternFill patternType="solid">
          <fgColor rgb="FFFF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BF90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9" customFormat="false" ht="15" hidden="false" customHeight="false" outlineLevel="0" collapsed="false">
      <c r="A9" s="3" t="s">
        <v>6</v>
      </c>
    </row>
    <row r="10" customFormat="false" ht="15" hidden="false" customHeight="false" outlineLevel="0" collapsed="false">
      <c r="A10" s="5" t="s">
        <v>7</v>
      </c>
      <c r="B10" s="5" t="s">
        <v>8</v>
      </c>
    </row>
    <row r="11" customFormat="false" ht="15" hidden="false" customHeight="false" outlineLevel="0" collapsed="false">
      <c r="A11" s="6" t="s">
        <v>9</v>
      </c>
      <c r="B11" s="7" t="s">
        <v>10</v>
      </c>
    </row>
    <row r="12" customFormat="false" ht="15" hidden="false" customHeight="false" outlineLevel="0" collapsed="false">
      <c r="A12" s="6" t="s">
        <v>11</v>
      </c>
      <c r="B12" s="7" t="s">
        <v>12</v>
      </c>
    </row>
    <row r="13" customFormat="false" ht="15" hidden="false" customHeight="false" outlineLevel="0" collapsed="false">
      <c r="A13" s="6" t="s">
        <v>13</v>
      </c>
      <c r="B13" s="7" t="s">
        <v>14</v>
      </c>
    </row>
    <row r="14" customFormat="false" ht="15" hidden="false" customHeight="false" outlineLevel="0" collapsed="false">
      <c r="A14" s="6" t="s">
        <v>15</v>
      </c>
      <c r="B14" s="7" t="s">
        <v>16</v>
      </c>
    </row>
    <row r="15" customFormat="false" ht="15" hidden="false" customHeight="false" outlineLevel="0" collapsed="false">
      <c r="A15" s="6" t="s">
        <v>17</v>
      </c>
      <c r="B15" s="7" t="s">
        <v>18</v>
      </c>
    </row>
    <row r="16" customFormat="false" ht="15" hidden="false" customHeight="false" outlineLevel="0" collapsed="false">
      <c r="A16" s="6" t="s">
        <v>19</v>
      </c>
      <c r="B16" s="7" t="s">
        <v>20</v>
      </c>
    </row>
    <row r="17" customFormat="false" ht="15" hidden="false" customHeight="false" outlineLevel="0" collapsed="false">
      <c r="A17" s="6" t="s">
        <v>21</v>
      </c>
      <c r="B17" s="7" t="s">
        <v>22</v>
      </c>
    </row>
    <row r="18" customFormat="false" ht="15" hidden="false" customHeight="false" outlineLevel="0" collapsed="false">
      <c r="A18" s="6" t="s">
        <v>23</v>
      </c>
      <c r="B18" s="7" t="s">
        <v>24</v>
      </c>
    </row>
    <row r="19" customFormat="false" ht="15" hidden="false" customHeight="false" outlineLevel="0" collapsed="false">
      <c r="A19" s="6" t="s">
        <v>25</v>
      </c>
      <c r="B19" s="7" t="s">
        <v>26</v>
      </c>
    </row>
    <row r="20" customFormat="false" ht="15" hidden="false" customHeight="false" outlineLevel="0" collapsed="false">
      <c r="A20" s="6" t="s">
        <v>27</v>
      </c>
      <c r="B20" s="7" t="s">
        <v>28</v>
      </c>
    </row>
    <row r="21" customFormat="false" ht="15" hidden="false" customHeight="false" outlineLevel="0" collapsed="false">
      <c r="A21" s="6" t="s">
        <v>29</v>
      </c>
      <c r="B21" s="7" t="s">
        <v>30</v>
      </c>
    </row>
    <row r="23" customFormat="false" ht="15" hidden="false" customHeight="false" outlineLevel="0" collapsed="false">
      <c r="A23" s="3" t="s">
        <v>31</v>
      </c>
    </row>
    <row r="24" customFormat="false" ht="15" hidden="false" customHeight="false" outlineLevel="0" collapsed="false">
      <c r="A24" s="8" t="s">
        <v>32</v>
      </c>
      <c r="B24" s="7" t="s">
        <v>33</v>
      </c>
    </row>
    <row r="25" customFormat="false" ht="15" hidden="false" customHeight="false" outlineLevel="0" collapsed="false">
      <c r="A25" s="7" t="s">
        <v>34</v>
      </c>
      <c r="B25" s="7" t="s">
        <v>35</v>
      </c>
    </row>
    <row r="26" customFormat="false" ht="15" hidden="false" customHeight="false" outlineLevel="0" collapsed="false">
      <c r="A26" s="9" t="s">
        <v>36</v>
      </c>
      <c r="B26" s="7" t="s">
        <v>37</v>
      </c>
    </row>
    <row r="27" customFormat="false" ht="15" hidden="false" customHeight="false" outlineLevel="0" collapsed="false">
      <c r="A27" s="10" t="s">
        <v>38</v>
      </c>
      <c r="B27" s="7" t="s">
        <v>39</v>
      </c>
    </row>
    <row r="29" customFormat="false" ht="15" hidden="false" customHeight="false" outlineLevel="0" collapsed="false">
      <c r="A29" s="3" t="s">
        <v>40</v>
      </c>
    </row>
    <row r="30" customFormat="false" ht="15" hidden="false" customHeight="false" outlineLevel="0" collapsed="false">
      <c r="A30" s="4" t="s">
        <v>41</v>
      </c>
    </row>
    <row r="31" customFormat="false" ht="15" hidden="false" customHeight="false" outlineLevel="0" collapsed="false">
      <c r="A31" s="4" t="s">
        <v>42</v>
      </c>
    </row>
    <row r="32" customFormat="false" ht="15" hidden="false" customHeight="false" outlineLevel="0" collapsed="false">
      <c r="A32" s="4" t="s">
        <v>43</v>
      </c>
    </row>
    <row r="33" customFormat="false" ht="15" hidden="false" customHeight="false" outlineLevel="0" collapsed="false">
      <c r="A33" s="4" t="s">
        <v>44</v>
      </c>
    </row>
    <row r="34" customFormat="false" ht="15" hidden="false" customHeight="false" outlineLevel="0" collapsed="false">
      <c r="A34" s="4" t="s">
        <v>45</v>
      </c>
    </row>
    <row r="36" customFormat="false" ht="15" hidden="false" customHeight="false" outlineLevel="0" collapsed="false">
      <c r="A36" s="11" t="s">
        <v>46</v>
      </c>
    </row>
    <row r="37" customFormat="false" ht="15" hidden="false" customHeight="false" outlineLevel="0" collapsed="false">
      <c r="A37" s="4" t="s">
        <v>47</v>
      </c>
    </row>
    <row r="38" customFormat="false" ht="15" hidden="false" customHeight="false" outlineLevel="0" collapsed="false">
      <c r="A38" s="4" t="s">
        <v>48</v>
      </c>
    </row>
    <row r="39" customFormat="false" ht="15" hidden="false" customHeight="false" outlineLevel="0" collapsed="false">
      <c r="A39" s="4" t="s">
        <v>49</v>
      </c>
    </row>
    <row r="40" customFormat="false" ht="15" hidden="false" customHeight="false" outlineLevel="0" collapsed="false">
      <c r="A40" s="4"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8.55" hidden="false" customHeight="false" outlineLevel="0" collapsed="false">
      <c r="A1" s="1" t="s">
        <v>51</v>
      </c>
    </row>
    <row r="2" customFormat="false" ht="15" hidden="false" customHeight="false" outlineLevel="0" collapsed="false">
      <c r="A2" s="2" t="s">
        <v>52</v>
      </c>
    </row>
    <row r="4" customFormat="false" ht="15" hidden="false" customHeight="false" outlineLevel="0" collapsed="false">
      <c r="A4" s="5" t="s">
        <v>53</v>
      </c>
      <c r="B4" s="5" t="s">
        <v>54</v>
      </c>
    </row>
    <row r="5" customFormat="false" ht="23.85" hidden="false" customHeight="false" outlineLevel="0" collapsed="false">
      <c r="A5" s="6" t="s">
        <v>55</v>
      </c>
      <c r="B5" s="7" t="s">
        <v>56</v>
      </c>
    </row>
    <row r="6" customFormat="false" ht="23.85" hidden="false" customHeight="false" outlineLevel="0" collapsed="false">
      <c r="A6" s="6" t="s">
        <v>57</v>
      </c>
      <c r="B6" s="7" t="s">
        <v>58</v>
      </c>
    </row>
    <row r="7" customFormat="false" ht="23.85" hidden="false" customHeight="false" outlineLevel="0" collapsed="false">
      <c r="A7" s="6" t="s">
        <v>59</v>
      </c>
      <c r="B7" s="7" t="s">
        <v>60</v>
      </c>
    </row>
    <row r="8" customFormat="false" ht="15" hidden="false" customHeight="false" outlineLevel="0" collapsed="false">
      <c r="A8" s="6" t="s">
        <v>61</v>
      </c>
      <c r="B8" s="7" t="s">
        <v>62</v>
      </c>
    </row>
    <row r="9" customFormat="false" ht="23.85" hidden="false" customHeight="false" outlineLevel="0" collapsed="false">
      <c r="A9" s="6" t="s">
        <v>63</v>
      </c>
      <c r="B9" s="7" t="s">
        <v>64</v>
      </c>
    </row>
    <row r="10" customFormat="false" ht="23.85" hidden="false" customHeight="false" outlineLevel="0" collapsed="false">
      <c r="A10" s="6" t="s">
        <v>65</v>
      </c>
      <c r="B10" s="7" t="s">
        <v>66</v>
      </c>
    </row>
    <row r="11" customFormat="false" ht="23.85" hidden="false" customHeight="false" outlineLevel="0" collapsed="false">
      <c r="A11" s="6" t="s">
        <v>25</v>
      </c>
      <c r="B11" s="7" t="s">
        <v>67</v>
      </c>
    </row>
    <row r="12" customFormat="false" ht="23.85" hidden="false" customHeight="false" outlineLevel="0" collapsed="false">
      <c r="A12" s="6" t="s">
        <v>68</v>
      </c>
      <c r="B12" s="7" t="s">
        <v>69</v>
      </c>
    </row>
    <row r="13" customFormat="false" ht="23.85" hidden="false" customHeight="false" outlineLevel="0" collapsed="false">
      <c r="A13" s="6" t="s">
        <v>70</v>
      </c>
      <c r="B13" s="7" t="s">
        <v>71</v>
      </c>
    </row>
    <row r="14" customFormat="false" ht="23.85" hidden="false" customHeight="false" outlineLevel="0" collapsed="false">
      <c r="A14" s="6" t="s">
        <v>72</v>
      </c>
      <c r="B14" s="7" t="s">
        <v>73</v>
      </c>
    </row>
    <row r="15" customFormat="false" ht="23.85" hidden="false" customHeight="false" outlineLevel="0" collapsed="false">
      <c r="A15" s="6" t="s">
        <v>74</v>
      </c>
      <c r="B15" s="7" t="s">
        <v>75</v>
      </c>
    </row>
    <row r="16" customFormat="false" ht="23.85" hidden="false" customHeight="false" outlineLevel="0" collapsed="false">
      <c r="A16" s="6" t="s">
        <v>76</v>
      </c>
      <c r="B16" s="7" t="s">
        <v>77</v>
      </c>
    </row>
    <row r="17" customFormat="false" ht="23.85" hidden="false" customHeight="false" outlineLevel="0" collapsed="false">
      <c r="A17" s="6" t="s">
        <v>78</v>
      </c>
      <c r="B17" s="7"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2"/>
    <col collapsed="false" customWidth="true" hidden="false" outlineLevel="0" max="4" min="4" style="0" width="70"/>
  </cols>
  <sheetData>
    <row r="1" customFormat="false" ht="18.55" hidden="false" customHeight="false" outlineLevel="0" collapsed="false">
      <c r="A1" s="1" t="s">
        <v>80</v>
      </c>
    </row>
    <row r="2" customFormat="false" ht="15" hidden="false" customHeight="false" outlineLevel="0" collapsed="false">
      <c r="A2" s="2" t="s">
        <v>81</v>
      </c>
    </row>
    <row r="4" customFormat="false" ht="15" hidden="false" customHeight="false" outlineLevel="0" collapsed="false">
      <c r="A4" s="12" t="s">
        <v>82</v>
      </c>
      <c r="B4" s="12"/>
      <c r="C4" s="12"/>
      <c r="D4" s="12"/>
    </row>
    <row r="5" customFormat="false" ht="15" hidden="false" customHeight="false" outlineLevel="0" collapsed="false">
      <c r="A5" s="7" t="s">
        <v>83</v>
      </c>
      <c r="B5" s="13" t="n">
        <v>46307</v>
      </c>
      <c r="C5" s="7"/>
      <c r="D5" s="14" t="s">
        <v>84</v>
      </c>
    </row>
    <row r="6" customFormat="false" ht="23.85" hidden="false" customHeight="false" outlineLevel="0" collapsed="false">
      <c r="A6" s="7" t="s">
        <v>85</v>
      </c>
      <c r="B6" s="15" t="n">
        <v>2</v>
      </c>
      <c r="C6" s="7"/>
      <c r="D6" s="14" t="s">
        <v>86</v>
      </c>
    </row>
    <row r="7" customFormat="false" ht="15" hidden="false" customHeight="false" outlineLevel="0" collapsed="false">
      <c r="A7" s="7" t="s">
        <v>87</v>
      </c>
      <c r="B7" s="16" t="s">
        <v>88</v>
      </c>
      <c r="C7" s="7"/>
      <c r="D7" s="14" t="s">
        <v>89</v>
      </c>
    </row>
    <row r="8" customFormat="false" ht="23.85" hidden="false" customHeight="false" outlineLevel="0" collapsed="false">
      <c r="A8" s="7" t="s">
        <v>90</v>
      </c>
      <c r="B8" s="16" t="s">
        <v>91</v>
      </c>
      <c r="C8" s="7"/>
      <c r="D8" s="14" t="s">
        <v>92</v>
      </c>
    </row>
    <row r="9" customFormat="false" ht="23.85" hidden="false" customHeight="false" outlineLevel="0" collapsed="false">
      <c r="A9" s="7" t="s">
        <v>93</v>
      </c>
      <c r="B9" s="17" t="n">
        <v>0.2</v>
      </c>
      <c r="C9" s="7"/>
      <c r="D9" s="14" t="s">
        <v>94</v>
      </c>
    </row>
    <row r="11" customFormat="false" ht="15" hidden="false" customHeight="false" outlineLevel="0" collapsed="false">
      <c r="A11" s="12" t="s">
        <v>95</v>
      </c>
      <c r="B11" s="12"/>
      <c r="C11" s="12"/>
      <c r="D11" s="12"/>
    </row>
    <row r="12" customFormat="false" ht="23.85" hidden="false" customHeight="false" outlineLevel="0" collapsed="false">
      <c r="A12" s="7" t="s">
        <v>96</v>
      </c>
      <c r="B12" s="18" t="n">
        <v>1</v>
      </c>
      <c r="C12" s="7"/>
      <c r="D12" s="14" t="s">
        <v>97</v>
      </c>
    </row>
    <row r="13" customFormat="false" ht="23.85" hidden="false" customHeight="false" outlineLevel="0" collapsed="false">
      <c r="A13" s="7" t="s">
        <v>98</v>
      </c>
      <c r="B13" s="19" t="n">
        <v>0.01</v>
      </c>
      <c r="C13" s="7"/>
      <c r="D13" s="14" t="s">
        <v>99</v>
      </c>
    </row>
    <row r="14" customFormat="false" ht="15" hidden="false" customHeight="false" outlineLevel="0" collapsed="false">
      <c r="A14" s="7" t="s">
        <v>100</v>
      </c>
      <c r="B14" s="20" t="n">
        <v>0.1</v>
      </c>
      <c r="C14" s="7"/>
      <c r="D14" s="14" t="s">
        <v>101</v>
      </c>
    </row>
    <row r="15" customFormat="false" ht="15" hidden="false" customHeight="false" outlineLevel="0" collapsed="false">
      <c r="A15" s="7" t="s">
        <v>102</v>
      </c>
      <c r="B15" s="21" t="n">
        <v>500</v>
      </c>
      <c r="C15" s="7"/>
      <c r="D15" s="14" t="s">
        <v>103</v>
      </c>
    </row>
    <row r="16" customFormat="false" ht="23.85" hidden="false" customHeight="false" outlineLevel="0" collapsed="false">
      <c r="A16" s="7" t="s">
        <v>104</v>
      </c>
      <c r="B16" s="18" t="n">
        <v>5</v>
      </c>
      <c r="C16" s="7"/>
      <c r="D16" s="14" t="s">
        <v>105</v>
      </c>
    </row>
    <row r="18" customFormat="false" ht="15" hidden="false" customHeight="false" outlineLevel="0" collapsed="false">
      <c r="A18" s="12" t="s">
        <v>106</v>
      </c>
      <c r="B18" s="12"/>
      <c r="C18" s="12"/>
      <c r="D18" s="12"/>
    </row>
    <row r="19" customFormat="false" ht="23.85" hidden="false" customHeight="false" outlineLevel="0" collapsed="false">
      <c r="A19" s="5" t="s">
        <v>107</v>
      </c>
      <c r="B19" s="5" t="s">
        <v>108</v>
      </c>
      <c r="C19" s="5" t="s">
        <v>109</v>
      </c>
      <c r="D19" s="5" t="s">
        <v>110</v>
      </c>
    </row>
    <row r="20" customFormat="false" ht="23.85" hidden="false" customHeight="false" outlineLevel="0" collapsed="false">
      <c r="A20" s="7" t="s">
        <v>111</v>
      </c>
      <c r="B20" s="22" t="n">
        <v>2</v>
      </c>
      <c r="C20" s="22" t="n">
        <v>15</v>
      </c>
      <c r="D20" s="14" t="s">
        <v>112</v>
      </c>
    </row>
    <row r="21" customFormat="false" ht="15" hidden="false" customHeight="false" outlineLevel="0" collapsed="false">
      <c r="A21" s="7" t="s">
        <v>113</v>
      </c>
      <c r="B21" s="22" t="n">
        <v>4</v>
      </c>
      <c r="C21" s="22" t="n">
        <v>25</v>
      </c>
      <c r="D21" s="14" t="s">
        <v>114</v>
      </c>
    </row>
    <row r="22" customFormat="false" ht="15" hidden="false" customHeight="false" outlineLevel="0" collapsed="false">
      <c r="A22" s="7" t="s">
        <v>115</v>
      </c>
      <c r="B22" s="22" t="n">
        <v>8</v>
      </c>
      <c r="C22" s="22" t="n">
        <v>40</v>
      </c>
      <c r="D22" s="14" t="s">
        <v>116</v>
      </c>
    </row>
    <row r="24" customFormat="false" ht="15" hidden="false" customHeight="false" outlineLevel="0" collapsed="false">
      <c r="A24" s="12" t="s">
        <v>117</v>
      </c>
      <c r="B24" s="12"/>
      <c r="C24" s="12"/>
      <c r="D24" s="12"/>
    </row>
    <row r="25" customFormat="false" ht="15" hidden="false" customHeight="false" outlineLevel="0" collapsed="false">
      <c r="A25" s="7" t="s">
        <v>118</v>
      </c>
      <c r="B25" s="22" t="n">
        <v>30</v>
      </c>
      <c r="C25" s="7"/>
      <c r="D25" s="14" t="s">
        <v>119</v>
      </c>
    </row>
    <row r="26" customFormat="false" ht="15" hidden="false" customHeight="false" outlineLevel="0" collapsed="false">
      <c r="A26" s="7" t="s">
        <v>120</v>
      </c>
      <c r="B26" s="22" t="n">
        <v>30</v>
      </c>
      <c r="C26" s="7"/>
      <c r="D26" s="14" t="s">
        <v>121</v>
      </c>
    </row>
    <row r="27" customFormat="false" ht="23.85" hidden="false" customHeight="false" outlineLevel="0" collapsed="false">
      <c r="A27" s="7" t="s">
        <v>122</v>
      </c>
      <c r="B27" s="23" t="n">
        <v>0.05</v>
      </c>
      <c r="C27" s="7"/>
      <c r="D27" s="14" t="s">
        <v>123</v>
      </c>
    </row>
    <row r="28" customFormat="false" ht="23.85" hidden="false" customHeight="false" outlineLevel="0" collapsed="false">
      <c r="A28" s="7" t="s">
        <v>124</v>
      </c>
      <c r="B28" s="20" t="n">
        <v>0.3</v>
      </c>
      <c r="C28" s="7"/>
      <c r="D28" s="14" t="s">
        <v>125</v>
      </c>
    </row>
    <row r="29" customFormat="false" ht="15" hidden="false" customHeight="false" outlineLevel="0" collapsed="false">
      <c r="A29" s="7" t="s">
        <v>126</v>
      </c>
      <c r="B29" s="20" t="n">
        <v>0.8</v>
      </c>
      <c r="C29" s="7"/>
      <c r="D29" s="14" t="s">
        <v>127</v>
      </c>
    </row>
    <row r="31" customFormat="false" ht="15" hidden="false" customHeight="false" outlineLevel="0" collapsed="false">
      <c r="A31" s="12" t="s">
        <v>128</v>
      </c>
      <c r="B31" s="12"/>
      <c r="C31" s="12"/>
      <c r="D31" s="12"/>
    </row>
    <row r="32" customFormat="false" ht="23.85" hidden="false" customHeight="false" outlineLevel="0" collapsed="false">
      <c r="A32" s="7" t="s">
        <v>129</v>
      </c>
      <c r="B32" s="16" t="s">
        <v>113</v>
      </c>
      <c r="C32" s="7"/>
      <c r="D32" s="14" t="s">
        <v>130</v>
      </c>
    </row>
    <row r="33" customFormat="false" ht="15" hidden="false" customHeight="false" outlineLevel="0" collapsed="false">
      <c r="A33" s="7" t="s">
        <v>131</v>
      </c>
      <c r="B33" s="16" t="s">
        <v>132</v>
      </c>
      <c r="C33" s="7"/>
      <c r="D33" s="14" t="s">
        <v>133</v>
      </c>
    </row>
    <row r="35" customFormat="false" ht="15" hidden="false" customHeight="false" outlineLevel="0" collapsed="false">
      <c r="A35" s="12" t="s">
        <v>134</v>
      </c>
      <c r="B35" s="12"/>
      <c r="C35" s="12"/>
      <c r="D35" s="12"/>
    </row>
    <row r="36" customFormat="false" ht="15" hidden="false" customHeight="false" outlineLevel="0" collapsed="false">
      <c r="A36" s="7" t="s">
        <v>135</v>
      </c>
      <c r="B36" s="24" t="n">
        <f aca="false">$B$5+7</f>
        <v>46314</v>
      </c>
      <c r="C36" s="7"/>
      <c r="D36" s="14" t="s">
        <v>136</v>
      </c>
    </row>
    <row r="37" customFormat="false" ht="15" hidden="false" customHeight="false" outlineLevel="0" collapsed="false">
      <c r="A37" s="7" t="s">
        <v>137</v>
      </c>
      <c r="B37" s="24" t="n">
        <f aca="false">$B$5+28</f>
        <v>46335</v>
      </c>
      <c r="C37" s="7"/>
      <c r="D37" s="14" t="s">
        <v>136</v>
      </c>
    </row>
    <row r="38" customFormat="false" ht="15" hidden="false" customHeight="false" outlineLevel="0" collapsed="false">
      <c r="A38" s="7" t="s">
        <v>138</v>
      </c>
      <c r="B38" s="24" t="n">
        <f aca="false">$B$5+49</f>
        <v>46356</v>
      </c>
      <c r="C38" s="7"/>
      <c r="D38" s="14" t="s">
        <v>136</v>
      </c>
    </row>
    <row r="39" customFormat="false" ht="15" hidden="false" customHeight="false" outlineLevel="0" collapsed="false">
      <c r="A39" s="7" t="s">
        <v>139</v>
      </c>
      <c r="B39" s="24" t="n">
        <f aca="false">$B$5+70</f>
        <v>46377</v>
      </c>
      <c r="C39" s="7"/>
      <c r="D39" s="14" t="s">
        <v>136</v>
      </c>
    </row>
    <row r="40" customFormat="false" ht="15" hidden="false" customHeight="false" outlineLevel="0" collapsed="false">
      <c r="A40" s="7" t="s">
        <v>140</v>
      </c>
      <c r="B40" s="24" t="n">
        <f aca="false">$B$5+98</f>
        <v>46405</v>
      </c>
      <c r="C40" s="7"/>
      <c r="D40" s="14" t="s">
        <v>136</v>
      </c>
    </row>
  </sheetData>
  <dataValidations count="2">
    <dataValidation allowBlank="false" errorStyle="stop" operator="between" showDropDown="false" showErrorMessage="false" showInputMessage="false" sqref="B32" type="list">
      <formula1>"Ảnh chữ,Carousel,Reel"</formula1>
      <formula2>0</formula2>
    </dataValidation>
    <dataValidation allowBlank="false" errorStyle="stop" operator="between" showDropDown="false" showErrorMessage="false" showInputMessage="false" sqref="B33" type="list">
      <formula1>"A,B,C"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4"/>
    <col collapsed="false" customWidth="true" hidden="false" outlineLevel="0" max="5" min="4" style="0" width="28"/>
    <col collapsed="false" customWidth="true" hidden="false" outlineLevel="0" max="6" min="6" style="0" width="34"/>
    <col collapsed="false" customWidth="true" hidden="false" outlineLevel="0" max="7" min="7" style="0" width="50"/>
    <col collapsed="false" customWidth="true" hidden="false" outlineLevel="0" max="8" min="8" style="0" width="14"/>
    <col collapsed="false" customWidth="true" hidden="false" outlineLevel="0" max="9" min="9" style="0" width="16"/>
    <col collapsed="false" customWidth="true" hidden="false" outlineLevel="0" max="11" min="10" style="0" width="26"/>
  </cols>
  <sheetData>
    <row r="1" customFormat="false" ht="18.55" hidden="false" customHeight="false" outlineLevel="0" collapsed="false">
      <c r="A1" s="1" t="s">
        <v>141</v>
      </c>
    </row>
    <row r="2" customFormat="false" ht="15" hidden="false" customHeight="false" outlineLevel="0" collapsed="false">
      <c r="A2" s="2" t="s">
        <v>142</v>
      </c>
    </row>
    <row r="4" customFormat="false" ht="23.85" hidden="false" customHeight="false" outlineLevel="0" collapsed="false">
      <c r="A4" s="5" t="s">
        <v>143</v>
      </c>
      <c r="B4" s="5" t="s">
        <v>144</v>
      </c>
      <c r="C4" s="5" t="s">
        <v>145</v>
      </c>
      <c r="D4" s="5" t="s">
        <v>146</v>
      </c>
      <c r="E4" s="5" t="s">
        <v>147</v>
      </c>
      <c r="F4" s="5" t="s">
        <v>148</v>
      </c>
      <c r="G4" s="5" t="s">
        <v>149</v>
      </c>
      <c r="H4" s="5" t="s">
        <v>150</v>
      </c>
      <c r="I4" s="5" t="s">
        <v>151</v>
      </c>
      <c r="J4" s="5" t="s">
        <v>152</v>
      </c>
      <c r="K4" s="5" t="s">
        <v>153</v>
      </c>
    </row>
    <row r="5" customFormat="false" ht="35.05" hidden="false" customHeight="false" outlineLevel="0" collapsed="false">
      <c r="A5" s="25" t="s">
        <v>154</v>
      </c>
      <c r="B5" s="7" t="s">
        <v>155</v>
      </c>
      <c r="C5" s="7" t="s">
        <v>156</v>
      </c>
      <c r="D5" s="7" t="s">
        <v>157</v>
      </c>
      <c r="E5" s="7" t="s">
        <v>158</v>
      </c>
      <c r="F5" s="7" t="s">
        <v>159</v>
      </c>
      <c r="G5" s="7" t="s">
        <v>160</v>
      </c>
      <c r="H5" s="25" t="s">
        <v>161</v>
      </c>
      <c r="I5" s="25" t="s">
        <v>162</v>
      </c>
      <c r="J5" s="8"/>
      <c r="K5" s="8"/>
    </row>
    <row r="6" customFormat="false" ht="35.05" hidden="false" customHeight="false" outlineLevel="0" collapsed="false">
      <c r="A6" s="25" t="s">
        <v>163</v>
      </c>
      <c r="B6" s="7" t="s">
        <v>164</v>
      </c>
      <c r="C6" s="7" t="s">
        <v>165</v>
      </c>
      <c r="D6" s="7" t="s">
        <v>166</v>
      </c>
      <c r="E6" s="7" t="s">
        <v>167</v>
      </c>
      <c r="F6" s="7" t="s">
        <v>168</v>
      </c>
      <c r="G6" s="7" t="s">
        <v>169</v>
      </c>
      <c r="H6" s="25" t="s">
        <v>170</v>
      </c>
      <c r="I6" s="25" t="s">
        <v>162</v>
      </c>
      <c r="J6" s="8"/>
      <c r="K6" s="8"/>
    </row>
    <row r="7" customFormat="false" ht="23.85" hidden="false" customHeight="false" outlineLevel="0" collapsed="false">
      <c r="A7" s="25" t="s">
        <v>171</v>
      </c>
      <c r="B7" s="7" t="s">
        <v>172</v>
      </c>
      <c r="C7" s="7" t="s">
        <v>173</v>
      </c>
      <c r="D7" s="7" t="s">
        <v>174</v>
      </c>
      <c r="E7" s="7" t="s">
        <v>175</v>
      </c>
      <c r="F7" s="7" t="s">
        <v>176</v>
      </c>
      <c r="G7" s="7" t="s">
        <v>177</v>
      </c>
      <c r="H7" s="25" t="s">
        <v>170</v>
      </c>
      <c r="I7" s="25" t="s">
        <v>162</v>
      </c>
      <c r="J7" s="8"/>
      <c r="K7" s="8"/>
    </row>
    <row r="8" customFormat="false" ht="23.85" hidden="false" customHeight="false" outlineLevel="0" collapsed="false">
      <c r="A8" s="25" t="s">
        <v>178</v>
      </c>
      <c r="B8" s="7" t="s">
        <v>179</v>
      </c>
      <c r="C8" s="7" t="s">
        <v>180</v>
      </c>
      <c r="D8" s="7" t="s">
        <v>181</v>
      </c>
      <c r="E8" s="7" t="s">
        <v>182</v>
      </c>
      <c r="F8" s="7" t="s">
        <v>183</v>
      </c>
      <c r="G8" s="7" t="s">
        <v>184</v>
      </c>
      <c r="H8" s="25" t="s">
        <v>170</v>
      </c>
      <c r="I8" s="25" t="s">
        <v>162</v>
      </c>
      <c r="J8" s="8"/>
      <c r="K8" s="8"/>
    </row>
    <row r="9" customFormat="false" ht="35.05" hidden="false" customHeight="false" outlineLevel="0" collapsed="false">
      <c r="A9" s="25" t="s">
        <v>185</v>
      </c>
      <c r="B9" s="7" t="s">
        <v>186</v>
      </c>
      <c r="C9" s="7" t="s">
        <v>187</v>
      </c>
      <c r="D9" s="7" t="s">
        <v>188</v>
      </c>
      <c r="E9" s="7" t="s">
        <v>189</v>
      </c>
      <c r="F9" s="7" t="s">
        <v>190</v>
      </c>
      <c r="G9" s="7" t="s">
        <v>191</v>
      </c>
      <c r="H9" s="25" t="s">
        <v>192</v>
      </c>
      <c r="I9" s="25" t="s">
        <v>162</v>
      </c>
      <c r="J9" s="8"/>
      <c r="K9" s="8"/>
    </row>
    <row r="10" customFormat="false" ht="23.85" hidden="false" customHeight="false" outlineLevel="0" collapsed="false">
      <c r="A10" s="25" t="s">
        <v>193</v>
      </c>
      <c r="B10" s="7" t="s">
        <v>194</v>
      </c>
      <c r="C10" s="7" t="s">
        <v>195</v>
      </c>
      <c r="D10" s="7" t="s">
        <v>196</v>
      </c>
      <c r="E10" s="7" t="s">
        <v>197</v>
      </c>
      <c r="F10" s="7" t="s">
        <v>198</v>
      </c>
      <c r="G10" s="7" t="s">
        <v>199</v>
      </c>
      <c r="H10" s="25" t="s">
        <v>170</v>
      </c>
      <c r="I10" s="25" t="s">
        <v>162</v>
      </c>
      <c r="J10" s="8"/>
      <c r="K10" s="8"/>
    </row>
    <row r="11" customFormat="false" ht="35.05" hidden="false" customHeight="false" outlineLevel="0" collapsed="false">
      <c r="A11" s="25" t="s">
        <v>200</v>
      </c>
      <c r="B11" s="7" t="s">
        <v>201</v>
      </c>
      <c r="C11" s="7" t="s">
        <v>202</v>
      </c>
      <c r="D11" s="7" t="s">
        <v>203</v>
      </c>
      <c r="E11" s="7" t="s">
        <v>204</v>
      </c>
      <c r="F11" s="7" t="s">
        <v>205</v>
      </c>
      <c r="G11" s="7" t="s">
        <v>206</v>
      </c>
      <c r="H11" s="25" t="s">
        <v>161</v>
      </c>
      <c r="I11" s="25" t="s">
        <v>207</v>
      </c>
      <c r="J11" s="8"/>
      <c r="K11" s="8"/>
    </row>
    <row r="12" customFormat="false" ht="35.05" hidden="false" customHeight="false" outlineLevel="0" collapsed="false">
      <c r="A12" s="25" t="s">
        <v>208</v>
      </c>
      <c r="B12" s="7" t="s">
        <v>209</v>
      </c>
      <c r="C12" s="7" t="s">
        <v>210</v>
      </c>
      <c r="D12" s="7" t="s">
        <v>211</v>
      </c>
      <c r="E12" s="7" t="s">
        <v>212</v>
      </c>
      <c r="F12" s="7" t="s">
        <v>213</v>
      </c>
      <c r="G12" s="7" t="s">
        <v>170</v>
      </c>
      <c r="H12" s="25" t="s">
        <v>207</v>
      </c>
      <c r="J12" s="8"/>
      <c r="K12" s="8"/>
    </row>
    <row r="14" customFormat="false" ht="15" hidden="false" customHeight="false" outlineLevel="0" collapsed="false">
      <c r="A14" s="26" t="s">
        <v>214</v>
      </c>
    </row>
    <row r="15" customFormat="false" ht="15" hidden="false" customHeight="false" outlineLevel="0" collapsed="false">
      <c r="A15" s="4" t="s">
        <v>215</v>
      </c>
    </row>
    <row r="16" customFormat="false" ht="15" hidden="false" customHeight="false" outlineLevel="0" collapsed="false">
      <c r="A16" s="4" t="s">
        <v>216</v>
      </c>
    </row>
    <row r="17" customFormat="false" ht="15" hidden="false" customHeight="false" outlineLevel="0" collapsed="false">
      <c r="A17" s="4" t="s">
        <v>217</v>
      </c>
    </row>
    <row r="18" customFormat="false" ht="15" hidden="false" customHeight="false" outlineLevel="0" collapsed="false">
      <c r="A18" s="4" t="s">
        <v>218</v>
      </c>
    </row>
    <row r="19" customFormat="false" ht="15" hidden="false" customHeight="false" outlineLevel="0" collapsed="false">
      <c r="A19" s="4" t="s">
        <v>219</v>
      </c>
    </row>
    <row r="20" customFormat="false" ht="15" hidden="false" customHeight="false" outlineLevel="0" collapsed="false">
      <c r="A20" s="4"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0"/>
    <col collapsed="false" customWidth="true" hidden="false" outlineLevel="0" max="4" min="4" style="0" width="36"/>
    <col collapsed="false" customWidth="true" hidden="false" outlineLevel="0" max="5" min="5" style="0" width="34"/>
    <col collapsed="false" customWidth="true" hidden="false" outlineLevel="0" max="6" min="6" style="0" width="14"/>
    <col collapsed="false" customWidth="true" hidden="false" outlineLevel="0" max="7" min="7" style="0" width="22"/>
    <col collapsed="false" customWidth="true" hidden="false" outlineLevel="0" max="8" min="8" style="0" width="34"/>
    <col collapsed="false" customWidth="true" hidden="false" outlineLevel="0" max="9" min="9" style="0" width="52"/>
    <col collapsed="false" customWidth="true" hidden="false" outlineLevel="0" max="10" min="10" style="0" width="30"/>
  </cols>
  <sheetData>
    <row r="1" customFormat="false" ht="18.55" hidden="false" customHeight="false" outlineLevel="0" collapsed="false">
      <c r="A1" s="1" t="s">
        <v>221</v>
      </c>
    </row>
    <row r="2" customFormat="false" ht="15" hidden="false" customHeight="false" outlineLevel="0" collapsed="false">
      <c r="A2" s="2" t="s">
        <v>222</v>
      </c>
    </row>
    <row r="4" customFormat="false" ht="15" hidden="false" customHeight="false" outlineLevel="0" collapsed="false">
      <c r="A4" s="5" t="s">
        <v>223</v>
      </c>
      <c r="B4" s="5" t="s">
        <v>224</v>
      </c>
      <c r="C4" s="5" t="s">
        <v>225</v>
      </c>
      <c r="D4" s="5" t="s">
        <v>226</v>
      </c>
      <c r="E4" s="5" t="s">
        <v>227</v>
      </c>
      <c r="F4" s="5" t="s">
        <v>228</v>
      </c>
      <c r="G4" s="5" t="s">
        <v>229</v>
      </c>
      <c r="H4" s="5" t="s">
        <v>230</v>
      </c>
      <c r="I4" s="5" t="s">
        <v>231</v>
      </c>
      <c r="J4" s="5" t="s">
        <v>232</v>
      </c>
    </row>
    <row r="5" customFormat="false" ht="46.25" hidden="false" customHeight="false" outlineLevel="0" collapsed="false">
      <c r="A5" s="27" t="s">
        <v>233</v>
      </c>
      <c r="B5" s="7" t="s">
        <v>234</v>
      </c>
      <c r="C5" s="7" t="s">
        <v>235</v>
      </c>
      <c r="D5" s="7" t="s">
        <v>236</v>
      </c>
      <c r="E5" s="7" t="s">
        <v>237</v>
      </c>
      <c r="F5" s="25" t="s">
        <v>238</v>
      </c>
      <c r="G5" s="7" t="s">
        <v>239</v>
      </c>
      <c r="H5" s="7" t="s">
        <v>240</v>
      </c>
      <c r="I5" s="7" t="s">
        <v>241</v>
      </c>
      <c r="J5" s="7" t="s">
        <v>242</v>
      </c>
    </row>
    <row r="6" customFormat="false" ht="35.05" hidden="false" customHeight="false" outlineLevel="0" collapsed="false">
      <c r="A6" s="27" t="s">
        <v>243</v>
      </c>
      <c r="B6" s="7" t="s">
        <v>244</v>
      </c>
      <c r="C6" s="7" t="s">
        <v>245</v>
      </c>
      <c r="D6" s="7" t="s">
        <v>246</v>
      </c>
      <c r="E6" s="7" t="s">
        <v>247</v>
      </c>
      <c r="F6" s="25" t="s">
        <v>248</v>
      </c>
      <c r="G6" s="7" t="s">
        <v>249</v>
      </c>
      <c r="H6" s="7" t="s">
        <v>250</v>
      </c>
      <c r="I6" s="7" t="s">
        <v>251</v>
      </c>
      <c r="J6" s="7" t="s">
        <v>252</v>
      </c>
    </row>
    <row r="7" customFormat="false" ht="35.05" hidden="false" customHeight="false" outlineLevel="0" collapsed="false">
      <c r="A7" s="27" t="s">
        <v>253</v>
      </c>
      <c r="B7" s="7" t="s">
        <v>254</v>
      </c>
      <c r="C7" s="7" t="s">
        <v>255</v>
      </c>
      <c r="D7" s="7" t="s">
        <v>256</v>
      </c>
      <c r="E7" s="7" t="s">
        <v>257</v>
      </c>
      <c r="F7" s="25" t="s">
        <v>258</v>
      </c>
      <c r="G7" s="7" t="s">
        <v>259</v>
      </c>
      <c r="H7" s="7" t="s">
        <v>260</v>
      </c>
      <c r="I7" s="7" t="s">
        <v>261</v>
      </c>
      <c r="J7" s="7" t="s">
        <v>262</v>
      </c>
    </row>
    <row r="8" customFormat="false" ht="35.05" hidden="false" customHeight="false" outlineLevel="0" collapsed="false">
      <c r="A8" s="27" t="s">
        <v>263</v>
      </c>
      <c r="B8" s="7" t="s">
        <v>264</v>
      </c>
      <c r="C8" s="7" t="s">
        <v>265</v>
      </c>
      <c r="D8" s="7" t="s">
        <v>266</v>
      </c>
      <c r="E8" s="7" t="s">
        <v>267</v>
      </c>
      <c r="F8" s="25" t="s">
        <v>268</v>
      </c>
      <c r="G8" s="7" t="s">
        <v>269</v>
      </c>
      <c r="H8" s="7" t="s">
        <v>270</v>
      </c>
      <c r="I8" s="7" t="s">
        <v>271</v>
      </c>
      <c r="J8" s="7" t="s">
        <v>272</v>
      </c>
    </row>
    <row r="9" customFormat="false" ht="35.05" hidden="false" customHeight="false" outlineLevel="0" collapsed="false">
      <c r="A9" s="27" t="s">
        <v>273</v>
      </c>
      <c r="B9" s="7" t="s">
        <v>274</v>
      </c>
      <c r="C9" s="7" t="s">
        <v>275</v>
      </c>
      <c r="D9" s="7" t="s">
        <v>276</v>
      </c>
      <c r="E9" s="7" t="s">
        <v>277</v>
      </c>
      <c r="F9" s="25" t="s">
        <v>278</v>
      </c>
      <c r="G9" s="7" t="s">
        <v>279</v>
      </c>
      <c r="H9" s="7" t="s">
        <v>280</v>
      </c>
      <c r="I9" s="7" t="s">
        <v>281</v>
      </c>
      <c r="J9" s="7" t="s">
        <v>282</v>
      </c>
    </row>
    <row r="11" customFormat="false" ht="15" hidden="false" customHeight="false" outlineLevel="0" collapsed="false">
      <c r="A11" s="3" t="s">
        <v>283</v>
      </c>
    </row>
    <row r="12" customFormat="false" ht="15" hidden="false" customHeight="false" outlineLevel="0" collapsed="false">
      <c r="A12" s="4" t="s">
        <v>284</v>
      </c>
    </row>
    <row r="13" customFormat="false" ht="15" hidden="false" customHeight="false" outlineLevel="0" collapsed="false">
      <c r="A13" s="4" t="s">
        <v>285</v>
      </c>
    </row>
    <row r="14" customFormat="false" ht="15" hidden="false" customHeight="false" outlineLevel="0" collapsed="false">
      <c r="A14" s="4" t="s">
        <v>286</v>
      </c>
    </row>
    <row r="15" customFormat="false" ht="15" hidden="false" customHeight="false" outlineLevel="0" collapsed="false">
      <c r="A15" s="4" t="s">
        <v>287</v>
      </c>
    </row>
    <row r="16" customFormat="false" ht="15" hidden="false" customHeight="false" outlineLevel="0" collapsed="false">
      <c r="A16" s="4" t="s">
        <v>288</v>
      </c>
    </row>
    <row r="17" customFormat="false" ht="15" hidden="false" customHeight="false" outlineLevel="0" collapsed="false">
      <c r="A17" s="4" t="s">
        <v>289</v>
      </c>
    </row>
    <row r="18" customFormat="false" ht="15" hidden="false" customHeight="false" outlineLevel="0" collapsed="false">
      <c r="A18" s="4" t="s">
        <v>290</v>
      </c>
    </row>
    <row r="20" customFormat="false" ht="15" hidden="false" customHeight="false" outlineLevel="0" collapsed="false">
      <c r="A20" s="3" t="s">
        <v>291</v>
      </c>
    </row>
    <row r="21" customFormat="false" ht="15" hidden="false" customHeight="false" outlineLevel="0" collapsed="false">
      <c r="A21" s="4" t="s">
        <v>292</v>
      </c>
    </row>
    <row r="22" customFormat="false" ht="15" hidden="false" customHeight="false" outlineLevel="0" collapsed="false">
      <c r="A22" s="4" t="s">
        <v>293</v>
      </c>
    </row>
    <row r="23" customFormat="false" ht="15" hidden="false" customHeight="false" outlineLevel="0" collapsed="false">
      <c r="A23" s="4"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4" min="4" style="0" width="16"/>
    <col collapsed="false" customWidth="true" hidden="false" outlineLevel="0" max="5" min="5" style="0" width="34"/>
    <col collapsed="false" customWidth="true" hidden="false" outlineLevel="0" max="6" min="6" style="0" width="14"/>
    <col collapsed="false" customWidth="true" hidden="false" outlineLevel="0" max="7" min="7" style="0" width="22"/>
    <col collapsed="false" customWidth="true" hidden="false" outlineLevel="0" max="9" min="8" style="0" width="50"/>
    <col collapsed="false" customWidth="true" hidden="false" outlineLevel="0" max="10" min="10" style="0" width="40"/>
    <col collapsed="false" customWidth="true" hidden="false" outlineLevel="0" max="11" min="11" style="0" width="46"/>
  </cols>
  <sheetData>
    <row r="1" customFormat="false" ht="18.55" hidden="false" customHeight="false" outlineLevel="0" collapsed="false">
      <c r="A1" s="1" t="s">
        <v>295</v>
      </c>
    </row>
    <row r="2" customFormat="false" ht="15" hidden="false" customHeight="false" outlineLevel="0" collapsed="false">
      <c r="A2" s="2" t="s">
        <v>296</v>
      </c>
    </row>
    <row r="4" customFormat="false" ht="30" hidden="false" customHeight="true" outlineLevel="0" collapsed="false">
      <c r="A4" s="5" t="s">
        <v>297</v>
      </c>
      <c r="B4" s="5" t="s">
        <v>298</v>
      </c>
      <c r="C4" s="5" t="s">
        <v>299</v>
      </c>
      <c r="D4" s="5" t="s">
        <v>151</v>
      </c>
      <c r="E4" s="5" t="s">
        <v>300</v>
      </c>
      <c r="F4" s="5" t="s">
        <v>301</v>
      </c>
      <c r="G4" s="5" t="s">
        <v>302</v>
      </c>
      <c r="H4" s="5" t="s">
        <v>303</v>
      </c>
      <c r="I4" s="5" t="s">
        <v>304</v>
      </c>
      <c r="J4" s="5" t="s">
        <v>305</v>
      </c>
      <c r="K4" s="5" t="s">
        <v>306</v>
      </c>
    </row>
    <row r="5" customFormat="false" ht="35.05" hidden="false" customHeight="false" outlineLevel="0" collapsed="false">
      <c r="A5" s="27" t="n">
        <v>1</v>
      </c>
      <c r="B5" s="24" t="n">
        <f aca="false">'Cài đặt'!$B$5+7*(A5-1)</f>
        <v>46307</v>
      </c>
      <c r="C5" s="24" t="n">
        <f aca="false">B5+6</f>
        <v>46313</v>
      </c>
      <c r="D5" s="27" t="s">
        <v>307</v>
      </c>
      <c r="E5" s="7" t="s">
        <v>308</v>
      </c>
      <c r="F5" s="7" t="s">
        <v>309</v>
      </c>
      <c r="G5" s="7" t="s">
        <v>310</v>
      </c>
      <c r="H5" s="7" t="s">
        <v>311</v>
      </c>
      <c r="I5" s="7" t="s">
        <v>312</v>
      </c>
      <c r="J5" s="7" t="s">
        <v>310</v>
      </c>
      <c r="K5" s="7" t="s">
        <v>313</v>
      </c>
    </row>
    <row r="6" customFormat="false" ht="46.25" hidden="false" customHeight="false" outlineLevel="0" collapsed="false">
      <c r="A6" s="27" t="n">
        <v>2</v>
      </c>
      <c r="B6" s="24" t="n">
        <f aca="false">'Cài đặt'!$B$5+7*(A6-1)</f>
        <v>46314</v>
      </c>
      <c r="C6" s="24" t="n">
        <f aca="false">B6+6</f>
        <v>46320</v>
      </c>
      <c r="D6" s="27" t="s">
        <v>314</v>
      </c>
      <c r="E6" s="7" t="s">
        <v>315</v>
      </c>
      <c r="F6" s="7" t="s">
        <v>316</v>
      </c>
      <c r="G6" s="7" t="s">
        <v>317</v>
      </c>
      <c r="H6" s="7" t="s">
        <v>318</v>
      </c>
      <c r="I6" s="7" t="s">
        <v>319</v>
      </c>
      <c r="J6" s="7" t="s">
        <v>320</v>
      </c>
      <c r="K6" s="7" t="s">
        <v>321</v>
      </c>
    </row>
    <row r="7" customFormat="false" ht="46.25" hidden="false" customHeight="false" outlineLevel="0" collapsed="false">
      <c r="A7" s="27" t="n">
        <v>3</v>
      </c>
      <c r="B7" s="24" t="n">
        <f aca="false">'Cài đặt'!$B$5+7*(A7-1)</f>
        <v>46321</v>
      </c>
      <c r="C7" s="24" t="n">
        <f aca="false">B7+6</f>
        <v>46327</v>
      </c>
      <c r="D7" s="27" t="s">
        <v>314</v>
      </c>
      <c r="E7" s="7" t="s">
        <v>315</v>
      </c>
      <c r="F7" s="7" t="s">
        <v>316</v>
      </c>
      <c r="G7" s="7" t="s">
        <v>317</v>
      </c>
      <c r="H7" s="7" t="s">
        <v>318</v>
      </c>
      <c r="I7" s="7" t="s">
        <v>322</v>
      </c>
      <c r="J7" s="7" t="s">
        <v>323</v>
      </c>
      <c r="K7" s="7" t="s">
        <v>324</v>
      </c>
    </row>
    <row r="8" customFormat="false" ht="46.25" hidden="false" customHeight="false" outlineLevel="0" collapsed="false">
      <c r="A8" s="27" t="n">
        <v>4</v>
      </c>
      <c r="B8" s="24" t="n">
        <f aca="false">'Cài đặt'!$B$5+7*(A8-1)</f>
        <v>46328</v>
      </c>
      <c r="C8" s="24" t="n">
        <f aca="false">B8+6</f>
        <v>46334</v>
      </c>
      <c r="D8" s="27" t="s">
        <v>314</v>
      </c>
      <c r="E8" s="7" t="s">
        <v>325</v>
      </c>
      <c r="F8" s="7" t="s">
        <v>316</v>
      </c>
      <c r="G8" s="7" t="s">
        <v>317</v>
      </c>
      <c r="H8" s="7" t="s">
        <v>318</v>
      </c>
      <c r="I8" s="7" t="s">
        <v>326</v>
      </c>
      <c r="J8" s="7" t="s">
        <v>327</v>
      </c>
      <c r="K8" s="7" t="s">
        <v>328</v>
      </c>
    </row>
    <row r="9" customFormat="false" ht="35.05" hidden="false" customHeight="false" outlineLevel="0" collapsed="false">
      <c r="A9" s="27" t="n">
        <v>5</v>
      </c>
      <c r="B9" s="24" t="n">
        <f aca="false">'Cài đặt'!$B$5+7*(A9-1)</f>
        <v>46335</v>
      </c>
      <c r="C9" s="24" t="n">
        <f aca="false">B9+6</f>
        <v>46341</v>
      </c>
      <c r="D9" s="27" t="s">
        <v>329</v>
      </c>
      <c r="E9" s="7" t="s">
        <v>330</v>
      </c>
      <c r="F9" s="7" t="s">
        <v>331</v>
      </c>
      <c r="G9" s="7" t="s">
        <v>332</v>
      </c>
      <c r="H9" s="7" t="s">
        <v>333</v>
      </c>
      <c r="I9" s="7" t="s">
        <v>334</v>
      </c>
      <c r="J9" s="7" t="s">
        <v>335</v>
      </c>
      <c r="K9" s="7" t="s">
        <v>336</v>
      </c>
    </row>
    <row r="10" customFormat="false" ht="15" hidden="false" customHeight="false" outlineLevel="0" collapsed="false">
      <c r="A10" s="27" t="n">
        <v>6</v>
      </c>
      <c r="B10" s="24" t="n">
        <f aca="false">'Cài đặt'!$B$5+7*(A10-1)</f>
        <v>46342</v>
      </c>
      <c r="C10" s="24" t="n">
        <f aca="false">B10+6</f>
        <v>46348</v>
      </c>
      <c r="D10" s="27" t="s">
        <v>329</v>
      </c>
      <c r="E10" s="7" t="s">
        <v>330</v>
      </c>
      <c r="F10" s="7" t="s">
        <v>337</v>
      </c>
      <c r="G10" s="7" t="s">
        <v>338</v>
      </c>
      <c r="H10" s="7" t="s">
        <v>339</v>
      </c>
      <c r="I10" s="7" t="s">
        <v>339</v>
      </c>
      <c r="J10" s="7" t="s">
        <v>339</v>
      </c>
      <c r="K10" s="7" t="s">
        <v>340</v>
      </c>
    </row>
    <row r="11" customFormat="false" ht="35.05" hidden="false" customHeight="false" outlineLevel="0" collapsed="false">
      <c r="A11" s="27" t="n">
        <v>7</v>
      </c>
      <c r="B11" s="24" t="n">
        <f aca="false">'Cài đặt'!$B$5+7*(A11-1)</f>
        <v>46349</v>
      </c>
      <c r="C11" s="24" t="n">
        <f aca="false">B11+6</f>
        <v>46355</v>
      </c>
      <c r="D11" s="27" t="s">
        <v>329</v>
      </c>
      <c r="E11" s="7" t="s">
        <v>341</v>
      </c>
      <c r="F11" s="7" t="s">
        <v>337</v>
      </c>
      <c r="G11" s="7" t="s">
        <v>338</v>
      </c>
      <c r="H11" s="7" t="s">
        <v>339</v>
      </c>
      <c r="I11" s="7" t="s">
        <v>342</v>
      </c>
      <c r="J11" s="7" t="s">
        <v>343</v>
      </c>
      <c r="K11" s="7" t="s">
        <v>344</v>
      </c>
    </row>
    <row r="12" customFormat="false" ht="23.85" hidden="false" customHeight="false" outlineLevel="0" collapsed="false">
      <c r="A12" s="27" t="n">
        <v>8</v>
      </c>
      <c r="B12" s="24" t="n">
        <f aca="false">'Cài đặt'!$B$5+7*(A12-1)</f>
        <v>46356</v>
      </c>
      <c r="C12" s="24" t="n">
        <f aca="false">B12+6</f>
        <v>46362</v>
      </c>
      <c r="D12" s="27" t="s">
        <v>345</v>
      </c>
      <c r="E12" s="7" t="s">
        <v>346</v>
      </c>
      <c r="F12" s="7" t="s">
        <v>337</v>
      </c>
      <c r="G12" s="7" t="s">
        <v>338</v>
      </c>
      <c r="H12" s="7" t="s">
        <v>347</v>
      </c>
      <c r="I12" s="7" t="s">
        <v>348</v>
      </c>
      <c r="J12" s="7" t="s">
        <v>349</v>
      </c>
      <c r="K12" s="7" t="s">
        <v>350</v>
      </c>
    </row>
    <row r="13" customFormat="false" ht="15" hidden="false" customHeight="false" outlineLevel="0" collapsed="false">
      <c r="A13" s="27" t="n">
        <v>9</v>
      </c>
      <c r="B13" s="24" t="n">
        <f aca="false">'Cài đặt'!$B$5+7*(A13-1)</f>
        <v>46363</v>
      </c>
      <c r="C13" s="24" t="n">
        <f aca="false">B13+6</f>
        <v>46369</v>
      </c>
      <c r="D13" s="27" t="s">
        <v>345</v>
      </c>
      <c r="E13" s="7" t="s">
        <v>346</v>
      </c>
      <c r="F13" s="7" t="s">
        <v>337</v>
      </c>
      <c r="G13" s="7" t="s">
        <v>338</v>
      </c>
      <c r="H13" s="7" t="s">
        <v>351</v>
      </c>
      <c r="I13" s="7" t="s">
        <v>351</v>
      </c>
      <c r="J13" s="7" t="s">
        <v>349</v>
      </c>
      <c r="K13" s="7" t="s">
        <v>352</v>
      </c>
    </row>
    <row r="14" customFormat="false" ht="23.85" hidden="false" customHeight="false" outlineLevel="0" collapsed="false">
      <c r="A14" s="27" t="n">
        <v>10</v>
      </c>
      <c r="B14" s="24" t="n">
        <f aca="false">'Cài đặt'!$B$5+7*(A14-1)</f>
        <v>46370</v>
      </c>
      <c r="C14" s="24" t="n">
        <f aca="false">B14+6</f>
        <v>46376</v>
      </c>
      <c r="D14" s="27" t="s">
        <v>345</v>
      </c>
      <c r="E14" s="7" t="s">
        <v>353</v>
      </c>
      <c r="F14" s="7" t="s">
        <v>337</v>
      </c>
      <c r="G14" s="7" t="s">
        <v>338</v>
      </c>
      <c r="H14" s="7" t="s">
        <v>351</v>
      </c>
      <c r="I14" s="7" t="s">
        <v>354</v>
      </c>
      <c r="J14" s="7" t="s">
        <v>355</v>
      </c>
      <c r="K14" s="7" t="s">
        <v>356</v>
      </c>
    </row>
    <row r="15" customFormat="false" ht="23.85" hidden="false" customHeight="false" outlineLevel="0" collapsed="false">
      <c r="A15" s="27" t="n">
        <v>11</v>
      </c>
      <c r="B15" s="24" t="n">
        <f aca="false">'Cài đặt'!$B$5+7*(A15-1)</f>
        <v>46377</v>
      </c>
      <c r="C15" s="24" t="n">
        <f aca="false">B15+6</f>
        <v>46383</v>
      </c>
      <c r="D15" s="27" t="s">
        <v>357</v>
      </c>
      <c r="E15" s="7" t="s">
        <v>358</v>
      </c>
      <c r="F15" s="7" t="s">
        <v>337</v>
      </c>
      <c r="G15" s="7" t="s">
        <v>338</v>
      </c>
      <c r="H15" s="7" t="s">
        <v>359</v>
      </c>
      <c r="I15" s="7" t="s">
        <v>360</v>
      </c>
      <c r="J15" s="7" t="s">
        <v>361</v>
      </c>
      <c r="K15" s="7" t="s">
        <v>350</v>
      </c>
    </row>
    <row r="16" customFormat="false" ht="15" hidden="false" customHeight="false" outlineLevel="0" collapsed="false">
      <c r="A16" s="27" t="n">
        <v>12</v>
      </c>
      <c r="B16" s="24" t="n">
        <f aca="false">'Cài đặt'!$B$5+7*(A16-1)</f>
        <v>46384</v>
      </c>
      <c r="C16" s="24" t="n">
        <f aca="false">B16+6</f>
        <v>46390</v>
      </c>
      <c r="D16" s="27" t="s">
        <v>357</v>
      </c>
      <c r="E16" s="7" t="s">
        <v>358</v>
      </c>
      <c r="F16" s="7" t="s">
        <v>337</v>
      </c>
      <c r="G16" s="7" t="s">
        <v>338</v>
      </c>
      <c r="H16" s="7" t="s">
        <v>362</v>
      </c>
      <c r="I16" s="7" t="s">
        <v>362</v>
      </c>
      <c r="J16" s="7" t="s">
        <v>363</v>
      </c>
      <c r="K16" s="7" t="s">
        <v>352</v>
      </c>
    </row>
    <row r="17" customFormat="false" ht="23.85" hidden="false" customHeight="false" outlineLevel="0" collapsed="false">
      <c r="A17" s="27" t="n">
        <v>13</v>
      </c>
      <c r="B17" s="24" t="n">
        <f aca="false">'Cài đặt'!$B$5+7*(A17-1)</f>
        <v>46391</v>
      </c>
      <c r="C17" s="24" t="n">
        <f aca="false">B17+6</f>
        <v>46397</v>
      </c>
      <c r="D17" s="27" t="s">
        <v>357</v>
      </c>
      <c r="E17" s="7" t="s">
        <v>358</v>
      </c>
      <c r="F17" s="7" t="s">
        <v>337</v>
      </c>
      <c r="G17" s="7" t="s">
        <v>338</v>
      </c>
      <c r="H17" s="7" t="s">
        <v>362</v>
      </c>
      <c r="I17" s="7" t="s">
        <v>364</v>
      </c>
      <c r="J17" s="7" t="s">
        <v>363</v>
      </c>
      <c r="K17" s="7" t="s">
        <v>365</v>
      </c>
    </row>
    <row r="18" customFormat="false" ht="23.85" hidden="false" customHeight="false" outlineLevel="0" collapsed="false">
      <c r="A18" s="27" t="n">
        <v>14</v>
      </c>
      <c r="B18" s="24" t="n">
        <f aca="false">'Cài đặt'!$B$5+7*(A18-1)</f>
        <v>46398</v>
      </c>
      <c r="C18" s="24" t="n">
        <f aca="false">B18+6</f>
        <v>46404</v>
      </c>
      <c r="D18" s="27" t="s">
        <v>357</v>
      </c>
      <c r="E18" s="7" t="s">
        <v>366</v>
      </c>
      <c r="F18" s="7" t="s">
        <v>337</v>
      </c>
      <c r="G18" s="7" t="s">
        <v>338</v>
      </c>
      <c r="H18" s="7" t="s">
        <v>362</v>
      </c>
      <c r="I18" s="7" t="s">
        <v>354</v>
      </c>
      <c r="J18" s="7" t="s">
        <v>367</v>
      </c>
      <c r="K18" s="7" t="s">
        <v>368</v>
      </c>
    </row>
    <row r="19" customFormat="false" ht="23.85" hidden="false" customHeight="false" outlineLevel="0" collapsed="false">
      <c r="A19" s="27" t="n">
        <v>15</v>
      </c>
      <c r="B19" s="24" t="n">
        <f aca="false">'Cài đặt'!$B$5+7*(A19-1)</f>
        <v>46405</v>
      </c>
      <c r="C19" s="24" t="n">
        <f aca="false">B19+6</f>
        <v>46411</v>
      </c>
      <c r="D19" s="27" t="s">
        <v>369</v>
      </c>
      <c r="E19" s="7" t="s">
        <v>370</v>
      </c>
      <c r="F19" s="7" t="s">
        <v>371</v>
      </c>
      <c r="G19" s="7" t="s">
        <v>338</v>
      </c>
      <c r="H19" s="7" t="s">
        <v>372</v>
      </c>
      <c r="I19" s="7" t="s">
        <v>373</v>
      </c>
      <c r="J19" s="7" t="s">
        <v>374</v>
      </c>
      <c r="K19" s="7"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8.55" hidden="false" customHeight="false" outlineLevel="0" collapsed="false">
      <c r="A1" s="1" t="s">
        <v>376</v>
      </c>
    </row>
    <row r="2" customFormat="false" ht="15" hidden="false" customHeight="false" outlineLevel="0" collapsed="false">
      <c r="A2" s="2" t="s">
        <v>377</v>
      </c>
    </row>
    <row r="4" customFormat="false" ht="64.15" hidden="false" customHeight="false" outlineLevel="0" collapsed="false">
      <c r="A4" s="28" t="s">
        <v>378</v>
      </c>
      <c r="B4" s="29" t="s">
        <v>379</v>
      </c>
    </row>
    <row r="5" customFormat="false" ht="64.15" hidden="false" customHeight="false" outlineLevel="0" collapsed="false">
      <c r="A5" s="28" t="s">
        <v>380</v>
      </c>
      <c r="B5" s="29" t="s">
        <v>381</v>
      </c>
    </row>
    <row r="6" customFormat="false" ht="64.15" hidden="false" customHeight="false" outlineLevel="0" collapsed="false">
      <c r="A6" s="28" t="s">
        <v>382</v>
      </c>
      <c r="B6" s="29" t="s">
        <v>383</v>
      </c>
    </row>
    <row r="8" customFormat="false" ht="64.15" hidden="false" customHeight="false" outlineLevel="0" collapsed="false">
      <c r="A8" s="28" t="s">
        <v>384</v>
      </c>
      <c r="B8" s="29" t="s">
        <v>385</v>
      </c>
    </row>
    <row r="9" customFormat="false" ht="53.7" hidden="false" customHeight="false" outlineLevel="0" collapsed="false">
      <c r="A9" s="28" t="s">
        <v>386</v>
      </c>
      <c r="B9" s="29" t="s">
        <v>387</v>
      </c>
    </row>
    <row r="10" customFormat="false" ht="43.25" hidden="false" customHeight="false" outlineLevel="0" collapsed="false">
      <c r="A10" s="28" t="s">
        <v>388</v>
      </c>
      <c r="B10" s="29" t="s">
        <v>389</v>
      </c>
    </row>
    <row r="12" customFormat="false" ht="15" hidden="false" customHeight="false" outlineLevel="0" collapsed="false">
      <c r="A12" s="3" t="s">
        <v>390</v>
      </c>
    </row>
    <row r="13" customFormat="false" ht="15" hidden="false" customHeight="false" outlineLevel="0" collapsed="false">
      <c r="A13" s="6" t="s">
        <v>391</v>
      </c>
      <c r="B13" s="7" t="s">
        <v>392</v>
      </c>
    </row>
    <row r="14" customFormat="false" ht="23.85" hidden="false" customHeight="false" outlineLevel="0" collapsed="false">
      <c r="A14" s="6" t="s">
        <v>393</v>
      </c>
      <c r="B14" s="7" t="s">
        <v>394</v>
      </c>
    </row>
    <row r="15" customFormat="false" ht="15" hidden="false" customHeight="false" outlineLevel="0" collapsed="false">
      <c r="A15" s="6" t="s">
        <v>395</v>
      </c>
      <c r="B15" s="7" t="s">
        <v>396</v>
      </c>
    </row>
    <row r="16" customFormat="false" ht="23.85" hidden="false" customHeight="false" outlineLevel="0" collapsed="false">
      <c r="A16" s="6" t="s">
        <v>397</v>
      </c>
      <c r="B16" s="7" t="s">
        <v>398</v>
      </c>
    </row>
    <row r="17" customFormat="false" ht="15" hidden="false" customHeight="false" outlineLevel="0" collapsed="false">
      <c r="A17" s="6" t="s">
        <v>399</v>
      </c>
      <c r="B17" s="7" t="s">
        <v>400</v>
      </c>
    </row>
    <row r="18" customFormat="false" ht="15" hidden="false" customHeight="false" outlineLevel="0" collapsed="false">
      <c r="A18" s="6" t="s">
        <v>401</v>
      </c>
      <c r="B18" s="7" t="s">
        <v>402</v>
      </c>
    </row>
    <row r="19" customFormat="false" ht="23.85" hidden="false" customHeight="false" outlineLevel="0" collapsed="false">
      <c r="A19" s="6" t="s">
        <v>403</v>
      </c>
      <c r="B19" s="7" t="s">
        <v>404</v>
      </c>
    </row>
    <row r="20" customFormat="false" ht="15" hidden="false" customHeight="false" outlineLevel="0" collapsed="false">
      <c r="A20" s="6" t="s">
        <v>405</v>
      </c>
      <c r="B20" s="7" t="s">
        <v>406</v>
      </c>
    </row>
    <row r="22" customFormat="false" ht="15" hidden="false" customHeight="false" outlineLevel="0" collapsed="false">
      <c r="A22" s="3" t="s">
        <v>407</v>
      </c>
    </row>
    <row r="23" customFormat="false" ht="23.85" hidden="false" customHeight="false" outlineLevel="0" collapsed="false">
      <c r="A23" s="6" t="s">
        <v>408</v>
      </c>
      <c r="B23" s="7" t="s">
        <v>409</v>
      </c>
    </row>
    <row r="24" customFormat="false" ht="15" hidden="false" customHeight="false" outlineLevel="0" collapsed="false">
      <c r="A24" s="6" t="s">
        <v>410</v>
      </c>
      <c r="B24" s="7" t="s">
        <v>411</v>
      </c>
    </row>
    <row r="25" customFormat="false" ht="23.85" hidden="false" customHeight="false" outlineLevel="0" collapsed="false">
      <c r="A25" s="6" t="s">
        <v>412</v>
      </c>
      <c r="B25" s="7" t="s">
        <v>413</v>
      </c>
    </row>
    <row r="26" customFormat="false" ht="15" hidden="false" customHeight="false" outlineLevel="0" collapsed="false">
      <c r="A26" s="6" t="s">
        <v>414</v>
      </c>
      <c r="B26" s="7" t="s">
        <v>415</v>
      </c>
    </row>
    <row r="27" customFormat="false" ht="15" hidden="false" customHeight="false" outlineLevel="0" collapsed="false">
      <c r="A27" s="6" t="s">
        <v>416</v>
      </c>
      <c r="B27" s="7" t="s">
        <v>417</v>
      </c>
    </row>
    <row r="29" customFormat="false" ht="15" hidden="false" customHeight="false" outlineLevel="0" collapsed="false">
      <c r="A29" s="2" t="s">
        <v>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Z8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6"/>
    <col collapsed="false" customWidth="true" hidden="false" outlineLevel="0" max="4" min="4" style="0" width="24"/>
    <col collapsed="false" customWidth="true" hidden="false" outlineLevel="0" max="5" min="5" style="0" width="7"/>
    <col collapsed="false" customWidth="true" hidden="false" outlineLevel="0" max="6" min="6" style="0" width="11"/>
    <col collapsed="false" customWidth="true" hidden="false" outlineLevel="0" max="7" min="7" style="0" width="7"/>
    <col collapsed="false" customWidth="true" hidden="false" outlineLevel="0" max="8" min="8" style="0" width="8"/>
    <col collapsed="false" customWidth="true" hidden="false" outlineLevel="0" max="9" min="9" style="0" width="10"/>
    <col collapsed="false" customWidth="true" hidden="false" outlineLevel="0" max="10" min="10" style="0" width="8"/>
    <col collapsed="false" customWidth="true" hidden="false" outlineLevel="0" max="11" min="11" style="0" width="17"/>
    <col collapsed="false" customWidth="true" hidden="false" outlineLevel="0" max="12" min="12" style="0" width="24"/>
    <col collapsed="false" customWidth="true" hidden="false" outlineLevel="0" max="13" min="13" style="0" width="30"/>
    <col collapsed="false" customWidth="true" hidden="false" outlineLevel="0" max="14" min="14" style="0" width="18"/>
    <col collapsed="false" customWidth="true" hidden="false" outlineLevel="0" max="17" min="15" style="0" width="9"/>
    <col collapsed="false" customWidth="true" hidden="false" outlineLevel="0" max="19" min="18" style="0" width="12"/>
    <col collapsed="false" customWidth="true" hidden="false" outlineLevel="0" max="20" min="20" style="0" width="11"/>
    <col collapsed="false" customWidth="true" hidden="false" outlineLevel="0" max="21" min="21" style="0" width="8"/>
    <col collapsed="false" customWidth="true" hidden="false" outlineLevel="0" max="22" min="22" style="0" width="10"/>
    <col collapsed="false" customWidth="true" hidden="false" outlineLevel="0" max="24" min="23" style="0" width="11"/>
    <col collapsed="false" customWidth="true" hidden="false" outlineLevel="0" max="25" min="25" style="0" width="9"/>
  </cols>
  <sheetData>
    <row r="1" customFormat="false" ht="18.55" hidden="false" customHeight="false" outlineLevel="0" collapsed="false">
      <c r="A1" s="1" t="s">
        <v>419</v>
      </c>
    </row>
    <row r="2" customFormat="false" ht="15" hidden="false" customHeight="false" outlineLevel="0" collapsed="false">
      <c r="A2" s="2" t="s">
        <v>420</v>
      </c>
    </row>
    <row r="3" customFormat="false" ht="42" hidden="false" customHeight="true" outlineLevel="0" collapsed="false">
      <c r="A3" s="5" t="s">
        <v>421</v>
      </c>
      <c r="B3" s="5" t="s">
        <v>15</v>
      </c>
      <c r="C3" s="5" t="s">
        <v>143</v>
      </c>
      <c r="D3" s="5" t="s">
        <v>144</v>
      </c>
      <c r="E3" s="5" t="s">
        <v>422</v>
      </c>
      <c r="F3" s="5" t="s">
        <v>423</v>
      </c>
      <c r="G3" s="5" t="s">
        <v>424</v>
      </c>
      <c r="H3" s="5" t="s">
        <v>425</v>
      </c>
      <c r="I3" s="5" t="s">
        <v>426</v>
      </c>
      <c r="J3" s="5" t="s">
        <v>427</v>
      </c>
      <c r="K3" s="5" t="s">
        <v>255</v>
      </c>
      <c r="L3" s="5" t="s">
        <v>428</v>
      </c>
      <c r="M3" s="5" t="s">
        <v>429</v>
      </c>
      <c r="N3" s="5" t="s">
        <v>430</v>
      </c>
      <c r="O3" s="5" t="s">
        <v>431</v>
      </c>
      <c r="P3" s="5" t="s">
        <v>432</v>
      </c>
      <c r="Q3" s="5" t="s">
        <v>433</v>
      </c>
      <c r="R3" s="5" t="s">
        <v>434</v>
      </c>
      <c r="S3" s="5" t="s">
        <v>435</v>
      </c>
      <c r="T3" s="5" t="s">
        <v>436</v>
      </c>
      <c r="U3" s="5" t="s">
        <v>437</v>
      </c>
      <c r="V3" s="5" t="s">
        <v>438</v>
      </c>
      <c r="W3" s="5" t="s">
        <v>439</v>
      </c>
      <c r="X3" s="5" t="s">
        <v>440</v>
      </c>
      <c r="Y3" s="5" t="s">
        <v>441</v>
      </c>
    </row>
    <row r="4" customFormat="false" ht="15" hidden="false" customHeight="false" outlineLevel="0" collapsed="false">
      <c r="A4" s="30" t="s">
        <v>442</v>
      </c>
      <c r="B4" s="30" t="s">
        <v>443</v>
      </c>
      <c r="C4" s="30" t="s">
        <v>154</v>
      </c>
      <c r="D4" s="31" t="str">
        <f aca="false">INDEX('Page và Ngách'!$B$5:$B$10,MATCH(C4,'Page và Ngách'!$A$5:$A$10,0))</f>
        <v>Werewolf / Rejected mate</v>
      </c>
      <c r="E4" s="30" t="n">
        <v>1</v>
      </c>
      <c r="F4" s="32" t="n">
        <f aca="false">'Cài đặt'!$B$37+E4-1</f>
        <v>46335</v>
      </c>
      <c r="G4" s="30" t="s">
        <v>444</v>
      </c>
      <c r="H4" s="33" t="str">
        <f aca="false">IF(G4="S1",'Cài đặt'!$B$7,'Cài đặt'!$B$8)</f>
        <v>12:00</v>
      </c>
      <c r="I4" s="30" t="s">
        <v>115</v>
      </c>
      <c r="J4" s="30" t="s">
        <v>132</v>
      </c>
      <c r="K4" s="30" t="s">
        <v>445</v>
      </c>
      <c r="L4" s="31" t="str">
        <f aca="false">C4&amp;"_"&amp;B4&amp;"_"&amp;IF(I4="Reel","R",IF(I4="Carousel","C","I"))&amp;"_"&amp;J4&amp;"_"&amp;IF(K4="AI tự động","AI","HU")&amp;"_"&amp;RIGHT(A4,3)</f>
        <v>P1_EXP1_R_A_AI_000</v>
      </c>
      <c r="M4" s="31" t="s">
        <v>446</v>
      </c>
      <c r="N4" s="31" t="s">
        <v>447</v>
      </c>
      <c r="O4" s="34" t="n">
        <v>820</v>
      </c>
      <c r="P4" s="34" t="n">
        <v>11</v>
      </c>
      <c r="Q4" s="34" t="n">
        <v>1</v>
      </c>
      <c r="R4" s="35"/>
      <c r="S4" s="30" t="n">
        <v>36</v>
      </c>
      <c r="T4" s="30" t="n">
        <v>3</v>
      </c>
      <c r="U4" s="36" t="n">
        <f aca="false">IF(O4&gt;0,P4/O4,"")</f>
        <v>0.0134146341463415</v>
      </c>
      <c r="V4" s="37" t="n">
        <f aca="false">IF(P4&gt;0,Q4/P4,"")</f>
        <v>0.0909090909090909</v>
      </c>
      <c r="W4" s="38" t="n">
        <f aca="false">IF(R4&lt;&gt;"",R4,Q4*'Cài đặt'!$B$12)</f>
        <v>1</v>
      </c>
      <c r="X4" s="38" t="n">
        <f aca="false">IF(O4&gt;0,W4/O4*1000,"")</f>
        <v>1.21951219512195</v>
      </c>
      <c r="Y4" s="39" t="n">
        <f aca="false">IF(T4&lt;&gt;"",T4,INDEX('Cài đặt'!$B$20:$C$22,MATCH(I4,'Cài đặt'!$A$20:$A$22,0),IF(K4="AI tự động",1,2)))</f>
        <v>3</v>
      </c>
      <c r="Z4" s="40" t="s">
        <v>448</v>
      </c>
    </row>
    <row r="5" customFormat="false" ht="15" hidden="false" customHeight="false" outlineLevel="0" collapsed="false">
      <c r="A5" s="41" t="s">
        <v>449</v>
      </c>
      <c r="B5" s="41" t="s">
        <v>443</v>
      </c>
      <c r="C5" s="41" t="s">
        <v>154</v>
      </c>
      <c r="D5" s="42" t="str">
        <f aca="false">INDEX('Page và Ngách'!$B$5:$B$10,MATCH(C5,'Page và Ngách'!$A$5:$A$10,0))</f>
        <v>Werewolf / Rejected mate</v>
      </c>
      <c r="E5" s="41" t="n">
        <v>1</v>
      </c>
      <c r="F5" s="43" t="n">
        <f aca="false">'Cài đặt'!$B$37+E5-1</f>
        <v>46335</v>
      </c>
      <c r="G5" s="41" t="s">
        <v>444</v>
      </c>
      <c r="H5" s="44" t="str">
        <f aca="false">IF(G5="S1",'Cài đặt'!$B$7,'Cài đặt'!$B$8)</f>
        <v>12:00</v>
      </c>
      <c r="I5" s="41" t="s">
        <v>111</v>
      </c>
      <c r="J5" s="41" t="s">
        <v>132</v>
      </c>
      <c r="K5" s="41" t="s">
        <v>445</v>
      </c>
      <c r="L5" s="42" t="str">
        <f aca="false">C5&amp;"_"&amp;B5&amp;"_"&amp;IF(I5="Reel","R",IF(I5="Carousel","C","I"))&amp;"_"&amp;J5&amp;"_"&amp;IF(K5="AI tự động","AI","HU")&amp;"_"&amp;RIGHT(A5,3)</f>
        <v>P1_EXP1_I_A_AI_001</v>
      </c>
      <c r="M5" s="45"/>
      <c r="N5" s="45"/>
      <c r="O5" s="46"/>
      <c r="P5" s="46"/>
      <c r="Q5" s="46"/>
      <c r="R5" s="47"/>
      <c r="S5" s="45"/>
      <c r="T5" s="45"/>
      <c r="U5" s="48" t="str">
        <f aca="false">IF(O5&gt;0,P5/O5,"")</f>
        <v/>
      </c>
      <c r="V5" s="49" t="str">
        <f aca="false">IF(P5&gt;0,Q5/P5,"")</f>
        <v/>
      </c>
      <c r="W5" s="50" t="n">
        <f aca="false">IF(R5&lt;&gt;"",R5,Q5*'Cài đặt'!$B$12)</f>
        <v>0</v>
      </c>
      <c r="X5" s="50" t="str">
        <f aca="false">IF(O5&gt;0,W5/O5*1000,"")</f>
        <v/>
      </c>
      <c r="Y5" s="51" t="n">
        <f aca="false">IF(T5&lt;&gt;"",T5,INDEX('Cài đặt'!$B$20:$C$22,MATCH(I5,'Cài đặt'!$A$20:$A$22,0),IF(K5="AI tự động",1,2)))</f>
        <v>2</v>
      </c>
    </row>
    <row r="6" customFormat="false" ht="15" hidden="false" customHeight="false" outlineLevel="0" collapsed="false">
      <c r="A6" s="41" t="s">
        <v>450</v>
      </c>
      <c r="B6" s="41" t="s">
        <v>443</v>
      </c>
      <c r="C6" s="41" t="s">
        <v>154</v>
      </c>
      <c r="D6" s="42" t="str">
        <f aca="false">INDEX('Page và Ngách'!$B$5:$B$10,MATCH(C6,'Page và Ngách'!$A$5:$A$10,0))</f>
        <v>Werewolf / Rejected mate</v>
      </c>
      <c r="E6" s="41" t="n">
        <v>1</v>
      </c>
      <c r="F6" s="43" t="n">
        <f aca="false">'Cài đặt'!$B$37+E6-1</f>
        <v>46335</v>
      </c>
      <c r="G6" s="41" t="s">
        <v>451</v>
      </c>
      <c r="H6" s="44" t="str">
        <f aca="false">IF(G6="S1",'Cài đặt'!$B$7,'Cài đặt'!$B$8)</f>
        <v>20:00</v>
      </c>
      <c r="I6" s="41" t="s">
        <v>113</v>
      </c>
      <c r="J6" s="41" t="s">
        <v>132</v>
      </c>
      <c r="K6" s="41" t="s">
        <v>445</v>
      </c>
      <c r="L6" s="42" t="str">
        <f aca="false">C6&amp;"_"&amp;B6&amp;"_"&amp;IF(I6="Reel","R",IF(I6="Carousel","C","I"))&amp;"_"&amp;J6&amp;"_"&amp;IF(K6="AI tự động","AI","HU")&amp;"_"&amp;RIGHT(A6,3)</f>
        <v>P1_EXP1_C_A_AI_002</v>
      </c>
      <c r="M6" s="45"/>
      <c r="N6" s="45"/>
      <c r="O6" s="46"/>
      <c r="P6" s="46"/>
      <c r="Q6" s="46"/>
      <c r="R6" s="47"/>
      <c r="S6" s="45"/>
      <c r="T6" s="45"/>
      <c r="U6" s="48" t="str">
        <f aca="false">IF(O6&gt;0,P6/O6,"")</f>
        <v/>
      </c>
      <c r="V6" s="49" t="str">
        <f aca="false">IF(P6&gt;0,Q6/P6,"")</f>
        <v/>
      </c>
      <c r="W6" s="50" t="n">
        <f aca="false">IF(R6&lt;&gt;"",R6,Q6*'Cài đặt'!$B$12)</f>
        <v>0</v>
      </c>
      <c r="X6" s="50" t="str">
        <f aca="false">IF(O6&gt;0,W6/O6*1000,"")</f>
        <v/>
      </c>
      <c r="Y6" s="51" t="n">
        <f aca="false">IF(T6&lt;&gt;"",T6,INDEX('Cài đặt'!$B$20:$C$22,MATCH(I6,'Cài đặt'!$A$20:$A$22,0),IF(K6="AI tự động",1,2)))</f>
        <v>4</v>
      </c>
    </row>
    <row r="7" customFormat="false" ht="15" hidden="false" customHeight="false" outlineLevel="0" collapsed="false">
      <c r="A7" s="41" t="s">
        <v>452</v>
      </c>
      <c r="B7" s="41" t="s">
        <v>443</v>
      </c>
      <c r="C7" s="41" t="s">
        <v>163</v>
      </c>
      <c r="D7" s="42" t="str">
        <f aca="false">INDEX('Page và Ngách'!$B$5:$B$10,MATCH(C7,'Page và Ngách'!$A$5:$A$10,0))</f>
        <v>Secret billionaire / CEO</v>
      </c>
      <c r="E7" s="41" t="n">
        <v>1</v>
      </c>
      <c r="F7" s="43" t="n">
        <f aca="false">'Cài đặt'!$B$37+E7-1</f>
        <v>46335</v>
      </c>
      <c r="G7" s="41" t="s">
        <v>444</v>
      </c>
      <c r="H7" s="44" t="str">
        <f aca="false">IF(G7="S1",'Cài đặt'!$B$7,'Cài đặt'!$B$8)</f>
        <v>12:00</v>
      </c>
      <c r="I7" s="41" t="s">
        <v>113</v>
      </c>
      <c r="J7" s="41" t="s">
        <v>132</v>
      </c>
      <c r="K7" s="41" t="s">
        <v>445</v>
      </c>
      <c r="L7" s="42" t="str">
        <f aca="false">C7&amp;"_"&amp;B7&amp;"_"&amp;IF(I7="Reel","R",IF(I7="Carousel","C","I"))&amp;"_"&amp;J7&amp;"_"&amp;IF(K7="AI tự động","AI","HU")&amp;"_"&amp;RIGHT(A7,3)</f>
        <v>P2_EXP1_C_A_AI_001</v>
      </c>
      <c r="M7" s="45"/>
      <c r="N7" s="45"/>
      <c r="O7" s="46"/>
      <c r="P7" s="46"/>
      <c r="Q7" s="46"/>
      <c r="R7" s="47"/>
      <c r="S7" s="45"/>
      <c r="T7" s="45"/>
      <c r="U7" s="48" t="str">
        <f aca="false">IF(O7&gt;0,P7/O7,"")</f>
        <v/>
      </c>
      <c r="V7" s="49" t="str">
        <f aca="false">IF(P7&gt;0,Q7/P7,"")</f>
        <v/>
      </c>
      <c r="W7" s="50" t="n">
        <f aca="false">IF(R7&lt;&gt;"",R7,Q7*'Cài đặt'!$B$12)</f>
        <v>0</v>
      </c>
      <c r="X7" s="50" t="str">
        <f aca="false">IF(O7&gt;0,W7/O7*1000,"")</f>
        <v/>
      </c>
      <c r="Y7" s="51" t="n">
        <f aca="false">IF(T7&lt;&gt;"",T7,INDEX('Cài đặt'!$B$20:$C$22,MATCH(I7,'Cài đặt'!$A$20:$A$22,0),IF(K7="AI tự động",1,2)))</f>
        <v>4</v>
      </c>
    </row>
    <row r="8" customFormat="false" ht="15" hidden="false" customHeight="false" outlineLevel="0" collapsed="false">
      <c r="A8" s="41" t="s">
        <v>453</v>
      </c>
      <c r="B8" s="41" t="s">
        <v>443</v>
      </c>
      <c r="C8" s="41" t="s">
        <v>163</v>
      </c>
      <c r="D8" s="42" t="str">
        <f aca="false">INDEX('Page và Ngách'!$B$5:$B$10,MATCH(C8,'Page và Ngách'!$A$5:$A$10,0))</f>
        <v>Secret billionaire / CEO</v>
      </c>
      <c r="E8" s="41" t="n">
        <v>1</v>
      </c>
      <c r="F8" s="43" t="n">
        <f aca="false">'Cài đặt'!$B$37+E8-1</f>
        <v>46335</v>
      </c>
      <c r="G8" s="41" t="s">
        <v>451</v>
      </c>
      <c r="H8" s="44" t="str">
        <f aca="false">IF(G8="S1",'Cài đặt'!$B$7,'Cài đặt'!$B$8)</f>
        <v>20:00</v>
      </c>
      <c r="I8" s="41" t="s">
        <v>115</v>
      </c>
      <c r="J8" s="41" t="s">
        <v>132</v>
      </c>
      <c r="K8" s="41" t="s">
        <v>445</v>
      </c>
      <c r="L8" s="42" t="str">
        <f aca="false">C8&amp;"_"&amp;B8&amp;"_"&amp;IF(I8="Reel","R",IF(I8="Carousel","C","I"))&amp;"_"&amp;J8&amp;"_"&amp;IF(K8="AI tự động","AI","HU")&amp;"_"&amp;RIGHT(A8,3)</f>
        <v>P2_EXP1_R_A_AI_002</v>
      </c>
      <c r="M8" s="45"/>
      <c r="N8" s="45"/>
      <c r="O8" s="46"/>
      <c r="P8" s="46"/>
      <c r="Q8" s="46"/>
      <c r="R8" s="47"/>
      <c r="S8" s="45"/>
      <c r="T8" s="45"/>
      <c r="U8" s="48" t="str">
        <f aca="false">IF(O8&gt;0,P8/O8,"")</f>
        <v/>
      </c>
      <c r="V8" s="49" t="str">
        <f aca="false">IF(P8&gt;0,Q8/P8,"")</f>
        <v/>
      </c>
      <c r="W8" s="50" t="n">
        <f aca="false">IF(R8&lt;&gt;"",R8,Q8*'Cài đặt'!$B$12)</f>
        <v>0</v>
      </c>
      <c r="X8" s="50" t="str">
        <f aca="false">IF(O8&gt;0,W8/O8*1000,"")</f>
        <v/>
      </c>
      <c r="Y8" s="51" t="n">
        <f aca="false">IF(T8&lt;&gt;"",T8,INDEX('Cài đặt'!$B$20:$C$22,MATCH(I8,'Cài đặt'!$A$20:$A$22,0),IF(K8="AI tự động",1,2)))</f>
        <v>8</v>
      </c>
    </row>
    <row r="9" customFormat="false" ht="15" hidden="false" customHeight="false" outlineLevel="0" collapsed="false">
      <c r="A9" s="41" t="s">
        <v>454</v>
      </c>
      <c r="B9" s="41" t="s">
        <v>443</v>
      </c>
      <c r="C9" s="41" t="s">
        <v>171</v>
      </c>
      <c r="D9" s="42" t="str">
        <f aca="false">INDEX('Page và Ngách'!$B$5:$B$10,MATCH(C9,'Page và Ngách'!$A$5:$A$10,0))</f>
        <v>Contract marriage / Fake relationship</v>
      </c>
      <c r="E9" s="41" t="n">
        <v>1</v>
      </c>
      <c r="F9" s="43" t="n">
        <f aca="false">'Cài đặt'!$B$37+E9-1</f>
        <v>46335</v>
      </c>
      <c r="G9" s="41" t="s">
        <v>444</v>
      </c>
      <c r="H9" s="44" t="str">
        <f aca="false">IF(G9="S1",'Cài đặt'!$B$7,'Cài đặt'!$B$8)</f>
        <v>12:00</v>
      </c>
      <c r="I9" s="41" t="s">
        <v>115</v>
      </c>
      <c r="J9" s="41" t="s">
        <v>132</v>
      </c>
      <c r="K9" s="41" t="s">
        <v>445</v>
      </c>
      <c r="L9" s="42" t="str">
        <f aca="false">C9&amp;"_"&amp;B9&amp;"_"&amp;IF(I9="Reel","R",IF(I9="Carousel","C","I"))&amp;"_"&amp;J9&amp;"_"&amp;IF(K9="AI tự động","AI","HU")&amp;"_"&amp;RIGHT(A9,3)</f>
        <v>P3_EXP1_R_A_AI_001</v>
      </c>
      <c r="M9" s="45"/>
      <c r="N9" s="45"/>
      <c r="O9" s="46"/>
      <c r="P9" s="46"/>
      <c r="Q9" s="46"/>
      <c r="R9" s="47"/>
      <c r="S9" s="45"/>
      <c r="T9" s="45"/>
      <c r="U9" s="48" t="str">
        <f aca="false">IF(O9&gt;0,P9/O9,"")</f>
        <v/>
      </c>
      <c r="V9" s="49" t="str">
        <f aca="false">IF(P9&gt;0,Q9/P9,"")</f>
        <v/>
      </c>
      <c r="W9" s="50" t="n">
        <f aca="false">IF(R9&lt;&gt;"",R9,Q9*'Cài đặt'!$B$12)</f>
        <v>0</v>
      </c>
      <c r="X9" s="50" t="str">
        <f aca="false">IF(O9&gt;0,W9/O9*1000,"")</f>
        <v/>
      </c>
      <c r="Y9" s="51" t="n">
        <f aca="false">IF(T9&lt;&gt;"",T9,INDEX('Cài đặt'!$B$20:$C$22,MATCH(I9,'Cài đặt'!$A$20:$A$22,0),IF(K9="AI tự động",1,2)))</f>
        <v>8</v>
      </c>
    </row>
    <row r="10" customFormat="false" ht="15" hidden="false" customHeight="false" outlineLevel="0" collapsed="false">
      <c r="A10" s="41" t="s">
        <v>455</v>
      </c>
      <c r="B10" s="41" t="s">
        <v>443</v>
      </c>
      <c r="C10" s="41" t="s">
        <v>171</v>
      </c>
      <c r="D10" s="42" t="str">
        <f aca="false">INDEX('Page và Ngách'!$B$5:$B$10,MATCH(C10,'Page và Ngách'!$A$5:$A$10,0))</f>
        <v>Contract marriage / Fake relationship</v>
      </c>
      <c r="E10" s="41" t="n">
        <v>1</v>
      </c>
      <c r="F10" s="43" t="n">
        <f aca="false">'Cài đặt'!$B$37+E10-1</f>
        <v>46335</v>
      </c>
      <c r="G10" s="41" t="s">
        <v>451</v>
      </c>
      <c r="H10" s="44" t="str">
        <f aca="false">IF(G10="S1",'Cài đặt'!$B$7,'Cài đặt'!$B$8)</f>
        <v>20:00</v>
      </c>
      <c r="I10" s="41" t="s">
        <v>111</v>
      </c>
      <c r="J10" s="41" t="s">
        <v>132</v>
      </c>
      <c r="K10" s="41" t="s">
        <v>445</v>
      </c>
      <c r="L10" s="42" t="str">
        <f aca="false">C10&amp;"_"&amp;B10&amp;"_"&amp;IF(I10="Reel","R",IF(I10="Carousel","C","I"))&amp;"_"&amp;J10&amp;"_"&amp;IF(K10="AI tự động","AI","HU")&amp;"_"&amp;RIGHT(A10,3)</f>
        <v>P3_EXP1_I_A_AI_002</v>
      </c>
      <c r="M10" s="45"/>
      <c r="N10" s="45"/>
      <c r="O10" s="46"/>
      <c r="P10" s="46"/>
      <c r="Q10" s="46"/>
      <c r="R10" s="47"/>
      <c r="S10" s="45"/>
      <c r="T10" s="45"/>
      <c r="U10" s="48" t="str">
        <f aca="false">IF(O10&gt;0,P10/O10,"")</f>
        <v/>
      </c>
      <c r="V10" s="49" t="str">
        <f aca="false">IF(P10&gt;0,Q10/P10,"")</f>
        <v/>
      </c>
      <c r="W10" s="50" t="n">
        <f aca="false">IF(R10&lt;&gt;"",R10,Q10*'Cài đặt'!$B$12)</f>
        <v>0</v>
      </c>
      <c r="X10" s="50" t="str">
        <f aca="false">IF(O10&gt;0,W10/O10*1000,"")</f>
        <v/>
      </c>
      <c r="Y10" s="51" t="n">
        <f aca="false">IF(T10&lt;&gt;"",T10,INDEX('Cài đặt'!$B$20:$C$22,MATCH(I10,'Cài đặt'!$A$20:$A$22,0),IF(K10="AI tự động",1,2)))</f>
        <v>2</v>
      </c>
    </row>
    <row r="11" customFormat="false" ht="15" hidden="false" customHeight="false" outlineLevel="0" collapsed="false">
      <c r="A11" s="41" t="s">
        <v>456</v>
      </c>
      <c r="B11" s="41" t="s">
        <v>443</v>
      </c>
      <c r="C11" s="41" t="s">
        <v>178</v>
      </c>
      <c r="D11" s="42" t="str">
        <f aca="false">INDEX('Page và Ngách'!$B$5:$B$10,MATCH(C11,'Page và Ngách'!$A$5:$A$10,0))</f>
        <v>Revenge / Betrayal ("you'll regret it")</v>
      </c>
      <c r="E11" s="41" t="n">
        <v>1</v>
      </c>
      <c r="F11" s="43" t="n">
        <f aca="false">'Cài đặt'!$B$37+E11-1</f>
        <v>46335</v>
      </c>
      <c r="G11" s="41" t="s">
        <v>444</v>
      </c>
      <c r="H11" s="44" t="str">
        <f aca="false">IF(G11="S1",'Cài đặt'!$B$7,'Cài đặt'!$B$8)</f>
        <v>12:00</v>
      </c>
      <c r="I11" s="41" t="s">
        <v>111</v>
      </c>
      <c r="J11" s="41" t="s">
        <v>132</v>
      </c>
      <c r="K11" s="41" t="s">
        <v>445</v>
      </c>
      <c r="L11" s="42" t="str">
        <f aca="false">C11&amp;"_"&amp;B11&amp;"_"&amp;IF(I11="Reel","R",IF(I11="Carousel","C","I"))&amp;"_"&amp;J11&amp;"_"&amp;IF(K11="AI tự động","AI","HU")&amp;"_"&amp;RIGHT(A11,3)</f>
        <v>P4_EXP1_I_A_AI_001</v>
      </c>
      <c r="M11" s="45"/>
      <c r="N11" s="45"/>
      <c r="O11" s="46"/>
      <c r="P11" s="46"/>
      <c r="Q11" s="46"/>
      <c r="R11" s="47"/>
      <c r="S11" s="45"/>
      <c r="T11" s="45"/>
      <c r="U11" s="48" t="str">
        <f aca="false">IF(O11&gt;0,P11/O11,"")</f>
        <v/>
      </c>
      <c r="V11" s="49" t="str">
        <f aca="false">IF(P11&gt;0,Q11/P11,"")</f>
        <v/>
      </c>
      <c r="W11" s="50" t="n">
        <f aca="false">IF(R11&lt;&gt;"",R11,Q11*'Cài đặt'!$B$12)</f>
        <v>0</v>
      </c>
      <c r="X11" s="50" t="str">
        <f aca="false">IF(O11&gt;0,W11/O11*1000,"")</f>
        <v/>
      </c>
      <c r="Y11" s="51" t="n">
        <f aca="false">IF(T11&lt;&gt;"",T11,INDEX('Cài đặt'!$B$20:$C$22,MATCH(I11,'Cài đặt'!$A$20:$A$22,0),IF(K11="AI tự động",1,2)))</f>
        <v>2</v>
      </c>
    </row>
    <row r="12" customFormat="false" ht="15" hidden="false" customHeight="false" outlineLevel="0" collapsed="false">
      <c r="A12" s="41" t="s">
        <v>457</v>
      </c>
      <c r="B12" s="41" t="s">
        <v>443</v>
      </c>
      <c r="C12" s="41" t="s">
        <v>178</v>
      </c>
      <c r="D12" s="42" t="str">
        <f aca="false">INDEX('Page và Ngách'!$B$5:$B$10,MATCH(C12,'Page và Ngách'!$A$5:$A$10,0))</f>
        <v>Revenge / Betrayal ("you'll regret it")</v>
      </c>
      <c r="E12" s="41" t="n">
        <v>1</v>
      </c>
      <c r="F12" s="43" t="n">
        <f aca="false">'Cài đặt'!$B$37+E12-1</f>
        <v>46335</v>
      </c>
      <c r="G12" s="41" t="s">
        <v>451</v>
      </c>
      <c r="H12" s="44" t="str">
        <f aca="false">IF(G12="S1",'Cài đặt'!$B$7,'Cài đặt'!$B$8)</f>
        <v>20:00</v>
      </c>
      <c r="I12" s="41" t="s">
        <v>113</v>
      </c>
      <c r="J12" s="41" t="s">
        <v>132</v>
      </c>
      <c r="K12" s="41" t="s">
        <v>445</v>
      </c>
      <c r="L12" s="42" t="str">
        <f aca="false">C12&amp;"_"&amp;B12&amp;"_"&amp;IF(I12="Reel","R",IF(I12="Carousel","C","I"))&amp;"_"&amp;J12&amp;"_"&amp;IF(K12="AI tự động","AI","HU")&amp;"_"&amp;RIGHT(A12,3)</f>
        <v>P4_EXP1_C_A_AI_002</v>
      </c>
      <c r="M12" s="45"/>
      <c r="N12" s="45"/>
      <c r="O12" s="46"/>
      <c r="P12" s="46"/>
      <c r="Q12" s="46"/>
      <c r="R12" s="47"/>
      <c r="S12" s="45"/>
      <c r="T12" s="45"/>
      <c r="U12" s="48" t="str">
        <f aca="false">IF(O12&gt;0,P12/O12,"")</f>
        <v/>
      </c>
      <c r="V12" s="49" t="str">
        <f aca="false">IF(P12&gt;0,Q12/P12,"")</f>
        <v/>
      </c>
      <c r="W12" s="50" t="n">
        <f aca="false">IF(R12&lt;&gt;"",R12,Q12*'Cài đặt'!$B$12)</f>
        <v>0</v>
      </c>
      <c r="X12" s="50" t="str">
        <f aca="false">IF(O12&gt;0,W12/O12*1000,"")</f>
        <v/>
      </c>
      <c r="Y12" s="51" t="n">
        <f aca="false">IF(T12&lt;&gt;"",T12,INDEX('Cài đặt'!$B$20:$C$22,MATCH(I12,'Cài đặt'!$A$20:$A$22,0),IF(K12="AI tự động",1,2)))</f>
        <v>4</v>
      </c>
    </row>
    <row r="13" customFormat="false" ht="15" hidden="false" customHeight="false" outlineLevel="0" collapsed="false">
      <c r="A13" s="41" t="s">
        <v>458</v>
      </c>
      <c r="B13" s="41" t="s">
        <v>443</v>
      </c>
      <c r="C13" s="41" t="s">
        <v>185</v>
      </c>
      <c r="D13" s="42" t="str">
        <f aca="false">INDEX('Page và Ngách'!$B$5:$B$10,MATCH(C13,'Page và Ngách'!$A$5:$A$10,0))</f>
        <v>Mafia / Dark romance (teaser PG-13)</v>
      </c>
      <c r="E13" s="41" t="n">
        <v>1</v>
      </c>
      <c r="F13" s="43" t="n">
        <f aca="false">'Cài đặt'!$B$37+E13-1</f>
        <v>46335</v>
      </c>
      <c r="G13" s="41" t="s">
        <v>444</v>
      </c>
      <c r="H13" s="44" t="str">
        <f aca="false">IF(G13="S1",'Cài đặt'!$B$7,'Cài đặt'!$B$8)</f>
        <v>12:00</v>
      </c>
      <c r="I13" s="41" t="s">
        <v>113</v>
      </c>
      <c r="J13" s="41" t="s">
        <v>132</v>
      </c>
      <c r="K13" s="41" t="s">
        <v>445</v>
      </c>
      <c r="L13" s="42" t="str">
        <f aca="false">C13&amp;"_"&amp;B13&amp;"_"&amp;IF(I13="Reel","R",IF(I13="Carousel","C","I"))&amp;"_"&amp;J13&amp;"_"&amp;IF(K13="AI tự động","AI","HU")&amp;"_"&amp;RIGHT(A13,3)</f>
        <v>P5_EXP1_C_A_AI_001</v>
      </c>
      <c r="M13" s="45"/>
      <c r="N13" s="45"/>
      <c r="O13" s="46"/>
      <c r="P13" s="46"/>
      <c r="Q13" s="46"/>
      <c r="R13" s="47"/>
      <c r="S13" s="45"/>
      <c r="T13" s="45"/>
      <c r="U13" s="48" t="str">
        <f aca="false">IF(O13&gt;0,P13/O13,"")</f>
        <v/>
      </c>
      <c r="V13" s="49" t="str">
        <f aca="false">IF(P13&gt;0,Q13/P13,"")</f>
        <v/>
      </c>
      <c r="W13" s="50" t="n">
        <f aca="false">IF(R13&lt;&gt;"",R13,Q13*'Cài đặt'!$B$12)</f>
        <v>0</v>
      </c>
      <c r="X13" s="50" t="str">
        <f aca="false">IF(O13&gt;0,W13/O13*1000,"")</f>
        <v/>
      </c>
      <c r="Y13" s="51" t="n">
        <f aca="false">IF(T13&lt;&gt;"",T13,INDEX('Cài đặt'!$B$20:$C$22,MATCH(I13,'Cài đặt'!$A$20:$A$22,0),IF(K13="AI tự động",1,2)))</f>
        <v>4</v>
      </c>
    </row>
    <row r="14" customFormat="false" ht="15" hidden="false" customHeight="false" outlineLevel="0" collapsed="false">
      <c r="A14" s="41" t="s">
        <v>459</v>
      </c>
      <c r="B14" s="41" t="s">
        <v>443</v>
      </c>
      <c r="C14" s="41" t="s">
        <v>185</v>
      </c>
      <c r="D14" s="42" t="str">
        <f aca="false">INDEX('Page và Ngách'!$B$5:$B$10,MATCH(C14,'Page và Ngách'!$A$5:$A$10,0))</f>
        <v>Mafia / Dark romance (teaser PG-13)</v>
      </c>
      <c r="E14" s="41" t="n">
        <v>1</v>
      </c>
      <c r="F14" s="43" t="n">
        <f aca="false">'Cài đặt'!$B$37+E14-1</f>
        <v>46335</v>
      </c>
      <c r="G14" s="41" t="s">
        <v>451</v>
      </c>
      <c r="H14" s="44" t="str">
        <f aca="false">IF(G14="S1",'Cài đặt'!$B$7,'Cài đặt'!$B$8)</f>
        <v>20:00</v>
      </c>
      <c r="I14" s="41" t="s">
        <v>115</v>
      </c>
      <c r="J14" s="41" t="s">
        <v>132</v>
      </c>
      <c r="K14" s="41" t="s">
        <v>445</v>
      </c>
      <c r="L14" s="42" t="str">
        <f aca="false">C14&amp;"_"&amp;B14&amp;"_"&amp;IF(I14="Reel","R",IF(I14="Carousel","C","I"))&amp;"_"&amp;J14&amp;"_"&amp;IF(K14="AI tự động","AI","HU")&amp;"_"&amp;RIGHT(A14,3)</f>
        <v>P5_EXP1_R_A_AI_002</v>
      </c>
      <c r="M14" s="45"/>
      <c r="N14" s="45"/>
      <c r="O14" s="46"/>
      <c r="P14" s="46"/>
      <c r="Q14" s="46"/>
      <c r="R14" s="47"/>
      <c r="S14" s="45"/>
      <c r="T14" s="45"/>
      <c r="U14" s="48" t="str">
        <f aca="false">IF(O14&gt;0,P14/O14,"")</f>
        <v/>
      </c>
      <c r="V14" s="49" t="str">
        <f aca="false">IF(P14&gt;0,Q14/P14,"")</f>
        <v/>
      </c>
      <c r="W14" s="50" t="n">
        <f aca="false">IF(R14&lt;&gt;"",R14,Q14*'Cài đặt'!$B$12)</f>
        <v>0</v>
      </c>
      <c r="X14" s="50" t="str">
        <f aca="false">IF(O14&gt;0,W14/O14*1000,"")</f>
        <v/>
      </c>
      <c r="Y14" s="51" t="n">
        <f aca="false">IF(T14&lt;&gt;"",T14,INDEX('Cài đặt'!$B$20:$C$22,MATCH(I14,'Cài đặt'!$A$20:$A$22,0),IF(K14="AI tự động",1,2)))</f>
        <v>8</v>
      </c>
    </row>
    <row r="15" customFormat="false" ht="15" hidden="false" customHeight="false" outlineLevel="0" collapsed="false">
      <c r="A15" s="41" t="s">
        <v>460</v>
      </c>
      <c r="B15" s="41" t="s">
        <v>443</v>
      </c>
      <c r="C15" s="41" t="s">
        <v>193</v>
      </c>
      <c r="D15" s="42" t="str">
        <f aca="false">INDEX('Page và Ngách'!$B$5:$B$10,MATCH(C15,'Page và Ngách'!$A$5:$A$10,0))</f>
        <v>Second chance / Secret baby</v>
      </c>
      <c r="E15" s="41" t="n">
        <v>1</v>
      </c>
      <c r="F15" s="43" t="n">
        <f aca="false">'Cài đặt'!$B$37+E15-1</f>
        <v>46335</v>
      </c>
      <c r="G15" s="41" t="s">
        <v>444</v>
      </c>
      <c r="H15" s="44" t="str">
        <f aca="false">IF(G15="S1",'Cài đặt'!$B$7,'Cài đặt'!$B$8)</f>
        <v>12:00</v>
      </c>
      <c r="I15" s="41" t="s">
        <v>115</v>
      </c>
      <c r="J15" s="41" t="s">
        <v>132</v>
      </c>
      <c r="K15" s="41" t="s">
        <v>445</v>
      </c>
      <c r="L15" s="42" t="str">
        <f aca="false">C15&amp;"_"&amp;B15&amp;"_"&amp;IF(I15="Reel","R",IF(I15="Carousel","C","I"))&amp;"_"&amp;J15&amp;"_"&amp;IF(K15="AI tự động","AI","HU")&amp;"_"&amp;RIGHT(A15,3)</f>
        <v>P6_EXP1_R_A_AI_001</v>
      </c>
      <c r="M15" s="45"/>
      <c r="N15" s="45"/>
      <c r="O15" s="46"/>
      <c r="P15" s="46"/>
      <c r="Q15" s="46"/>
      <c r="R15" s="47"/>
      <c r="S15" s="45"/>
      <c r="T15" s="45"/>
      <c r="U15" s="48" t="str">
        <f aca="false">IF(O15&gt;0,P15/O15,"")</f>
        <v/>
      </c>
      <c r="V15" s="49" t="str">
        <f aca="false">IF(P15&gt;0,Q15/P15,"")</f>
        <v/>
      </c>
      <c r="W15" s="50" t="n">
        <f aca="false">IF(R15&lt;&gt;"",R15,Q15*'Cài đặt'!$B$12)</f>
        <v>0</v>
      </c>
      <c r="X15" s="50" t="str">
        <f aca="false">IF(O15&gt;0,W15/O15*1000,"")</f>
        <v/>
      </c>
      <c r="Y15" s="51" t="n">
        <f aca="false">IF(T15&lt;&gt;"",T15,INDEX('Cài đặt'!$B$20:$C$22,MATCH(I15,'Cài đặt'!$A$20:$A$22,0),IF(K15="AI tự động",1,2)))</f>
        <v>8</v>
      </c>
    </row>
    <row r="16" customFormat="false" ht="15" hidden="false" customHeight="false" outlineLevel="0" collapsed="false">
      <c r="A16" s="41" t="s">
        <v>461</v>
      </c>
      <c r="B16" s="41" t="s">
        <v>443</v>
      </c>
      <c r="C16" s="41" t="s">
        <v>193</v>
      </c>
      <c r="D16" s="42" t="str">
        <f aca="false">INDEX('Page và Ngách'!$B$5:$B$10,MATCH(C16,'Page và Ngách'!$A$5:$A$10,0))</f>
        <v>Second chance / Secret baby</v>
      </c>
      <c r="E16" s="41" t="n">
        <v>1</v>
      </c>
      <c r="F16" s="43" t="n">
        <f aca="false">'Cài đặt'!$B$37+E16-1</f>
        <v>46335</v>
      </c>
      <c r="G16" s="41" t="s">
        <v>451</v>
      </c>
      <c r="H16" s="44" t="str">
        <f aca="false">IF(G16="S1",'Cài đặt'!$B$7,'Cài đặt'!$B$8)</f>
        <v>20:00</v>
      </c>
      <c r="I16" s="41" t="s">
        <v>111</v>
      </c>
      <c r="J16" s="41" t="s">
        <v>132</v>
      </c>
      <c r="K16" s="41" t="s">
        <v>445</v>
      </c>
      <c r="L16" s="42" t="str">
        <f aca="false">C16&amp;"_"&amp;B16&amp;"_"&amp;IF(I16="Reel","R",IF(I16="Carousel","C","I"))&amp;"_"&amp;J16&amp;"_"&amp;IF(K16="AI tự động","AI","HU")&amp;"_"&amp;RIGHT(A16,3)</f>
        <v>P6_EXP1_I_A_AI_002</v>
      </c>
      <c r="M16" s="45"/>
      <c r="N16" s="45"/>
      <c r="O16" s="46"/>
      <c r="P16" s="46"/>
      <c r="Q16" s="46"/>
      <c r="R16" s="47"/>
      <c r="S16" s="45"/>
      <c r="T16" s="45"/>
      <c r="U16" s="48" t="str">
        <f aca="false">IF(O16&gt;0,P16/O16,"")</f>
        <v/>
      </c>
      <c r="V16" s="49" t="str">
        <f aca="false">IF(P16&gt;0,Q16/P16,"")</f>
        <v/>
      </c>
      <c r="W16" s="50" t="n">
        <f aca="false">IF(R16&lt;&gt;"",R16,Q16*'Cài đặt'!$B$12)</f>
        <v>0</v>
      </c>
      <c r="X16" s="50" t="str">
        <f aca="false">IF(O16&gt;0,W16/O16*1000,"")</f>
        <v/>
      </c>
      <c r="Y16" s="51" t="n">
        <f aca="false">IF(T16&lt;&gt;"",T16,INDEX('Cài đặt'!$B$20:$C$22,MATCH(I16,'Cài đặt'!$A$20:$A$22,0),IF(K16="AI tự động",1,2)))</f>
        <v>2</v>
      </c>
    </row>
    <row r="17" customFormat="false" ht="15" hidden="false" customHeight="false" outlineLevel="0" collapsed="false">
      <c r="A17" s="41" t="s">
        <v>462</v>
      </c>
      <c r="B17" s="41" t="s">
        <v>443</v>
      </c>
      <c r="C17" s="41" t="s">
        <v>154</v>
      </c>
      <c r="D17" s="42" t="str">
        <f aca="false">INDEX('Page và Ngách'!$B$5:$B$10,MATCH(C17,'Page và Ngách'!$A$5:$A$10,0))</f>
        <v>Werewolf / Rejected mate</v>
      </c>
      <c r="E17" s="41" t="n">
        <v>2</v>
      </c>
      <c r="F17" s="43" t="n">
        <f aca="false">'Cài đặt'!$B$37+E17-1</f>
        <v>46336</v>
      </c>
      <c r="G17" s="41" t="s">
        <v>444</v>
      </c>
      <c r="H17" s="44" t="str">
        <f aca="false">IF(G17="S1",'Cài đặt'!$B$7,'Cài đặt'!$B$8)</f>
        <v>12:00</v>
      </c>
      <c r="I17" s="41" t="s">
        <v>115</v>
      </c>
      <c r="J17" s="41" t="s">
        <v>132</v>
      </c>
      <c r="K17" s="41" t="s">
        <v>445</v>
      </c>
      <c r="L17" s="42" t="str">
        <f aca="false">C17&amp;"_"&amp;B17&amp;"_"&amp;IF(I17="Reel","R",IF(I17="Carousel","C","I"))&amp;"_"&amp;J17&amp;"_"&amp;IF(K17="AI tự động","AI","HU")&amp;"_"&amp;RIGHT(A17,3)</f>
        <v>P1_EXP1_R_A_AI_003</v>
      </c>
      <c r="M17" s="45"/>
      <c r="N17" s="45"/>
      <c r="O17" s="46"/>
      <c r="P17" s="46"/>
      <c r="Q17" s="46"/>
      <c r="R17" s="47"/>
      <c r="S17" s="45"/>
      <c r="T17" s="45"/>
      <c r="U17" s="48" t="str">
        <f aca="false">IF(O17&gt;0,P17/O17,"")</f>
        <v/>
      </c>
      <c r="V17" s="49" t="str">
        <f aca="false">IF(P17&gt;0,Q17/P17,"")</f>
        <v/>
      </c>
      <c r="W17" s="50" t="n">
        <f aca="false">IF(R17&lt;&gt;"",R17,Q17*'Cài đặt'!$B$12)</f>
        <v>0</v>
      </c>
      <c r="X17" s="50" t="str">
        <f aca="false">IF(O17&gt;0,W17/O17*1000,"")</f>
        <v/>
      </c>
      <c r="Y17" s="51" t="n">
        <f aca="false">IF(T17&lt;&gt;"",T17,INDEX('Cài đặt'!$B$20:$C$22,MATCH(I17,'Cài đặt'!$A$20:$A$22,0),IF(K17="AI tự động",1,2)))</f>
        <v>8</v>
      </c>
    </row>
    <row r="18" customFormat="false" ht="15" hidden="false" customHeight="false" outlineLevel="0" collapsed="false">
      <c r="A18" s="41" t="s">
        <v>463</v>
      </c>
      <c r="B18" s="41" t="s">
        <v>443</v>
      </c>
      <c r="C18" s="41" t="s">
        <v>154</v>
      </c>
      <c r="D18" s="42" t="str">
        <f aca="false">INDEX('Page và Ngách'!$B$5:$B$10,MATCH(C18,'Page và Ngách'!$A$5:$A$10,0))</f>
        <v>Werewolf / Rejected mate</v>
      </c>
      <c r="E18" s="41" t="n">
        <v>2</v>
      </c>
      <c r="F18" s="43" t="n">
        <f aca="false">'Cài đặt'!$B$37+E18-1</f>
        <v>46336</v>
      </c>
      <c r="G18" s="41" t="s">
        <v>451</v>
      </c>
      <c r="H18" s="44" t="str">
        <f aca="false">IF(G18="S1",'Cài đặt'!$B$7,'Cài đặt'!$B$8)</f>
        <v>20:00</v>
      </c>
      <c r="I18" s="41" t="s">
        <v>111</v>
      </c>
      <c r="J18" s="41" t="s">
        <v>132</v>
      </c>
      <c r="K18" s="41" t="s">
        <v>445</v>
      </c>
      <c r="L18" s="42" t="str">
        <f aca="false">C18&amp;"_"&amp;B18&amp;"_"&amp;IF(I18="Reel","R",IF(I18="Carousel","C","I"))&amp;"_"&amp;J18&amp;"_"&amp;IF(K18="AI tự động","AI","HU")&amp;"_"&amp;RIGHT(A18,3)</f>
        <v>P1_EXP1_I_A_AI_004</v>
      </c>
      <c r="M18" s="45"/>
      <c r="N18" s="45"/>
      <c r="O18" s="46"/>
      <c r="P18" s="46"/>
      <c r="Q18" s="46"/>
      <c r="R18" s="47"/>
      <c r="S18" s="45"/>
      <c r="T18" s="45"/>
      <c r="U18" s="48" t="str">
        <f aca="false">IF(O18&gt;0,P18/O18,"")</f>
        <v/>
      </c>
      <c r="V18" s="49" t="str">
        <f aca="false">IF(P18&gt;0,Q18/P18,"")</f>
        <v/>
      </c>
      <c r="W18" s="50" t="n">
        <f aca="false">IF(R18&lt;&gt;"",R18,Q18*'Cài đặt'!$B$12)</f>
        <v>0</v>
      </c>
      <c r="X18" s="50" t="str">
        <f aca="false">IF(O18&gt;0,W18/O18*1000,"")</f>
        <v/>
      </c>
      <c r="Y18" s="51" t="n">
        <f aca="false">IF(T18&lt;&gt;"",T18,INDEX('Cài đặt'!$B$20:$C$22,MATCH(I18,'Cài đặt'!$A$20:$A$22,0),IF(K18="AI tự động",1,2)))</f>
        <v>2</v>
      </c>
    </row>
    <row r="19" customFormat="false" ht="15" hidden="false" customHeight="false" outlineLevel="0" collapsed="false">
      <c r="A19" s="41" t="s">
        <v>464</v>
      </c>
      <c r="B19" s="41" t="s">
        <v>443</v>
      </c>
      <c r="C19" s="41" t="s">
        <v>163</v>
      </c>
      <c r="D19" s="42" t="str">
        <f aca="false">INDEX('Page và Ngách'!$B$5:$B$10,MATCH(C19,'Page và Ngách'!$A$5:$A$10,0))</f>
        <v>Secret billionaire / CEO</v>
      </c>
      <c r="E19" s="41" t="n">
        <v>2</v>
      </c>
      <c r="F19" s="43" t="n">
        <f aca="false">'Cài đặt'!$B$37+E19-1</f>
        <v>46336</v>
      </c>
      <c r="G19" s="41" t="s">
        <v>444</v>
      </c>
      <c r="H19" s="44" t="str">
        <f aca="false">IF(G19="S1",'Cài đặt'!$B$7,'Cài đặt'!$B$8)</f>
        <v>12:00</v>
      </c>
      <c r="I19" s="41" t="s">
        <v>111</v>
      </c>
      <c r="J19" s="41" t="s">
        <v>132</v>
      </c>
      <c r="K19" s="41" t="s">
        <v>445</v>
      </c>
      <c r="L19" s="42" t="str">
        <f aca="false">C19&amp;"_"&amp;B19&amp;"_"&amp;IF(I19="Reel","R",IF(I19="Carousel","C","I"))&amp;"_"&amp;J19&amp;"_"&amp;IF(K19="AI tự động","AI","HU")&amp;"_"&amp;RIGHT(A19,3)</f>
        <v>P2_EXP1_I_A_AI_003</v>
      </c>
      <c r="M19" s="45"/>
      <c r="N19" s="45"/>
      <c r="O19" s="46"/>
      <c r="P19" s="46"/>
      <c r="Q19" s="46"/>
      <c r="R19" s="47"/>
      <c r="S19" s="45"/>
      <c r="T19" s="45"/>
      <c r="U19" s="48" t="str">
        <f aca="false">IF(O19&gt;0,P19/O19,"")</f>
        <v/>
      </c>
      <c r="V19" s="49" t="str">
        <f aca="false">IF(P19&gt;0,Q19/P19,"")</f>
        <v/>
      </c>
      <c r="W19" s="50" t="n">
        <f aca="false">IF(R19&lt;&gt;"",R19,Q19*'Cài đặt'!$B$12)</f>
        <v>0</v>
      </c>
      <c r="X19" s="50" t="str">
        <f aca="false">IF(O19&gt;0,W19/O19*1000,"")</f>
        <v/>
      </c>
      <c r="Y19" s="51" t="n">
        <f aca="false">IF(T19&lt;&gt;"",T19,INDEX('Cài đặt'!$B$20:$C$22,MATCH(I19,'Cài đặt'!$A$20:$A$22,0),IF(K19="AI tự động",1,2)))</f>
        <v>2</v>
      </c>
    </row>
    <row r="20" customFormat="false" ht="15" hidden="false" customHeight="false" outlineLevel="0" collapsed="false">
      <c r="A20" s="41" t="s">
        <v>465</v>
      </c>
      <c r="B20" s="41" t="s">
        <v>443</v>
      </c>
      <c r="C20" s="41" t="s">
        <v>163</v>
      </c>
      <c r="D20" s="42" t="str">
        <f aca="false">INDEX('Page và Ngách'!$B$5:$B$10,MATCH(C20,'Page và Ngách'!$A$5:$A$10,0))</f>
        <v>Secret billionaire / CEO</v>
      </c>
      <c r="E20" s="41" t="n">
        <v>2</v>
      </c>
      <c r="F20" s="43" t="n">
        <f aca="false">'Cài đặt'!$B$37+E20-1</f>
        <v>46336</v>
      </c>
      <c r="G20" s="41" t="s">
        <v>451</v>
      </c>
      <c r="H20" s="44" t="str">
        <f aca="false">IF(G20="S1",'Cài đặt'!$B$7,'Cài đặt'!$B$8)</f>
        <v>20:00</v>
      </c>
      <c r="I20" s="41" t="s">
        <v>113</v>
      </c>
      <c r="J20" s="41" t="s">
        <v>132</v>
      </c>
      <c r="K20" s="41" t="s">
        <v>445</v>
      </c>
      <c r="L20" s="42" t="str">
        <f aca="false">C20&amp;"_"&amp;B20&amp;"_"&amp;IF(I20="Reel","R",IF(I20="Carousel","C","I"))&amp;"_"&amp;J20&amp;"_"&amp;IF(K20="AI tự động","AI","HU")&amp;"_"&amp;RIGHT(A20,3)</f>
        <v>P2_EXP1_C_A_AI_004</v>
      </c>
      <c r="M20" s="45"/>
      <c r="N20" s="45"/>
      <c r="O20" s="46"/>
      <c r="P20" s="46"/>
      <c r="Q20" s="46"/>
      <c r="R20" s="47"/>
      <c r="S20" s="45"/>
      <c r="T20" s="45"/>
      <c r="U20" s="48" t="str">
        <f aca="false">IF(O20&gt;0,P20/O20,"")</f>
        <v/>
      </c>
      <c r="V20" s="49" t="str">
        <f aca="false">IF(P20&gt;0,Q20/P20,"")</f>
        <v/>
      </c>
      <c r="W20" s="50" t="n">
        <f aca="false">IF(R20&lt;&gt;"",R20,Q20*'Cài đặt'!$B$12)</f>
        <v>0</v>
      </c>
      <c r="X20" s="50" t="str">
        <f aca="false">IF(O20&gt;0,W20/O20*1000,"")</f>
        <v/>
      </c>
      <c r="Y20" s="51" t="n">
        <f aca="false">IF(T20&lt;&gt;"",T20,INDEX('Cài đặt'!$B$20:$C$22,MATCH(I20,'Cài đặt'!$A$20:$A$22,0),IF(K20="AI tự động",1,2)))</f>
        <v>4</v>
      </c>
    </row>
    <row r="21" customFormat="false" ht="15" hidden="false" customHeight="false" outlineLevel="0" collapsed="false">
      <c r="A21" s="41" t="s">
        <v>466</v>
      </c>
      <c r="B21" s="41" t="s">
        <v>443</v>
      </c>
      <c r="C21" s="41" t="s">
        <v>171</v>
      </c>
      <c r="D21" s="42" t="str">
        <f aca="false">INDEX('Page và Ngách'!$B$5:$B$10,MATCH(C21,'Page và Ngách'!$A$5:$A$10,0))</f>
        <v>Contract marriage / Fake relationship</v>
      </c>
      <c r="E21" s="41" t="n">
        <v>2</v>
      </c>
      <c r="F21" s="43" t="n">
        <f aca="false">'Cài đặt'!$B$37+E21-1</f>
        <v>46336</v>
      </c>
      <c r="G21" s="41" t="s">
        <v>444</v>
      </c>
      <c r="H21" s="44" t="str">
        <f aca="false">IF(G21="S1",'Cài đặt'!$B$7,'Cài đặt'!$B$8)</f>
        <v>12:00</v>
      </c>
      <c r="I21" s="41" t="s">
        <v>113</v>
      </c>
      <c r="J21" s="41" t="s">
        <v>132</v>
      </c>
      <c r="K21" s="41" t="s">
        <v>445</v>
      </c>
      <c r="L21" s="42" t="str">
        <f aca="false">C21&amp;"_"&amp;B21&amp;"_"&amp;IF(I21="Reel","R",IF(I21="Carousel","C","I"))&amp;"_"&amp;J21&amp;"_"&amp;IF(K21="AI tự động","AI","HU")&amp;"_"&amp;RIGHT(A21,3)</f>
        <v>P3_EXP1_C_A_AI_003</v>
      </c>
      <c r="M21" s="45"/>
      <c r="N21" s="45"/>
      <c r="O21" s="46"/>
      <c r="P21" s="46"/>
      <c r="Q21" s="46"/>
      <c r="R21" s="47"/>
      <c r="S21" s="45"/>
      <c r="T21" s="45"/>
      <c r="U21" s="48" t="str">
        <f aca="false">IF(O21&gt;0,P21/O21,"")</f>
        <v/>
      </c>
      <c r="V21" s="49" t="str">
        <f aca="false">IF(P21&gt;0,Q21/P21,"")</f>
        <v/>
      </c>
      <c r="W21" s="50" t="n">
        <f aca="false">IF(R21&lt;&gt;"",R21,Q21*'Cài đặt'!$B$12)</f>
        <v>0</v>
      </c>
      <c r="X21" s="50" t="str">
        <f aca="false">IF(O21&gt;0,W21/O21*1000,"")</f>
        <v/>
      </c>
      <c r="Y21" s="51" t="n">
        <f aca="false">IF(T21&lt;&gt;"",T21,INDEX('Cài đặt'!$B$20:$C$22,MATCH(I21,'Cài đặt'!$A$20:$A$22,0),IF(K21="AI tự động",1,2)))</f>
        <v>4</v>
      </c>
    </row>
    <row r="22" customFormat="false" ht="15" hidden="false" customHeight="false" outlineLevel="0" collapsed="false">
      <c r="A22" s="41" t="s">
        <v>467</v>
      </c>
      <c r="B22" s="41" t="s">
        <v>443</v>
      </c>
      <c r="C22" s="41" t="s">
        <v>171</v>
      </c>
      <c r="D22" s="42" t="str">
        <f aca="false">INDEX('Page và Ngách'!$B$5:$B$10,MATCH(C22,'Page và Ngách'!$A$5:$A$10,0))</f>
        <v>Contract marriage / Fake relationship</v>
      </c>
      <c r="E22" s="41" t="n">
        <v>2</v>
      </c>
      <c r="F22" s="43" t="n">
        <f aca="false">'Cài đặt'!$B$37+E22-1</f>
        <v>46336</v>
      </c>
      <c r="G22" s="41" t="s">
        <v>451</v>
      </c>
      <c r="H22" s="44" t="str">
        <f aca="false">IF(G22="S1",'Cài đặt'!$B$7,'Cài đặt'!$B$8)</f>
        <v>20:00</v>
      </c>
      <c r="I22" s="41" t="s">
        <v>115</v>
      </c>
      <c r="J22" s="41" t="s">
        <v>132</v>
      </c>
      <c r="K22" s="41" t="s">
        <v>445</v>
      </c>
      <c r="L22" s="42" t="str">
        <f aca="false">C22&amp;"_"&amp;B22&amp;"_"&amp;IF(I22="Reel","R",IF(I22="Carousel","C","I"))&amp;"_"&amp;J22&amp;"_"&amp;IF(K22="AI tự động","AI","HU")&amp;"_"&amp;RIGHT(A22,3)</f>
        <v>P3_EXP1_R_A_AI_004</v>
      </c>
      <c r="M22" s="45"/>
      <c r="N22" s="45"/>
      <c r="O22" s="46"/>
      <c r="P22" s="46"/>
      <c r="Q22" s="46"/>
      <c r="R22" s="47"/>
      <c r="S22" s="45"/>
      <c r="T22" s="45"/>
      <c r="U22" s="48" t="str">
        <f aca="false">IF(O22&gt;0,P22/O22,"")</f>
        <v/>
      </c>
      <c r="V22" s="49" t="str">
        <f aca="false">IF(P22&gt;0,Q22/P22,"")</f>
        <v/>
      </c>
      <c r="W22" s="50" t="n">
        <f aca="false">IF(R22&lt;&gt;"",R22,Q22*'Cài đặt'!$B$12)</f>
        <v>0</v>
      </c>
      <c r="X22" s="50" t="str">
        <f aca="false">IF(O22&gt;0,W22/O22*1000,"")</f>
        <v/>
      </c>
      <c r="Y22" s="51" t="n">
        <f aca="false">IF(T22&lt;&gt;"",T22,INDEX('Cài đặt'!$B$20:$C$22,MATCH(I22,'Cài đặt'!$A$20:$A$22,0),IF(K22="AI tự động",1,2)))</f>
        <v>8</v>
      </c>
    </row>
    <row r="23" customFormat="false" ht="15" hidden="false" customHeight="false" outlineLevel="0" collapsed="false">
      <c r="A23" s="41" t="s">
        <v>468</v>
      </c>
      <c r="B23" s="41" t="s">
        <v>443</v>
      </c>
      <c r="C23" s="41" t="s">
        <v>178</v>
      </c>
      <c r="D23" s="42" t="str">
        <f aca="false">INDEX('Page và Ngách'!$B$5:$B$10,MATCH(C23,'Page và Ngách'!$A$5:$A$10,0))</f>
        <v>Revenge / Betrayal ("you'll regret it")</v>
      </c>
      <c r="E23" s="41" t="n">
        <v>2</v>
      </c>
      <c r="F23" s="43" t="n">
        <f aca="false">'Cài đặt'!$B$37+E23-1</f>
        <v>46336</v>
      </c>
      <c r="G23" s="41" t="s">
        <v>444</v>
      </c>
      <c r="H23" s="44" t="str">
        <f aca="false">IF(G23="S1",'Cài đặt'!$B$7,'Cài đặt'!$B$8)</f>
        <v>12:00</v>
      </c>
      <c r="I23" s="41" t="s">
        <v>115</v>
      </c>
      <c r="J23" s="41" t="s">
        <v>132</v>
      </c>
      <c r="K23" s="41" t="s">
        <v>445</v>
      </c>
      <c r="L23" s="42" t="str">
        <f aca="false">C23&amp;"_"&amp;B23&amp;"_"&amp;IF(I23="Reel","R",IF(I23="Carousel","C","I"))&amp;"_"&amp;J23&amp;"_"&amp;IF(K23="AI tự động","AI","HU")&amp;"_"&amp;RIGHT(A23,3)</f>
        <v>P4_EXP1_R_A_AI_003</v>
      </c>
      <c r="M23" s="45"/>
      <c r="N23" s="45"/>
      <c r="O23" s="46"/>
      <c r="P23" s="46"/>
      <c r="Q23" s="46"/>
      <c r="R23" s="47"/>
      <c r="S23" s="45"/>
      <c r="T23" s="45"/>
      <c r="U23" s="48" t="str">
        <f aca="false">IF(O23&gt;0,P23/O23,"")</f>
        <v/>
      </c>
      <c r="V23" s="49" t="str">
        <f aca="false">IF(P23&gt;0,Q23/P23,"")</f>
        <v/>
      </c>
      <c r="W23" s="50" t="n">
        <f aca="false">IF(R23&lt;&gt;"",R23,Q23*'Cài đặt'!$B$12)</f>
        <v>0</v>
      </c>
      <c r="X23" s="50" t="str">
        <f aca="false">IF(O23&gt;0,W23/O23*1000,"")</f>
        <v/>
      </c>
      <c r="Y23" s="51" t="n">
        <f aca="false">IF(T23&lt;&gt;"",T23,INDEX('Cài đặt'!$B$20:$C$22,MATCH(I23,'Cài đặt'!$A$20:$A$22,0),IF(K23="AI tự động",1,2)))</f>
        <v>8</v>
      </c>
    </row>
    <row r="24" customFormat="false" ht="15" hidden="false" customHeight="false" outlineLevel="0" collapsed="false">
      <c r="A24" s="41" t="s">
        <v>469</v>
      </c>
      <c r="B24" s="41" t="s">
        <v>443</v>
      </c>
      <c r="C24" s="41" t="s">
        <v>178</v>
      </c>
      <c r="D24" s="42" t="str">
        <f aca="false">INDEX('Page và Ngách'!$B$5:$B$10,MATCH(C24,'Page và Ngách'!$A$5:$A$10,0))</f>
        <v>Revenge / Betrayal ("you'll regret it")</v>
      </c>
      <c r="E24" s="41" t="n">
        <v>2</v>
      </c>
      <c r="F24" s="43" t="n">
        <f aca="false">'Cài đặt'!$B$37+E24-1</f>
        <v>46336</v>
      </c>
      <c r="G24" s="41" t="s">
        <v>451</v>
      </c>
      <c r="H24" s="44" t="str">
        <f aca="false">IF(G24="S1",'Cài đặt'!$B$7,'Cài đặt'!$B$8)</f>
        <v>20:00</v>
      </c>
      <c r="I24" s="41" t="s">
        <v>111</v>
      </c>
      <c r="J24" s="41" t="s">
        <v>132</v>
      </c>
      <c r="K24" s="41" t="s">
        <v>445</v>
      </c>
      <c r="L24" s="42" t="str">
        <f aca="false">C24&amp;"_"&amp;B24&amp;"_"&amp;IF(I24="Reel","R",IF(I24="Carousel","C","I"))&amp;"_"&amp;J24&amp;"_"&amp;IF(K24="AI tự động","AI","HU")&amp;"_"&amp;RIGHT(A24,3)</f>
        <v>P4_EXP1_I_A_AI_004</v>
      </c>
      <c r="M24" s="45"/>
      <c r="N24" s="45"/>
      <c r="O24" s="46"/>
      <c r="P24" s="46"/>
      <c r="Q24" s="46"/>
      <c r="R24" s="47"/>
      <c r="S24" s="45"/>
      <c r="T24" s="45"/>
      <c r="U24" s="48" t="str">
        <f aca="false">IF(O24&gt;0,P24/O24,"")</f>
        <v/>
      </c>
      <c r="V24" s="49" t="str">
        <f aca="false">IF(P24&gt;0,Q24/P24,"")</f>
        <v/>
      </c>
      <c r="W24" s="50" t="n">
        <f aca="false">IF(R24&lt;&gt;"",R24,Q24*'Cài đặt'!$B$12)</f>
        <v>0</v>
      </c>
      <c r="X24" s="50" t="str">
        <f aca="false">IF(O24&gt;0,W24/O24*1000,"")</f>
        <v/>
      </c>
      <c r="Y24" s="51" t="n">
        <f aca="false">IF(T24&lt;&gt;"",T24,INDEX('Cài đặt'!$B$20:$C$22,MATCH(I24,'Cài đặt'!$A$20:$A$22,0),IF(K24="AI tự động",1,2)))</f>
        <v>2</v>
      </c>
    </row>
    <row r="25" customFormat="false" ht="15" hidden="false" customHeight="false" outlineLevel="0" collapsed="false">
      <c r="A25" s="41" t="s">
        <v>470</v>
      </c>
      <c r="B25" s="41" t="s">
        <v>443</v>
      </c>
      <c r="C25" s="41" t="s">
        <v>185</v>
      </c>
      <c r="D25" s="42" t="str">
        <f aca="false">INDEX('Page và Ngách'!$B$5:$B$10,MATCH(C25,'Page và Ngách'!$A$5:$A$10,0))</f>
        <v>Mafia / Dark romance (teaser PG-13)</v>
      </c>
      <c r="E25" s="41" t="n">
        <v>2</v>
      </c>
      <c r="F25" s="43" t="n">
        <f aca="false">'Cài đặt'!$B$37+E25-1</f>
        <v>46336</v>
      </c>
      <c r="G25" s="41" t="s">
        <v>444</v>
      </c>
      <c r="H25" s="44" t="str">
        <f aca="false">IF(G25="S1",'Cài đặt'!$B$7,'Cài đặt'!$B$8)</f>
        <v>12:00</v>
      </c>
      <c r="I25" s="41" t="s">
        <v>111</v>
      </c>
      <c r="J25" s="41" t="s">
        <v>132</v>
      </c>
      <c r="K25" s="41" t="s">
        <v>445</v>
      </c>
      <c r="L25" s="42" t="str">
        <f aca="false">C25&amp;"_"&amp;B25&amp;"_"&amp;IF(I25="Reel","R",IF(I25="Carousel","C","I"))&amp;"_"&amp;J25&amp;"_"&amp;IF(K25="AI tự động","AI","HU")&amp;"_"&amp;RIGHT(A25,3)</f>
        <v>P5_EXP1_I_A_AI_003</v>
      </c>
      <c r="M25" s="45"/>
      <c r="N25" s="45"/>
      <c r="O25" s="46"/>
      <c r="P25" s="46"/>
      <c r="Q25" s="46"/>
      <c r="R25" s="47"/>
      <c r="S25" s="45"/>
      <c r="T25" s="45"/>
      <c r="U25" s="48" t="str">
        <f aca="false">IF(O25&gt;0,P25/O25,"")</f>
        <v/>
      </c>
      <c r="V25" s="49" t="str">
        <f aca="false">IF(P25&gt;0,Q25/P25,"")</f>
        <v/>
      </c>
      <c r="W25" s="50" t="n">
        <f aca="false">IF(R25&lt;&gt;"",R25,Q25*'Cài đặt'!$B$12)</f>
        <v>0</v>
      </c>
      <c r="X25" s="50" t="str">
        <f aca="false">IF(O25&gt;0,W25/O25*1000,"")</f>
        <v/>
      </c>
      <c r="Y25" s="51" t="n">
        <f aca="false">IF(T25&lt;&gt;"",T25,INDEX('Cài đặt'!$B$20:$C$22,MATCH(I25,'Cài đặt'!$A$20:$A$22,0),IF(K25="AI tự động",1,2)))</f>
        <v>2</v>
      </c>
    </row>
    <row r="26" customFormat="false" ht="15" hidden="false" customHeight="false" outlineLevel="0" collapsed="false">
      <c r="A26" s="41" t="s">
        <v>471</v>
      </c>
      <c r="B26" s="41" t="s">
        <v>443</v>
      </c>
      <c r="C26" s="41" t="s">
        <v>185</v>
      </c>
      <c r="D26" s="42" t="str">
        <f aca="false">INDEX('Page và Ngách'!$B$5:$B$10,MATCH(C26,'Page và Ngách'!$A$5:$A$10,0))</f>
        <v>Mafia / Dark romance (teaser PG-13)</v>
      </c>
      <c r="E26" s="41" t="n">
        <v>2</v>
      </c>
      <c r="F26" s="43" t="n">
        <f aca="false">'Cài đặt'!$B$37+E26-1</f>
        <v>46336</v>
      </c>
      <c r="G26" s="41" t="s">
        <v>451</v>
      </c>
      <c r="H26" s="44" t="str">
        <f aca="false">IF(G26="S1",'Cài đặt'!$B$7,'Cài đặt'!$B$8)</f>
        <v>20:00</v>
      </c>
      <c r="I26" s="41" t="s">
        <v>113</v>
      </c>
      <c r="J26" s="41" t="s">
        <v>132</v>
      </c>
      <c r="K26" s="41" t="s">
        <v>445</v>
      </c>
      <c r="L26" s="42" t="str">
        <f aca="false">C26&amp;"_"&amp;B26&amp;"_"&amp;IF(I26="Reel","R",IF(I26="Carousel","C","I"))&amp;"_"&amp;J26&amp;"_"&amp;IF(K26="AI tự động","AI","HU")&amp;"_"&amp;RIGHT(A26,3)</f>
        <v>P5_EXP1_C_A_AI_004</v>
      </c>
      <c r="M26" s="45"/>
      <c r="N26" s="45"/>
      <c r="O26" s="46"/>
      <c r="P26" s="46"/>
      <c r="Q26" s="46"/>
      <c r="R26" s="47"/>
      <c r="S26" s="45"/>
      <c r="T26" s="45"/>
      <c r="U26" s="48" t="str">
        <f aca="false">IF(O26&gt;0,P26/O26,"")</f>
        <v/>
      </c>
      <c r="V26" s="49" t="str">
        <f aca="false">IF(P26&gt;0,Q26/P26,"")</f>
        <v/>
      </c>
      <c r="W26" s="50" t="n">
        <f aca="false">IF(R26&lt;&gt;"",R26,Q26*'Cài đặt'!$B$12)</f>
        <v>0</v>
      </c>
      <c r="X26" s="50" t="str">
        <f aca="false">IF(O26&gt;0,W26/O26*1000,"")</f>
        <v/>
      </c>
      <c r="Y26" s="51" t="n">
        <f aca="false">IF(T26&lt;&gt;"",T26,INDEX('Cài đặt'!$B$20:$C$22,MATCH(I26,'Cài đặt'!$A$20:$A$22,0),IF(K26="AI tự động",1,2)))</f>
        <v>4</v>
      </c>
    </row>
    <row r="27" customFormat="false" ht="15" hidden="false" customHeight="false" outlineLevel="0" collapsed="false">
      <c r="A27" s="41" t="s">
        <v>472</v>
      </c>
      <c r="B27" s="41" t="s">
        <v>443</v>
      </c>
      <c r="C27" s="41" t="s">
        <v>193</v>
      </c>
      <c r="D27" s="42" t="str">
        <f aca="false">INDEX('Page và Ngách'!$B$5:$B$10,MATCH(C27,'Page và Ngách'!$A$5:$A$10,0))</f>
        <v>Second chance / Secret baby</v>
      </c>
      <c r="E27" s="41" t="n">
        <v>2</v>
      </c>
      <c r="F27" s="43" t="n">
        <f aca="false">'Cài đặt'!$B$37+E27-1</f>
        <v>46336</v>
      </c>
      <c r="G27" s="41" t="s">
        <v>444</v>
      </c>
      <c r="H27" s="44" t="str">
        <f aca="false">IF(G27="S1",'Cài đặt'!$B$7,'Cài đặt'!$B$8)</f>
        <v>12:00</v>
      </c>
      <c r="I27" s="41" t="s">
        <v>113</v>
      </c>
      <c r="J27" s="41" t="s">
        <v>132</v>
      </c>
      <c r="K27" s="41" t="s">
        <v>445</v>
      </c>
      <c r="L27" s="42" t="str">
        <f aca="false">C27&amp;"_"&amp;B27&amp;"_"&amp;IF(I27="Reel","R",IF(I27="Carousel","C","I"))&amp;"_"&amp;J27&amp;"_"&amp;IF(K27="AI tự động","AI","HU")&amp;"_"&amp;RIGHT(A27,3)</f>
        <v>P6_EXP1_C_A_AI_003</v>
      </c>
      <c r="M27" s="45"/>
      <c r="N27" s="45"/>
      <c r="O27" s="46"/>
      <c r="P27" s="46"/>
      <c r="Q27" s="46"/>
      <c r="R27" s="47"/>
      <c r="S27" s="45"/>
      <c r="T27" s="45"/>
      <c r="U27" s="48" t="str">
        <f aca="false">IF(O27&gt;0,P27/O27,"")</f>
        <v/>
      </c>
      <c r="V27" s="49" t="str">
        <f aca="false">IF(P27&gt;0,Q27/P27,"")</f>
        <v/>
      </c>
      <c r="W27" s="50" t="n">
        <f aca="false">IF(R27&lt;&gt;"",R27,Q27*'Cài đặt'!$B$12)</f>
        <v>0</v>
      </c>
      <c r="X27" s="50" t="str">
        <f aca="false">IF(O27&gt;0,W27/O27*1000,"")</f>
        <v/>
      </c>
      <c r="Y27" s="51" t="n">
        <f aca="false">IF(T27&lt;&gt;"",T27,INDEX('Cài đặt'!$B$20:$C$22,MATCH(I27,'Cài đặt'!$A$20:$A$22,0),IF(K27="AI tự động",1,2)))</f>
        <v>4</v>
      </c>
    </row>
    <row r="28" customFormat="false" ht="15" hidden="false" customHeight="false" outlineLevel="0" collapsed="false">
      <c r="A28" s="41" t="s">
        <v>473</v>
      </c>
      <c r="B28" s="41" t="s">
        <v>443</v>
      </c>
      <c r="C28" s="41" t="s">
        <v>193</v>
      </c>
      <c r="D28" s="42" t="str">
        <f aca="false">INDEX('Page và Ngách'!$B$5:$B$10,MATCH(C28,'Page và Ngách'!$A$5:$A$10,0))</f>
        <v>Second chance / Secret baby</v>
      </c>
      <c r="E28" s="41" t="n">
        <v>2</v>
      </c>
      <c r="F28" s="43" t="n">
        <f aca="false">'Cài đặt'!$B$37+E28-1</f>
        <v>46336</v>
      </c>
      <c r="G28" s="41" t="s">
        <v>451</v>
      </c>
      <c r="H28" s="44" t="str">
        <f aca="false">IF(G28="S1",'Cài đặt'!$B$7,'Cài đặt'!$B$8)</f>
        <v>20:00</v>
      </c>
      <c r="I28" s="41" t="s">
        <v>115</v>
      </c>
      <c r="J28" s="41" t="s">
        <v>132</v>
      </c>
      <c r="K28" s="41" t="s">
        <v>445</v>
      </c>
      <c r="L28" s="42" t="str">
        <f aca="false">C28&amp;"_"&amp;B28&amp;"_"&amp;IF(I28="Reel","R",IF(I28="Carousel","C","I"))&amp;"_"&amp;J28&amp;"_"&amp;IF(K28="AI tự động","AI","HU")&amp;"_"&amp;RIGHT(A28,3)</f>
        <v>P6_EXP1_R_A_AI_004</v>
      </c>
      <c r="M28" s="45"/>
      <c r="N28" s="45"/>
      <c r="O28" s="46"/>
      <c r="P28" s="46"/>
      <c r="Q28" s="46"/>
      <c r="R28" s="47"/>
      <c r="S28" s="45"/>
      <c r="T28" s="45"/>
      <c r="U28" s="48" t="str">
        <f aca="false">IF(O28&gt;0,P28/O28,"")</f>
        <v/>
      </c>
      <c r="V28" s="49" t="str">
        <f aca="false">IF(P28&gt;0,Q28/P28,"")</f>
        <v/>
      </c>
      <c r="W28" s="50" t="n">
        <f aca="false">IF(R28&lt;&gt;"",R28,Q28*'Cài đặt'!$B$12)</f>
        <v>0</v>
      </c>
      <c r="X28" s="50" t="str">
        <f aca="false">IF(O28&gt;0,W28/O28*1000,"")</f>
        <v/>
      </c>
      <c r="Y28" s="51" t="n">
        <f aca="false">IF(T28&lt;&gt;"",T28,INDEX('Cài đặt'!$B$20:$C$22,MATCH(I28,'Cài đặt'!$A$20:$A$22,0),IF(K28="AI tự động",1,2)))</f>
        <v>8</v>
      </c>
    </row>
    <row r="29" customFormat="false" ht="15" hidden="false" customHeight="false" outlineLevel="0" collapsed="false">
      <c r="A29" s="41" t="s">
        <v>474</v>
      </c>
      <c r="B29" s="41" t="s">
        <v>443</v>
      </c>
      <c r="C29" s="41" t="s">
        <v>154</v>
      </c>
      <c r="D29" s="42" t="str">
        <f aca="false">INDEX('Page và Ngách'!$B$5:$B$10,MATCH(C29,'Page và Ngách'!$A$5:$A$10,0))</f>
        <v>Werewolf / Rejected mate</v>
      </c>
      <c r="E29" s="41" t="n">
        <v>3</v>
      </c>
      <c r="F29" s="43" t="n">
        <f aca="false">'Cài đặt'!$B$37+E29-1</f>
        <v>46337</v>
      </c>
      <c r="G29" s="41" t="s">
        <v>444</v>
      </c>
      <c r="H29" s="44" t="str">
        <f aca="false">IF(G29="S1",'Cài đặt'!$B$7,'Cài đặt'!$B$8)</f>
        <v>12:00</v>
      </c>
      <c r="I29" s="41" t="s">
        <v>113</v>
      </c>
      <c r="J29" s="41" t="s">
        <v>132</v>
      </c>
      <c r="K29" s="41" t="s">
        <v>445</v>
      </c>
      <c r="L29" s="42" t="str">
        <f aca="false">C29&amp;"_"&amp;B29&amp;"_"&amp;IF(I29="Reel","R",IF(I29="Carousel","C","I"))&amp;"_"&amp;J29&amp;"_"&amp;IF(K29="AI tự động","AI","HU")&amp;"_"&amp;RIGHT(A29,3)</f>
        <v>P1_EXP1_C_A_AI_005</v>
      </c>
      <c r="M29" s="45"/>
      <c r="N29" s="45"/>
      <c r="O29" s="46"/>
      <c r="P29" s="46"/>
      <c r="Q29" s="46"/>
      <c r="R29" s="47"/>
      <c r="S29" s="45"/>
      <c r="T29" s="45"/>
      <c r="U29" s="48" t="str">
        <f aca="false">IF(O29&gt;0,P29/O29,"")</f>
        <v/>
      </c>
      <c r="V29" s="49" t="str">
        <f aca="false">IF(P29&gt;0,Q29/P29,"")</f>
        <v/>
      </c>
      <c r="W29" s="50" t="n">
        <f aca="false">IF(R29&lt;&gt;"",R29,Q29*'Cài đặt'!$B$12)</f>
        <v>0</v>
      </c>
      <c r="X29" s="50" t="str">
        <f aca="false">IF(O29&gt;0,W29/O29*1000,"")</f>
        <v/>
      </c>
      <c r="Y29" s="51" t="n">
        <f aca="false">IF(T29&lt;&gt;"",T29,INDEX('Cài đặt'!$B$20:$C$22,MATCH(I29,'Cài đặt'!$A$20:$A$22,0),IF(K29="AI tự động",1,2)))</f>
        <v>4</v>
      </c>
    </row>
    <row r="30" customFormat="false" ht="15" hidden="false" customHeight="false" outlineLevel="0" collapsed="false">
      <c r="A30" s="41" t="s">
        <v>475</v>
      </c>
      <c r="B30" s="41" t="s">
        <v>443</v>
      </c>
      <c r="C30" s="41" t="s">
        <v>154</v>
      </c>
      <c r="D30" s="42" t="str">
        <f aca="false">INDEX('Page và Ngách'!$B$5:$B$10,MATCH(C30,'Page và Ngách'!$A$5:$A$10,0))</f>
        <v>Werewolf / Rejected mate</v>
      </c>
      <c r="E30" s="41" t="n">
        <v>3</v>
      </c>
      <c r="F30" s="43" t="n">
        <f aca="false">'Cài đặt'!$B$37+E30-1</f>
        <v>46337</v>
      </c>
      <c r="G30" s="41" t="s">
        <v>451</v>
      </c>
      <c r="H30" s="44" t="str">
        <f aca="false">IF(G30="S1",'Cài đặt'!$B$7,'Cài đặt'!$B$8)</f>
        <v>20:00</v>
      </c>
      <c r="I30" s="41" t="s">
        <v>115</v>
      </c>
      <c r="J30" s="41" t="s">
        <v>132</v>
      </c>
      <c r="K30" s="41" t="s">
        <v>445</v>
      </c>
      <c r="L30" s="42" t="str">
        <f aca="false">C30&amp;"_"&amp;B30&amp;"_"&amp;IF(I30="Reel","R",IF(I30="Carousel","C","I"))&amp;"_"&amp;J30&amp;"_"&amp;IF(K30="AI tự động","AI","HU")&amp;"_"&amp;RIGHT(A30,3)</f>
        <v>P1_EXP1_R_A_AI_006</v>
      </c>
      <c r="M30" s="45"/>
      <c r="N30" s="45"/>
      <c r="O30" s="46"/>
      <c r="P30" s="46"/>
      <c r="Q30" s="46"/>
      <c r="R30" s="47"/>
      <c r="S30" s="45"/>
      <c r="T30" s="45"/>
      <c r="U30" s="48" t="str">
        <f aca="false">IF(O30&gt;0,P30/O30,"")</f>
        <v/>
      </c>
      <c r="V30" s="49" t="str">
        <f aca="false">IF(P30&gt;0,Q30/P30,"")</f>
        <v/>
      </c>
      <c r="W30" s="50" t="n">
        <f aca="false">IF(R30&lt;&gt;"",R30,Q30*'Cài đặt'!$B$12)</f>
        <v>0</v>
      </c>
      <c r="X30" s="50" t="str">
        <f aca="false">IF(O30&gt;0,W30/O30*1000,"")</f>
        <v/>
      </c>
      <c r="Y30" s="51" t="n">
        <f aca="false">IF(T30&lt;&gt;"",T30,INDEX('Cài đặt'!$B$20:$C$22,MATCH(I30,'Cài đặt'!$A$20:$A$22,0),IF(K30="AI tự động",1,2)))</f>
        <v>8</v>
      </c>
    </row>
    <row r="31" customFormat="false" ht="15" hidden="false" customHeight="false" outlineLevel="0" collapsed="false">
      <c r="A31" s="41" t="s">
        <v>476</v>
      </c>
      <c r="B31" s="41" t="s">
        <v>443</v>
      </c>
      <c r="C31" s="41" t="s">
        <v>163</v>
      </c>
      <c r="D31" s="42" t="str">
        <f aca="false">INDEX('Page và Ngách'!$B$5:$B$10,MATCH(C31,'Page và Ngách'!$A$5:$A$10,0))</f>
        <v>Secret billionaire / CEO</v>
      </c>
      <c r="E31" s="41" t="n">
        <v>3</v>
      </c>
      <c r="F31" s="43" t="n">
        <f aca="false">'Cài đặt'!$B$37+E31-1</f>
        <v>46337</v>
      </c>
      <c r="G31" s="41" t="s">
        <v>444</v>
      </c>
      <c r="H31" s="44" t="str">
        <f aca="false">IF(G31="S1",'Cài đặt'!$B$7,'Cài đặt'!$B$8)</f>
        <v>12:00</v>
      </c>
      <c r="I31" s="41" t="s">
        <v>115</v>
      </c>
      <c r="J31" s="41" t="s">
        <v>132</v>
      </c>
      <c r="K31" s="41" t="s">
        <v>445</v>
      </c>
      <c r="L31" s="42" t="str">
        <f aca="false">C31&amp;"_"&amp;B31&amp;"_"&amp;IF(I31="Reel","R",IF(I31="Carousel","C","I"))&amp;"_"&amp;J31&amp;"_"&amp;IF(K31="AI tự động","AI","HU")&amp;"_"&amp;RIGHT(A31,3)</f>
        <v>P2_EXP1_R_A_AI_005</v>
      </c>
      <c r="M31" s="45"/>
      <c r="N31" s="45"/>
      <c r="O31" s="46"/>
      <c r="P31" s="46"/>
      <c r="Q31" s="46"/>
      <c r="R31" s="47"/>
      <c r="S31" s="45"/>
      <c r="T31" s="45"/>
      <c r="U31" s="48" t="str">
        <f aca="false">IF(O31&gt;0,P31/O31,"")</f>
        <v/>
      </c>
      <c r="V31" s="49" t="str">
        <f aca="false">IF(P31&gt;0,Q31/P31,"")</f>
        <v/>
      </c>
      <c r="W31" s="50" t="n">
        <f aca="false">IF(R31&lt;&gt;"",R31,Q31*'Cài đặt'!$B$12)</f>
        <v>0</v>
      </c>
      <c r="X31" s="50" t="str">
        <f aca="false">IF(O31&gt;0,W31/O31*1000,"")</f>
        <v/>
      </c>
      <c r="Y31" s="51" t="n">
        <f aca="false">IF(T31&lt;&gt;"",T31,INDEX('Cài đặt'!$B$20:$C$22,MATCH(I31,'Cài đặt'!$A$20:$A$22,0),IF(K31="AI tự động",1,2)))</f>
        <v>8</v>
      </c>
    </row>
    <row r="32" customFormat="false" ht="15" hidden="false" customHeight="false" outlineLevel="0" collapsed="false">
      <c r="A32" s="41" t="s">
        <v>477</v>
      </c>
      <c r="B32" s="41" t="s">
        <v>443</v>
      </c>
      <c r="C32" s="41" t="s">
        <v>163</v>
      </c>
      <c r="D32" s="42" t="str">
        <f aca="false">INDEX('Page và Ngách'!$B$5:$B$10,MATCH(C32,'Page và Ngách'!$A$5:$A$10,0))</f>
        <v>Secret billionaire / CEO</v>
      </c>
      <c r="E32" s="41" t="n">
        <v>3</v>
      </c>
      <c r="F32" s="43" t="n">
        <f aca="false">'Cài đặt'!$B$37+E32-1</f>
        <v>46337</v>
      </c>
      <c r="G32" s="41" t="s">
        <v>451</v>
      </c>
      <c r="H32" s="44" t="str">
        <f aca="false">IF(G32="S1",'Cài đặt'!$B$7,'Cài đặt'!$B$8)</f>
        <v>20:00</v>
      </c>
      <c r="I32" s="41" t="s">
        <v>111</v>
      </c>
      <c r="J32" s="41" t="s">
        <v>132</v>
      </c>
      <c r="K32" s="41" t="s">
        <v>445</v>
      </c>
      <c r="L32" s="42" t="str">
        <f aca="false">C32&amp;"_"&amp;B32&amp;"_"&amp;IF(I32="Reel","R",IF(I32="Carousel","C","I"))&amp;"_"&amp;J32&amp;"_"&amp;IF(K32="AI tự động","AI","HU")&amp;"_"&amp;RIGHT(A32,3)</f>
        <v>P2_EXP1_I_A_AI_006</v>
      </c>
      <c r="M32" s="45"/>
      <c r="N32" s="45"/>
      <c r="O32" s="46"/>
      <c r="P32" s="46"/>
      <c r="Q32" s="46"/>
      <c r="R32" s="47"/>
      <c r="S32" s="45"/>
      <c r="T32" s="45"/>
      <c r="U32" s="48" t="str">
        <f aca="false">IF(O32&gt;0,P32/O32,"")</f>
        <v/>
      </c>
      <c r="V32" s="49" t="str">
        <f aca="false">IF(P32&gt;0,Q32/P32,"")</f>
        <v/>
      </c>
      <c r="W32" s="50" t="n">
        <f aca="false">IF(R32&lt;&gt;"",R32,Q32*'Cài đặt'!$B$12)</f>
        <v>0</v>
      </c>
      <c r="X32" s="50" t="str">
        <f aca="false">IF(O32&gt;0,W32/O32*1000,"")</f>
        <v/>
      </c>
      <c r="Y32" s="51" t="n">
        <f aca="false">IF(T32&lt;&gt;"",T32,INDEX('Cài đặt'!$B$20:$C$22,MATCH(I32,'Cài đặt'!$A$20:$A$22,0),IF(K32="AI tự động",1,2)))</f>
        <v>2</v>
      </c>
    </row>
    <row r="33" customFormat="false" ht="15" hidden="false" customHeight="false" outlineLevel="0" collapsed="false">
      <c r="A33" s="41" t="s">
        <v>478</v>
      </c>
      <c r="B33" s="41" t="s">
        <v>443</v>
      </c>
      <c r="C33" s="41" t="s">
        <v>171</v>
      </c>
      <c r="D33" s="42" t="str">
        <f aca="false">INDEX('Page và Ngách'!$B$5:$B$10,MATCH(C33,'Page và Ngách'!$A$5:$A$10,0))</f>
        <v>Contract marriage / Fake relationship</v>
      </c>
      <c r="E33" s="41" t="n">
        <v>3</v>
      </c>
      <c r="F33" s="43" t="n">
        <f aca="false">'Cài đặt'!$B$37+E33-1</f>
        <v>46337</v>
      </c>
      <c r="G33" s="41" t="s">
        <v>444</v>
      </c>
      <c r="H33" s="44" t="str">
        <f aca="false">IF(G33="S1",'Cài đặt'!$B$7,'Cài đặt'!$B$8)</f>
        <v>12:00</v>
      </c>
      <c r="I33" s="41" t="s">
        <v>111</v>
      </c>
      <c r="J33" s="41" t="s">
        <v>132</v>
      </c>
      <c r="K33" s="41" t="s">
        <v>445</v>
      </c>
      <c r="L33" s="42" t="str">
        <f aca="false">C33&amp;"_"&amp;B33&amp;"_"&amp;IF(I33="Reel","R",IF(I33="Carousel","C","I"))&amp;"_"&amp;J33&amp;"_"&amp;IF(K33="AI tự động","AI","HU")&amp;"_"&amp;RIGHT(A33,3)</f>
        <v>P3_EXP1_I_A_AI_005</v>
      </c>
      <c r="M33" s="45"/>
      <c r="N33" s="45"/>
      <c r="O33" s="46"/>
      <c r="P33" s="46"/>
      <c r="Q33" s="46"/>
      <c r="R33" s="47"/>
      <c r="S33" s="45"/>
      <c r="T33" s="45"/>
      <c r="U33" s="48" t="str">
        <f aca="false">IF(O33&gt;0,P33/O33,"")</f>
        <v/>
      </c>
      <c r="V33" s="49" t="str">
        <f aca="false">IF(P33&gt;0,Q33/P33,"")</f>
        <v/>
      </c>
      <c r="W33" s="50" t="n">
        <f aca="false">IF(R33&lt;&gt;"",R33,Q33*'Cài đặt'!$B$12)</f>
        <v>0</v>
      </c>
      <c r="X33" s="50" t="str">
        <f aca="false">IF(O33&gt;0,W33/O33*1000,"")</f>
        <v/>
      </c>
      <c r="Y33" s="51" t="n">
        <f aca="false">IF(T33&lt;&gt;"",T33,INDEX('Cài đặt'!$B$20:$C$22,MATCH(I33,'Cài đặt'!$A$20:$A$22,0),IF(K33="AI tự động",1,2)))</f>
        <v>2</v>
      </c>
    </row>
    <row r="34" customFormat="false" ht="15" hidden="false" customHeight="false" outlineLevel="0" collapsed="false">
      <c r="A34" s="41" t="s">
        <v>479</v>
      </c>
      <c r="B34" s="41" t="s">
        <v>443</v>
      </c>
      <c r="C34" s="41" t="s">
        <v>171</v>
      </c>
      <c r="D34" s="42" t="str">
        <f aca="false">INDEX('Page và Ngách'!$B$5:$B$10,MATCH(C34,'Page và Ngách'!$A$5:$A$10,0))</f>
        <v>Contract marriage / Fake relationship</v>
      </c>
      <c r="E34" s="41" t="n">
        <v>3</v>
      </c>
      <c r="F34" s="43" t="n">
        <f aca="false">'Cài đặt'!$B$37+E34-1</f>
        <v>46337</v>
      </c>
      <c r="G34" s="41" t="s">
        <v>451</v>
      </c>
      <c r="H34" s="44" t="str">
        <f aca="false">IF(G34="S1",'Cài đặt'!$B$7,'Cài đặt'!$B$8)</f>
        <v>20:00</v>
      </c>
      <c r="I34" s="41" t="s">
        <v>113</v>
      </c>
      <c r="J34" s="41" t="s">
        <v>132</v>
      </c>
      <c r="K34" s="41" t="s">
        <v>445</v>
      </c>
      <c r="L34" s="42" t="str">
        <f aca="false">C34&amp;"_"&amp;B34&amp;"_"&amp;IF(I34="Reel","R",IF(I34="Carousel","C","I"))&amp;"_"&amp;J34&amp;"_"&amp;IF(K34="AI tự động","AI","HU")&amp;"_"&amp;RIGHT(A34,3)</f>
        <v>P3_EXP1_C_A_AI_006</v>
      </c>
      <c r="M34" s="45"/>
      <c r="N34" s="45"/>
      <c r="O34" s="46"/>
      <c r="P34" s="46"/>
      <c r="Q34" s="46"/>
      <c r="R34" s="47"/>
      <c r="S34" s="45"/>
      <c r="T34" s="45"/>
      <c r="U34" s="48" t="str">
        <f aca="false">IF(O34&gt;0,P34/O34,"")</f>
        <v/>
      </c>
      <c r="V34" s="49" t="str">
        <f aca="false">IF(P34&gt;0,Q34/P34,"")</f>
        <v/>
      </c>
      <c r="W34" s="50" t="n">
        <f aca="false">IF(R34&lt;&gt;"",R34,Q34*'Cài đặt'!$B$12)</f>
        <v>0</v>
      </c>
      <c r="X34" s="50" t="str">
        <f aca="false">IF(O34&gt;0,W34/O34*1000,"")</f>
        <v/>
      </c>
      <c r="Y34" s="51" t="n">
        <f aca="false">IF(T34&lt;&gt;"",T34,INDEX('Cài đặt'!$B$20:$C$22,MATCH(I34,'Cài đặt'!$A$20:$A$22,0),IF(K34="AI tự động",1,2)))</f>
        <v>4</v>
      </c>
    </row>
    <row r="35" customFormat="false" ht="15" hidden="false" customHeight="false" outlineLevel="0" collapsed="false">
      <c r="A35" s="41" t="s">
        <v>480</v>
      </c>
      <c r="B35" s="41" t="s">
        <v>443</v>
      </c>
      <c r="C35" s="41" t="s">
        <v>178</v>
      </c>
      <c r="D35" s="42" t="str">
        <f aca="false">INDEX('Page và Ngách'!$B$5:$B$10,MATCH(C35,'Page và Ngách'!$A$5:$A$10,0))</f>
        <v>Revenge / Betrayal ("you'll regret it")</v>
      </c>
      <c r="E35" s="41" t="n">
        <v>3</v>
      </c>
      <c r="F35" s="43" t="n">
        <f aca="false">'Cài đặt'!$B$37+E35-1</f>
        <v>46337</v>
      </c>
      <c r="G35" s="41" t="s">
        <v>444</v>
      </c>
      <c r="H35" s="44" t="str">
        <f aca="false">IF(G35="S1",'Cài đặt'!$B$7,'Cài đặt'!$B$8)</f>
        <v>12:00</v>
      </c>
      <c r="I35" s="41" t="s">
        <v>113</v>
      </c>
      <c r="J35" s="41" t="s">
        <v>132</v>
      </c>
      <c r="K35" s="41" t="s">
        <v>445</v>
      </c>
      <c r="L35" s="42" t="str">
        <f aca="false">C35&amp;"_"&amp;B35&amp;"_"&amp;IF(I35="Reel","R",IF(I35="Carousel","C","I"))&amp;"_"&amp;J35&amp;"_"&amp;IF(K35="AI tự động","AI","HU")&amp;"_"&amp;RIGHT(A35,3)</f>
        <v>P4_EXP1_C_A_AI_005</v>
      </c>
      <c r="M35" s="45"/>
      <c r="N35" s="45"/>
      <c r="O35" s="46"/>
      <c r="P35" s="46"/>
      <c r="Q35" s="46"/>
      <c r="R35" s="47"/>
      <c r="S35" s="45"/>
      <c r="T35" s="45"/>
      <c r="U35" s="48" t="str">
        <f aca="false">IF(O35&gt;0,P35/O35,"")</f>
        <v/>
      </c>
      <c r="V35" s="49" t="str">
        <f aca="false">IF(P35&gt;0,Q35/P35,"")</f>
        <v/>
      </c>
      <c r="W35" s="50" t="n">
        <f aca="false">IF(R35&lt;&gt;"",R35,Q35*'Cài đặt'!$B$12)</f>
        <v>0</v>
      </c>
      <c r="X35" s="50" t="str">
        <f aca="false">IF(O35&gt;0,W35/O35*1000,"")</f>
        <v/>
      </c>
      <c r="Y35" s="51" t="n">
        <f aca="false">IF(T35&lt;&gt;"",T35,INDEX('Cài đặt'!$B$20:$C$22,MATCH(I35,'Cài đặt'!$A$20:$A$22,0),IF(K35="AI tự động",1,2)))</f>
        <v>4</v>
      </c>
    </row>
    <row r="36" customFormat="false" ht="15" hidden="false" customHeight="false" outlineLevel="0" collapsed="false">
      <c r="A36" s="41" t="s">
        <v>481</v>
      </c>
      <c r="B36" s="41" t="s">
        <v>443</v>
      </c>
      <c r="C36" s="41" t="s">
        <v>178</v>
      </c>
      <c r="D36" s="42" t="str">
        <f aca="false">INDEX('Page và Ngách'!$B$5:$B$10,MATCH(C36,'Page và Ngách'!$A$5:$A$10,0))</f>
        <v>Revenge / Betrayal ("you'll regret it")</v>
      </c>
      <c r="E36" s="41" t="n">
        <v>3</v>
      </c>
      <c r="F36" s="43" t="n">
        <f aca="false">'Cài đặt'!$B$37+E36-1</f>
        <v>46337</v>
      </c>
      <c r="G36" s="41" t="s">
        <v>451</v>
      </c>
      <c r="H36" s="44" t="str">
        <f aca="false">IF(G36="S1",'Cài đặt'!$B$7,'Cài đặt'!$B$8)</f>
        <v>20:00</v>
      </c>
      <c r="I36" s="41" t="s">
        <v>115</v>
      </c>
      <c r="J36" s="41" t="s">
        <v>132</v>
      </c>
      <c r="K36" s="41" t="s">
        <v>445</v>
      </c>
      <c r="L36" s="42" t="str">
        <f aca="false">C36&amp;"_"&amp;B36&amp;"_"&amp;IF(I36="Reel","R",IF(I36="Carousel","C","I"))&amp;"_"&amp;J36&amp;"_"&amp;IF(K36="AI tự động","AI","HU")&amp;"_"&amp;RIGHT(A36,3)</f>
        <v>P4_EXP1_R_A_AI_006</v>
      </c>
      <c r="M36" s="45"/>
      <c r="N36" s="45"/>
      <c r="O36" s="46"/>
      <c r="P36" s="46"/>
      <c r="Q36" s="46"/>
      <c r="R36" s="47"/>
      <c r="S36" s="45"/>
      <c r="T36" s="45"/>
      <c r="U36" s="48" t="str">
        <f aca="false">IF(O36&gt;0,P36/O36,"")</f>
        <v/>
      </c>
      <c r="V36" s="49" t="str">
        <f aca="false">IF(P36&gt;0,Q36/P36,"")</f>
        <v/>
      </c>
      <c r="W36" s="50" t="n">
        <f aca="false">IF(R36&lt;&gt;"",R36,Q36*'Cài đặt'!$B$12)</f>
        <v>0</v>
      </c>
      <c r="X36" s="50" t="str">
        <f aca="false">IF(O36&gt;0,W36/O36*1000,"")</f>
        <v/>
      </c>
      <c r="Y36" s="51" t="n">
        <f aca="false">IF(T36&lt;&gt;"",T36,INDEX('Cài đặt'!$B$20:$C$22,MATCH(I36,'Cài đặt'!$A$20:$A$22,0),IF(K36="AI tự động",1,2)))</f>
        <v>8</v>
      </c>
    </row>
    <row r="37" customFormat="false" ht="15" hidden="false" customHeight="false" outlineLevel="0" collapsed="false">
      <c r="A37" s="41" t="s">
        <v>482</v>
      </c>
      <c r="B37" s="41" t="s">
        <v>443</v>
      </c>
      <c r="C37" s="41" t="s">
        <v>185</v>
      </c>
      <c r="D37" s="42" t="str">
        <f aca="false">INDEX('Page và Ngách'!$B$5:$B$10,MATCH(C37,'Page và Ngách'!$A$5:$A$10,0))</f>
        <v>Mafia / Dark romance (teaser PG-13)</v>
      </c>
      <c r="E37" s="41" t="n">
        <v>3</v>
      </c>
      <c r="F37" s="43" t="n">
        <f aca="false">'Cài đặt'!$B$37+E37-1</f>
        <v>46337</v>
      </c>
      <c r="G37" s="41" t="s">
        <v>444</v>
      </c>
      <c r="H37" s="44" t="str">
        <f aca="false">IF(G37="S1",'Cài đặt'!$B$7,'Cài đặt'!$B$8)</f>
        <v>12:00</v>
      </c>
      <c r="I37" s="41" t="s">
        <v>115</v>
      </c>
      <c r="J37" s="41" t="s">
        <v>132</v>
      </c>
      <c r="K37" s="41" t="s">
        <v>445</v>
      </c>
      <c r="L37" s="42" t="str">
        <f aca="false">C37&amp;"_"&amp;B37&amp;"_"&amp;IF(I37="Reel","R",IF(I37="Carousel","C","I"))&amp;"_"&amp;J37&amp;"_"&amp;IF(K37="AI tự động","AI","HU")&amp;"_"&amp;RIGHT(A37,3)</f>
        <v>P5_EXP1_R_A_AI_005</v>
      </c>
      <c r="M37" s="45"/>
      <c r="N37" s="45"/>
      <c r="O37" s="46"/>
      <c r="P37" s="46"/>
      <c r="Q37" s="46"/>
      <c r="R37" s="47"/>
      <c r="S37" s="45"/>
      <c r="T37" s="45"/>
      <c r="U37" s="48" t="str">
        <f aca="false">IF(O37&gt;0,P37/O37,"")</f>
        <v/>
      </c>
      <c r="V37" s="49" t="str">
        <f aca="false">IF(P37&gt;0,Q37/P37,"")</f>
        <v/>
      </c>
      <c r="W37" s="50" t="n">
        <f aca="false">IF(R37&lt;&gt;"",R37,Q37*'Cài đặt'!$B$12)</f>
        <v>0</v>
      </c>
      <c r="X37" s="50" t="str">
        <f aca="false">IF(O37&gt;0,W37/O37*1000,"")</f>
        <v/>
      </c>
      <c r="Y37" s="51" t="n">
        <f aca="false">IF(T37&lt;&gt;"",T37,INDEX('Cài đặt'!$B$20:$C$22,MATCH(I37,'Cài đặt'!$A$20:$A$22,0),IF(K37="AI tự động",1,2)))</f>
        <v>8</v>
      </c>
    </row>
    <row r="38" customFormat="false" ht="15" hidden="false" customHeight="false" outlineLevel="0" collapsed="false">
      <c r="A38" s="41" t="s">
        <v>483</v>
      </c>
      <c r="B38" s="41" t="s">
        <v>443</v>
      </c>
      <c r="C38" s="41" t="s">
        <v>185</v>
      </c>
      <c r="D38" s="42" t="str">
        <f aca="false">INDEX('Page và Ngách'!$B$5:$B$10,MATCH(C38,'Page và Ngách'!$A$5:$A$10,0))</f>
        <v>Mafia / Dark romance (teaser PG-13)</v>
      </c>
      <c r="E38" s="41" t="n">
        <v>3</v>
      </c>
      <c r="F38" s="43" t="n">
        <f aca="false">'Cài đặt'!$B$37+E38-1</f>
        <v>46337</v>
      </c>
      <c r="G38" s="41" t="s">
        <v>451</v>
      </c>
      <c r="H38" s="44" t="str">
        <f aca="false">IF(G38="S1",'Cài đặt'!$B$7,'Cài đặt'!$B$8)</f>
        <v>20:00</v>
      </c>
      <c r="I38" s="41" t="s">
        <v>111</v>
      </c>
      <c r="J38" s="41" t="s">
        <v>132</v>
      </c>
      <c r="K38" s="41" t="s">
        <v>445</v>
      </c>
      <c r="L38" s="42" t="str">
        <f aca="false">C38&amp;"_"&amp;B38&amp;"_"&amp;IF(I38="Reel","R",IF(I38="Carousel","C","I"))&amp;"_"&amp;J38&amp;"_"&amp;IF(K38="AI tự động","AI","HU")&amp;"_"&amp;RIGHT(A38,3)</f>
        <v>P5_EXP1_I_A_AI_006</v>
      </c>
      <c r="M38" s="45"/>
      <c r="N38" s="45"/>
      <c r="O38" s="46"/>
      <c r="P38" s="46"/>
      <c r="Q38" s="46"/>
      <c r="R38" s="47"/>
      <c r="S38" s="45"/>
      <c r="T38" s="45"/>
      <c r="U38" s="48" t="str">
        <f aca="false">IF(O38&gt;0,P38/O38,"")</f>
        <v/>
      </c>
      <c r="V38" s="49" t="str">
        <f aca="false">IF(P38&gt;0,Q38/P38,"")</f>
        <v/>
      </c>
      <c r="W38" s="50" t="n">
        <f aca="false">IF(R38&lt;&gt;"",R38,Q38*'Cài đặt'!$B$12)</f>
        <v>0</v>
      </c>
      <c r="X38" s="50" t="str">
        <f aca="false">IF(O38&gt;0,W38/O38*1000,"")</f>
        <v/>
      </c>
      <c r="Y38" s="51" t="n">
        <f aca="false">IF(T38&lt;&gt;"",T38,INDEX('Cài đặt'!$B$20:$C$22,MATCH(I38,'Cài đặt'!$A$20:$A$22,0),IF(K38="AI tự động",1,2)))</f>
        <v>2</v>
      </c>
    </row>
    <row r="39" customFormat="false" ht="15" hidden="false" customHeight="false" outlineLevel="0" collapsed="false">
      <c r="A39" s="41" t="s">
        <v>484</v>
      </c>
      <c r="B39" s="41" t="s">
        <v>443</v>
      </c>
      <c r="C39" s="41" t="s">
        <v>193</v>
      </c>
      <c r="D39" s="42" t="str">
        <f aca="false">INDEX('Page và Ngách'!$B$5:$B$10,MATCH(C39,'Page và Ngách'!$A$5:$A$10,0))</f>
        <v>Second chance / Secret baby</v>
      </c>
      <c r="E39" s="41" t="n">
        <v>3</v>
      </c>
      <c r="F39" s="43" t="n">
        <f aca="false">'Cài đặt'!$B$37+E39-1</f>
        <v>46337</v>
      </c>
      <c r="G39" s="41" t="s">
        <v>444</v>
      </c>
      <c r="H39" s="44" t="str">
        <f aca="false">IF(G39="S1",'Cài đặt'!$B$7,'Cài đặt'!$B$8)</f>
        <v>12:00</v>
      </c>
      <c r="I39" s="41" t="s">
        <v>111</v>
      </c>
      <c r="J39" s="41" t="s">
        <v>132</v>
      </c>
      <c r="K39" s="41" t="s">
        <v>445</v>
      </c>
      <c r="L39" s="42" t="str">
        <f aca="false">C39&amp;"_"&amp;B39&amp;"_"&amp;IF(I39="Reel","R",IF(I39="Carousel","C","I"))&amp;"_"&amp;J39&amp;"_"&amp;IF(K39="AI tự động","AI","HU")&amp;"_"&amp;RIGHT(A39,3)</f>
        <v>P6_EXP1_I_A_AI_005</v>
      </c>
      <c r="M39" s="45"/>
      <c r="N39" s="45"/>
      <c r="O39" s="46"/>
      <c r="P39" s="46"/>
      <c r="Q39" s="46"/>
      <c r="R39" s="47"/>
      <c r="S39" s="45"/>
      <c r="T39" s="45"/>
      <c r="U39" s="48" t="str">
        <f aca="false">IF(O39&gt;0,P39/O39,"")</f>
        <v/>
      </c>
      <c r="V39" s="49" t="str">
        <f aca="false">IF(P39&gt;0,Q39/P39,"")</f>
        <v/>
      </c>
      <c r="W39" s="50" t="n">
        <f aca="false">IF(R39&lt;&gt;"",R39,Q39*'Cài đặt'!$B$12)</f>
        <v>0</v>
      </c>
      <c r="X39" s="50" t="str">
        <f aca="false">IF(O39&gt;0,W39/O39*1000,"")</f>
        <v/>
      </c>
      <c r="Y39" s="51" t="n">
        <f aca="false">IF(T39&lt;&gt;"",T39,INDEX('Cài đặt'!$B$20:$C$22,MATCH(I39,'Cài đặt'!$A$20:$A$22,0),IF(K39="AI tự động",1,2)))</f>
        <v>2</v>
      </c>
    </row>
    <row r="40" customFormat="false" ht="15" hidden="false" customHeight="false" outlineLevel="0" collapsed="false">
      <c r="A40" s="41" t="s">
        <v>485</v>
      </c>
      <c r="B40" s="41" t="s">
        <v>443</v>
      </c>
      <c r="C40" s="41" t="s">
        <v>193</v>
      </c>
      <c r="D40" s="42" t="str">
        <f aca="false">INDEX('Page và Ngách'!$B$5:$B$10,MATCH(C40,'Page và Ngách'!$A$5:$A$10,0))</f>
        <v>Second chance / Secret baby</v>
      </c>
      <c r="E40" s="41" t="n">
        <v>3</v>
      </c>
      <c r="F40" s="43" t="n">
        <f aca="false">'Cài đặt'!$B$37+E40-1</f>
        <v>46337</v>
      </c>
      <c r="G40" s="41" t="s">
        <v>451</v>
      </c>
      <c r="H40" s="44" t="str">
        <f aca="false">IF(G40="S1",'Cài đặt'!$B$7,'Cài đặt'!$B$8)</f>
        <v>20:00</v>
      </c>
      <c r="I40" s="41" t="s">
        <v>113</v>
      </c>
      <c r="J40" s="41" t="s">
        <v>132</v>
      </c>
      <c r="K40" s="41" t="s">
        <v>445</v>
      </c>
      <c r="L40" s="42" t="str">
        <f aca="false">C40&amp;"_"&amp;B40&amp;"_"&amp;IF(I40="Reel","R",IF(I40="Carousel","C","I"))&amp;"_"&amp;J40&amp;"_"&amp;IF(K40="AI tự động","AI","HU")&amp;"_"&amp;RIGHT(A40,3)</f>
        <v>P6_EXP1_C_A_AI_006</v>
      </c>
      <c r="M40" s="45"/>
      <c r="N40" s="45"/>
      <c r="O40" s="46"/>
      <c r="P40" s="46"/>
      <c r="Q40" s="46"/>
      <c r="R40" s="47"/>
      <c r="S40" s="45"/>
      <c r="T40" s="45"/>
      <c r="U40" s="48" t="str">
        <f aca="false">IF(O40&gt;0,P40/O40,"")</f>
        <v/>
      </c>
      <c r="V40" s="49" t="str">
        <f aca="false">IF(P40&gt;0,Q40/P40,"")</f>
        <v/>
      </c>
      <c r="W40" s="50" t="n">
        <f aca="false">IF(R40&lt;&gt;"",R40,Q40*'Cài đặt'!$B$12)</f>
        <v>0</v>
      </c>
      <c r="X40" s="50" t="str">
        <f aca="false">IF(O40&gt;0,W40/O40*1000,"")</f>
        <v/>
      </c>
      <c r="Y40" s="51" t="n">
        <f aca="false">IF(T40&lt;&gt;"",T40,INDEX('Cài đặt'!$B$20:$C$22,MATCH(I40,'Cài đặt'!$A$20:$A$22,0),IF(K40="AI tự động",1,2)))</f>
        <v>4</v>
      </c>
    </row>
    <row r="41" customFormat="false" ht="15" hidden="false" customHeight="false" outlineLevel="0" collapsed="false">
      <c r="A41" s="41" t="s">
        <v>486</v>
      </c>
      <c r="B41" s="41" t="s">
        <v>443</v>
      </c>
      <c r="C41" s="41" t="s">
        <v>154</v>
      </c>
      <c r="D41" s="42" t="str">
        <f aca="false">INDEX('Page và Ngách'!$B$5:$B$10,MATCH(C41,'Page và Ngách'!$A$5:$A$10,0))</f>
        <v>Werewolf / Rejected mate</v>
      </c>
      <c r="E41" s="41" t="n">
        <v>4</v>
      </c>
      <c r="F41" s="43" t="n">
        <f aca="false">'Cài đặt'!$B$37+E41-1</f>
        <v>46338</v>
      </c>
      <c r="G41" s="41" t="s">
        <v>444</v>
      </c>
      <c r="H41" s="44" t="str">
        <f aca="false">IF(G41="S1",'Cài đặt'!$B$7,'Cài đặt'!$B$8)</f>
        <v>12:00</v>
      </c>
      <c r="I41" s="41" t="s">
        <v>111</v>
      </c>
      <c r="J41" s="41" t="s">
        <v>132</v>
      </c>
      <c r="K41" s="41" t="s">
        <v>445</v>
      </c>
      <c r="L41" s="42" t="str">
        <f aca="false">C41&amp;"_"&amp;B41&amp;"_"&amp;IF(I41="Reel","R",IF(I41="Carousel","C","I"))&amp;"_"&amp;J41&amp;"_"&amp;IF(K41="AI tự động","AI","HU")&amp;"_"&amp;RIGHT(A41,3)</f>
        <v>P1_EXP1_I_A_AI_007</v>
      </c>
      <c r="M41" s="45"/>
      <c r="N41" s="45"/>
      <c r="O41" s="46"/>
      <c r="P41" s="46"/>
      <c r="Q41" s="46"/>
      <c r="R41" s="47"/>
      <c r="S41" s="45"/>
      <c r="T41" s="45"/>
      <c r="U41" s="48" t="str">
        <f aca="false">IF(O41&gt;0,P41/O41,"")</f>
        <v/>
      </c>
      <c r="V41" s="49" t="str">
        <f aca="false">IF(P41&gt;0,Q41/P41,"")</f>
        <v/>
      </c>
      <c r="W41" s="50" t="n">
        <f aca="false">IF(R41&lt;&gt;"",R41,Q41*'Cài đặt'!$B$12)</f>
        <v>0</v>
      </c>
      <c r="X41" s="50" t="str">
        <f aca="false">IF(O41&gt;0,W41/O41*1000,"")</f>
        <v/>
      </c>
      <c r="Y41" s="51" t="n">
        <f aca="false">IF(T41&lt;&gt;"",T41,INDEX('Cài đặt'!$B$20:$C$22,MATCH(I41,'Cài đặt'!$A$20:$A$22,0),IF(K41="AI tự động",1,2)))</f>
        <v>2</v>
      </c>
    </row>
    <row r="42" customFormat="false" ht="15" hidden="false" customHeight="false" outlineLevel="0" collapsed="false">
      <c r="A42" s="41" t="s">
        <v>487</v>
      </c>
      <c r="B42" s="41" t="s">
        <v>443</v>
      </c>
      <c r="C42" s="41" t="s">
        <v>154</v>
      </c>
      <c r="D42" s="42" t="str">
        <f aca="false">INDEX('Page và Ngách'!$B$5:$B$10,MATCH(C42,'Page và Ngách'!$A$5:$A$10,0))</f>
        <v>Werewolf / Rejected mate</v>
      </c>
      <c r="E42" s="41" t="n">
        <v>4</v>
      </c>
      <c r="F42" s="43" t="n">
        <f aca="false">'Cài đặt'!$B$37+E42-1</f>
        <v>46338</v>
      </c>
      <c r="G42" s="41" t="s">
        <v>451</v>
      </c>
      <c r="H42" s="44" t="str">
        <f aca="false">IF(G42="S1",'Cài đặt'!$B$7,'Cài đặt'!$B$8)</f>
        <v>20:00</v>
      </c>
      <c r="I42" s="41" t="s">
        <v>113</v>
      </c>
      <c r="J42" s="41" t="s">
        <v>132</v>
      </c>
      <c r="K42" s="41" t="s">
        <v>445</v>
      </c>
      <c r="L42" s="42" t="str">
        <f aca="false">C42&amp;"_"&amp;B42&amp;"_"&amp;IF(I42="Reel","R",IF(I42="Carousel","C","I"))&amp;"_"&amp;J42&amp;"_"&amp;IF(K42="AI tự động","AI","HU")&amp;"_"&amp;RIGHT(A42,3)</f>
        <v>P1_EXP1_C_A_AI_008</v>
      </c>
      <c r="M42" s="45"/>
      <c r="N42" s="45"/>
      <c r="O42" s="46"/>
      <c r="P42" s="46"/>
      <c r="Q42" s="46"/>
      <c r="R42" s="47"/>
      <c r="S42" s="45"/>
      <c r="T42" s="45"/>
      <c r="U42" s="48" t="str">
        <f aca="false">IF(O42&gt;0,P42/O42,"")</f>
        <v/>
      </c>
      <c r="V42" s="49" t="str">
        <f aca="false">IF(P42&gt;0,Q42/P42,"")</f>
        <v/>
      </c>
      <c r="W42" s="50" t="n">
        <f aca="false">IF(R42&lt;&gt;"",R42,Q42*'Cài đặt'!$B$12)</f>
        <v>0</v>
      </c>
      <c r="X42" s="50" t="str">
        <f aca="false">IF(O42&gt;0,W42/O42*1000,"")</f>
        <v/>
      </c>
      <c r="Y42" s="51" t="n">
        <f aca="false">IF(T42&lt;&gt;"",T42,INDEX('Cài đặt'!$B$20:$C$22,MATCH(I42,'Cài đặt'!$A$20:$A$22,0),IF(K42="AI tự động",1,2)))</f>
        <v>4</v>
      </c>
    </row>
    <row r="43" customFormat="false" ht="15" hidden="false" customHeight="false" outlineLevel="0" collapsed="false">
      <c r="A43" s="41" t="s">
        <v>488</v>
      </c>
      <c r="B43" s="41" t="s">
        <v>443</v>
      </c>
      <c r="C43" s="41" t="s">
        <v>163</v>
      </c>
      <c r="D43" s="42" t="str">
        <f aca="false">INDEX('Page và Ngách'!$B$5:$B$10,MATCH(C43,'Page và Ngách'!$A$5:$A$10,0))</f>
        <v>Secret billionaire / CEO</v>
      </c>
      <c r="E43" s="41" t="n">
        <v>4</v>
      </c>
      <c r="F43" s="43" t="n">
        <f aca="false">'Cài đặt'!$B$37+E43-1</f>
        <v>46338</v>
      </c>
      <c r="G43" s="41" t="s">
        <v>444</v>
      </c>
      <c r="H43" s="44" t="str">
        <f aca="false">IF(G43="S1",'Cài đặt'!$B$7,'Cài đặt'!$B$8)</f>
        <v>12:00</v>
      </c>
      <c r="I43" s="41" t="s">
        <v>113</v>
      </c>
      <c r="J43" s="41" t="s">
        <v>132</v>
      </c>
      <c r="K43" s="41" t="s">
        <v>445</v>
      </c>
      <c r="L43" s="42" t="str">
        <f aca="false">C43&amp;"_"&amp;B43&amp;"_"&amp;IF(I43="Reel","R",IF(I43="Carousel","C","I"))&amp;"_"&amp;J43&amp;"_"&amp;IF(K43="AI tự động","AI","HU")&amp;"_"&amp;RIGHT(A43,3)</f>
        <v>P2_EXP1_C_A_AI_007</v>
      </c>
      <c r="M43" s="45"/>
      <c r="N43" s="45"/>
      <c r="O43" s="46"/>
      <c r="P43" s="46"/>
      <c r="Q43" s="46"/>
      <c r="R43" s="47"/>
      <c r="S43" s="45"/>
      <c r="T43" s="45"/>
      <c r="U43" s="48" t="str">
        <f aca="false">IF(O43&gt;0,P43/O43,"")</f>
        <v/>
      </c>
      <c r="V43" s="49" t="str">
        <f aca="false">IF(P43&gt;0,Q43/P43,"")</f>
        <v/>
      </c>
      <c r="W43" s="50" t="n">
        <f aca="false">IF(R43&lt;&gt;"",R43,Q43*'Cài đặt'!$B$12)</f>
        <v>0</v>
      </c>
      <c r="X43" s="50" t="str">
        <f aca="false">IF(O43&gt;0,W43/O43*1000,"")</f>
        <v/>
      </c>
      <c r="Y43" s="51" t="n">
        <f aca="false">IF(T43&lt;&gt;"",T43,INDEX('Cài đặt'!$B$20:$C$22,MATCH(I43,'Cài đặt'!$A$20:$A$22,0),IF(K43="AI tự động",1,2)))</f>
        <v>4</v>
      </c>
    </row>
    <row r="44" customFormat="false" ht="15" hidden="false" customHeight="false" outlineLevel="0" collapsed="false">
      <c r="A44" s="41" t="s">
        <v>489</v>
      </c>
      <c r="B44" s="41" t="s">
        <v>443</v>
      </c>
      <c r="C44" s="41" t="s">
        <v>163</v>
      </c>
      <c r="D44" s="42" t="str">
        <f aca="false">INDEX('Page và Ngách'!$B$5:$B$10,MATCH(C44,'Page và Ngách'!$A$5:$A$10,0))</f>
        <v>Secret billionaire / CEO</v>
      </c>
      <c r="E44" s="41" t="n">
        <v>4</v>
      </c>
      <c r="F44" s="43" t="n">
        <f aca="false">'Cài đặt'!$B$37+E44-1</f>
        <v>46338</v>
      </c>
      <c r="G44" s="41" t="s">
        <v>451</v>
      </c>
      <c r="H44" s="44" t="str">
        <f aca="false">IF(G44="S1",'Cài đặt'!$B$7,'Cài đặt'!$B$8)</f>
        <v>20:00</v>
      </c>
      <c r="I44" s="41" t="s">
        <v>115</v>
      </c>
      <c r="J44" s="41" t="s">
        <v>132</v>
      </c>
      <c r="K44" s="41" t="s">
        <v>445</v>
      </c>
      <c r="L44" s="42" t="str">
        <f aca="false">C44&amp;"_"&amp;B44&amp;"_"&amp;IF(I44="Reel","R",IF(I44="Carousel","C","I"))&amp;"_"&amp;J44&amp;"_"&amp;IF(K44="AI tự động","AI","HU")&amp;"_"&amp;RIGHT(A44,3)</f>
        <v>P2_EXP1_R_A_AI_008</v>
      </c>
      <c r="M44" s="45"/>
      <c r="N44" s="45"/>
      <c r="O44" s="46"/>
      <c r="P44" s="46"/>
      <c r="Q44" s="46"/>
      <c r="R44" s="47"/>
      <c r="S44" s="45"/>
      <c r="T44" s="45"/>
      <c r="U44" s="48" t="str">
        <f aca="false">IF(O44&gt;0,P44/O44,"")</f>
        <v/>
      </c>
      <c r="V44" s="49" t="str">
        <f aca="false">IF(P44&gt;0,Q44/P44,"")</f>
        <v/>
      </c>
      <c r="W44" s="50" t="n">
        <f aca="false">IF(R44&lt;&gt;"",R44,Q44*'Cài đặt'!$B$12)</f>
        <v>0</v>
      </c>
      <c r="X44" s="50" t="str">
        <f aca="false">IF(O44&gt;0,W44/O44*1000,"")</f>
        <v/>
      </c>
      <c r="Y44" s="51" t="n">
        <f aca="false">IF(T44&lt;&gt;"",T44,INDEX('Cài đặt'!$B$20:$C$22,MATCH(I44,'Cài đặt'!$A$20:$A$22,0),IF(K44="AI tự động",1,2)))</f>
        <v>8</v>
      </c>
    </row>
    <row r="45" customFormat="false" ht="15" hidden="false" customHeight="false" outlineLevel="0" collapsed="false">
      <c r="A45" s="41" t="s">
        <v>490</v>
      </c>
      <c r="B45" s="41" t="s">
        <v>443</v>
      </c>
      <c r="C45" s="41" t="s">
        <v>171</v>
      </c>
      <c r="D45" s="42" t="str">
        <f aca="false">INDEX('Page và Ngách'!$B$5:$B$10,MATCH(C45,'Page và Ngách'!$A$5:$A$10,0))</f>
        <v>Contract marriage / Fake relationship</v>
      </c>
      <c r="E45" s="41" t="n">
        <v>4</v>
      </c>
      <c r="F45" s="43" t="n">
        <f aca="false">'Cài đặt'!$B$37+E45-1</f>
        <v>46338</v>
      </c>
      <c r="G45" s="41" t="s">
        <v>444</v>
      </c>
      <c r="H45" s="44" t="str">
        <f aca="false">IF(G45="S1",'Cài đặt'!$B$7,'Cài đặt'!$B$8)</f>
        <v>12:00</v>
      </c>
      <c r="I45" s="41" t="s">
        <v>115</v>
      </c>
      <c r="J45" s="41" t="s">
        <v>132</v>
      </c>
      <c r="K45" s="41" t="s">
        <v>445</v>
      </c>
      <c r="L45" s="42" t="str">
        <f aca="false">C45&amp;"_"&amp;B45&amp;"_"&amp;IF(I45="Reel","R",IF(I45="Carousel","C","I"))&amp;"_"&amp;J45&amp;"_"&amp;IF(K45="AI tự động","AI","HU")&amp;"_"&amp;RIGHT(A45,3)</f>
        <v>P3_EXP1_R_A_AI_007</v>
      </c>
      <c r="M45" s="45"/>
      <c r="N45" s="45"/>
      <c r="O45" s="46"/>
      <c r="P45" s="46"/>
      <c r="Q45" s="46"/>
      <c r="R45" s="47"/>
      <c r="S45" s="45"/>
      <c r="T45" s="45"/>
      <c r="U45" s="48" t="str">
        <f aca="false">IF(O45&gt;0,P45/O45,"")</f>
        <v/>
      </c>
      <c r="V45" s="49" t="str">
        <f aca="false">IF(P45&gt;0,Q45/P45,"")</f>
        <v/>
      </c>
      <c r="W45" s="50" t="n">
        <f aca="false">IF(R45&lt;&gt;"",R45,Q45*'Cài đặt'!$B$12)</f>
        <v>0</v>
      </c>
      <c r="X45" s="50" t="str">
        <f aca="false">IF(O45&gt;0,W45/O45*1000,"")</f>
        <v/>
      </c>
      <c r="Y45" s="51" t="n">
        <f aca="false">IF(T45&lt;&gt;"",T45,INDEX('Cài đặt'!$B$20:$C$22,MATCH(I45,'Cài đặt'!$A$20:$A$22,0),IF(K45="AI tự động",1,2)))</f>
        <v>8</v>
      </c>
    </row>
    <row r="46" customFormat="false" ht="15" hidden="false" customHeight="false" outlineLevel="0" collapsed="false">
      <c r="A46" s="41" t="s">
        <v>491</v>
      </c>
      <c r="B46" s="41" t="s">
        <v>443</v>
      </c>
      <c r="C46" s="41" t="s">
        <v>171</v>
      </c>
      <c r="D46" s="42" t="str">
        <f aca="false">INDEX('Page và Ngách'!$B$5:$B$10,MATCH(C46,'Page và Ngách'!$A$5:$A$10,0))</f>
        <v>Contract marriage / Fake relationship</v>
      </c>
      <c r="E46" s="41" t="n">
        <v>4</v>
      </c>
      <c r="F46" s="43" t="n">
        <f aca="false">'Cài đặt'!$B$37+E46-1</f>
        <v>46338</v>
      </c>
      <c r="G46" s="41" t="s">
        <v>451</v>
      </c>
      <c r="H46" s="44" t="str">
        <f aca="false">IF(G46="S1",'Cài đặt'!$B$7,'Cài đặt'!$B$8)</f>
        <v>20:00</v>
      </c>
      <c r="I46" s="41" t="s">
        <v>111</v>
      </c>
      <c r="J46" s="41" t="s">
        <v>132</v>
      </c>
      <c r="K46" s="41" t="s">
        <v>445</v>
      </c>
      <c r="L46" s="42" t="str">
        <f aca="false">C46&amp;"_"&amp;B46&amp;"_"&amp;IF(I46="Reel","R",IF(I46="Carousel","C","I"))&amp;"_"&amp;J46&amp;"_"&amp;IF(K46="AI tự động","AI","HU")&amp;"_"&amp;RIGHT(A46,3)</f>
        <v>P3_EXP1_I_A_AI_008</v>
      </c>
      <c r="M46" s="45"/>
      <c r="N46" s="45"/>
      <c r="O46" s="46"/>
      <c r="P46" s="46"/>
      <c r="Q46" s="46"/>
      <c r="R46" s="47"/>
      <c r="S46" s="45"/>
      <c r="T46" s="45"/>
      <c r="U46" s="48" t="str">
        <f aca="false">IF(O46&gt;0,P46/O46,"")</f>
        <v/>
      </c>
      <c r="V46" s="49" t="str">
        <f aca="false">IF(P46&gt;0,Q46/P46,"")</f>
        <v/>
      </c>
      <c r="W46" s="50" t="n">
        <f aca="false">IF(R46&lt;&gt;"",R46,Q46*'Cài đặt'!$B$12)</f>
        <v>0</v>
      </c>
      <c r="X46" s="50" t="str">
        <f aca="false">IF(O46&gt;0,W46/O46*1000,"")</f>
        <v/>
      </c>
      <c r="Y46" s="51" t="n">
        <f aca="false">IF(T46&lt;&gt;"",T46,INDEX('Cài đặt'!$B$20:$C$22,MATCH(I46,'Cài đặt'!$A$20:$A$22,0),IF(K46="AI tự động",1,2)))</f>
        <v>2</v>
      </c>
    </row>
    <row r="47" customFormat="false" ht="15" hidden="false" customHeight="false" outlineLevel="0" collapsed="false">
      <c r="A47" s="41" t="s">
        <v>492</v>
      </c>
      <c r="B47" s="41" t="s">
        <v>443</v>
      </c>
      <c r="C47" s="41" t="s">
        <v>178</v>
      </c>
      <c r="D47" s="42" t="str">
        <f aca="false">INDEX('Page và Ngách'!$B$5:$B$10,MATCH(C47,'Page và Ngách'!$A$5:$A$10,0))</f>
        <v>Revenge / Betrayal ("you'll regret it")</v>
      </c>
      <c r="E47" s="41" t="n">
        <v>4</v>
      </c>
      <c r="F47" s="43" t="n">
        <f aca="false">'Cài đặt'!$B$37+E47-1</f>
        <v>46338</v>
      </c>
      <c r="G47" s="41" t="s">
        <v>444</v>
      </c>
      <c r="H47" s="44" t="str">
        <f aca="false">IF(G47="S1",'Cài đặt'!$B$7,'Cài đặt'!$B$8)</f>
        <v>12:00</v>
      </c>
      <c r="I47" s="41" t="s">
        <v>111</v>
      </c>
      <c r="J47" s="41" t="s">
        <v>132</v>
      </c>
      <c r="K47" s="41" t="s">
        <v>445</v>
      </c>
      <c r="L47" s="42" t="str">
        <f aca="false">C47&amp;"_"&amp;B47&amp;"_"&amp;IF(I47="Reel","R",IF(I47="Carousel","C","I"))&amp;"_"&amp;J47&amp;"_"&amp;IF(K47="AI tự động","AI","HU")&amp;"_"&amp;RIGHT(A47,3)</f>
        <v>P4_EXP1_I_A_AI_007</v>
      </c>
      <c r="M47" s="45"/>
      <c r="N47" s="45"/>
      <c r="O47" s="46"/>
      <c r="P47" s="46"/>
      <c r="Q47" s="46"/>
      <c r="R47" s="47"/>
      <c r="S47" s="45"/>
      <c r="T47" s="45"/>
      <c r="U47" s="48" t="str">
        <f aca="false">IF(O47&gt;0,P47/O47,"")</f>
        <v/>
      </c>
      <c r="V47" s="49" t="str">
        <f aca="false">IF(P47&gt;0,Q47/P47,"")</f>
        <v/>
      </c>
      <c r="W47" s="50" t="n">
        <f aca="false">IF(R47&lt;&gt;"",R47,Q47*'Cài đặt'!$B$12)</f>
        <v>0</v>
      </c>
      <c r="X47" s="50" t="str">
        <f aca="false">IF(O47&gt;0,W47/O47*1000,"")</f>
        <v/>
      </c>
      <c r="Y47" s="51" t="n">
        <f aca="false">IF(T47&lt;&gt;"",T47,INDEX('Cài đặt'!$B$20:$C$22,MATCH(I47,'Cài đặt'!$A$20:$A$22,0),IF(K47="AI tự động",1,2)))</f>
        <v>2</v>
      </c>
    </row>
    <row r="48" customFormat="false" ht="15" hidden="false" customHeight="false" outlineLevel="0" collapsed="false">
      <c r="A48" s="41" t="s">
        <v>493</v>
      </c>
      <c r="B48" s="41" t="s">
        <v>443</v>
      </c>
      <c r="C48" s="41" t="s">
        <v>178</v>
      </c>
      <c r="D48" s="42" t="str">
        <f aca="false">INDEX('Page và Ngách'!$B$5:$B$10,MATCH(C48,'Page và Ngách'!$A$5:$A$10,0))</f>
        <v>Revenge / Betrayal ("you'll regret it")</v>
      </c>
      <c r="E48" s="41" t="n">
        <v>4</v>
      </c>
      <c r="F48" s="43" t="n">
        <f aca="false">'Cài đặt'!$B$37+E48-1</f>
        <v>46338</v>
      </c>
      <c r="G48" s="41" t="s">
        <v>451</v>
      </c>
      <c r="H48" s="44" t="str">
        <f aca="false">IF(G48="S1",'Cài đặt'!$B$7,'Cài đặt'!$B$8)</f>
        <v>20:00</v>
      </c>
      <c r="I48" s="41" t="s">
        <v>113</v>
      </c>
      <c r="J48" s="41" t="s">
        <v>132</v>
      </c>
      <c r="K48" s="41" t="s">
        <v>445</v>
      </c>
      <c r="L48" s="42" t="str">
        <f aca="false">C48&amp;"_"&amp;B48&amp;"_"&amp;IF(I48="Reel","R",IF(I48="Carousel","C","I"))&amp;"_"&amp;J48&amp;"_"&amp;IF(K48="AI tự động","AI","HU")&amp;"_"&amp;RIGHT(A48,3)</f>
        <v>P4_EXP1_C_A_AI_008</v>
      </c>
      <c r="M48" s="45"/>
      <c r="N48" s="45"/>
      <c r="O48" s="46"/>
      <c r="P48" s="46"/>
      <c r="Q48" s="46"/>
      <c r="R48" s="47"/>
      <c r="S48" s="45"/>
      <c r="T48" s="45"/>
      <c r="U48" s="48" t="str">
        <f aca="false">IF(O48&gt;0,P48/O48,"")</f>
        <v/>
      </c>
      <c r="V48" s="49" t="str">
        <f aca="false">IF(P48&gt;0,Q48/P48,"")</f>
        <v/>
      </c>
      <c r="W48" s="50" t="n">
        <f aca="false">IF(R48&lt;&gt;"",R48,Q48*'Cài đặt'!$B$12)</f>
        <v>0</v>
      </c>
      <c r="X48" s="50" t="str">
        <f aca="false">IF(O48&gt;0,W48/O48*1000,"")</f>
        <v/>
      </c>
      <c r="Y48" s="51" t="n">
        <f aca="false">IF(T48&lt;&gt;"",T48,INDEX('Cài đặt'!$B$20:$C$22,MATCH(I48,'Cài đặt'!$A$20:$A$22,0),IF(K48="AI tự động",1,2)))</f>
        <v>4</v>
      </c>
    </row>
    <row r="49" customFormat="false" ht="15" hidden="false" customHeight="false" outlineLevel="0" collapsed="false">
      <c r="A49" s="41" t="s">
        <v>494</v>
      </c>
      <c r="B49" s="41" t="s">
        <v>443</v>
      </c>
      <c r="C49" s="41" t="s">
        <v>185</v>
      </c>
      <c r="D49" s="42" t="str">
        <f aca="false">INDEX('Page và Ngách'!$B$5:$B$10,MATCH(C49,'Page và Ngách'!$A$5:$A$10,0))</f>
        <v>Mafia / Dark romance (teaser PG-13)</v>
      </c>
      <c r="E49" s="41" t="n">
        <v>4</v>
      </c>
      <c r="F49" s="43" t="n">
        <f aca="false">'Cài đặt'!$B$37+E49-1</f>
        <v>46338</v>
      </c>
      <c r="G49" s="41" t="s">
        <v>444</v>
      </c>
      <c r="H49" s="44" t="str">
        <f aca="false">IF(G49="S1",'Cài đặt'!$B$7,'Cài đặt'!$B$8)</f>
        <v>12:00</v>
      </c>
      <c r="I49" s="41" t="s">
        <v>113</v>
      </c>
      <c r="J49" s="41" t="s">
        <v>132</v>
      </c>
      <c r="K49" s="41" t="s">
        <v>445</v>
      </c>
      <c r="L49" s="42" t="str">
        <f aca="false">C49&amp;"_"&amp;B49&amp;"_"&amp;IF(I49="Reel","R",IF(I49="Carousel","C","I"))&amp;"_"&amp;J49&amp;"_"&amp;IF(K49="AI tự động","AI","HU")&amp;"_"&amp;RIGHT(A49,3)</f>
        <v>P5_EXP1_C_A_AI_007</v>
      </c>
      <c r="M49" s="45"/>
      <c r="N49" s="45"/>
      <c r="O49" s="46"/>
      <c r="P49" s="46"/>
      <c r="Q49" s="46"/>
      <c r="R49" s="47"/>
      <c r="S49" s="45"/>
      <c r="T49" s="45"/>
      <c r="U49" s="48" t="str">
        <f aca="false">IF(O49&gt;0,P49/O49,"")</f>
        <v/>
      </c>
      <c r="V49" s="49" t="str">
        <f aca="false">IF(P49&gt;0,Q49/P49,"")</f>
        <v/>
      </c>
      <c r="W49" s="50" t="n">
        <f aca="false">IF(R49&lt;&gt;"",R49,Q49*'Cài đặt'!$B$12)</f>
        <v>0</v>
      </c>
      <c r="X49" s="50" t="str">
        <f aca="false">IF(O49&gt;0,W49/O49*1000,"")</f>
        <v/>
      </c>
      <c r="Y49" s="51" t="n">
        <f aca="false">IF(T49&lt;&gt;"",T49,INDEX('Cài đặt'!$B$20:$C$22,MATCH(I49,'Cài đặt'!$A$20:$A$22,0),IF(K49="AI tự động",1,2)))</f>
        <v>4</v>
      </c>
    </row>
    <row r="50" customFormat="false" ht="15" hidden="false" customHeight="false" outlineLevel="0" collapsed="false">
      <c r="A50" s="41" t="s">
        <v>495</v>
      </c>
      <c r="B50" s="41" t="s">
        <v>443</v>
      </c>
      <c r="C50" s="41" t="s">
        <v>185</v>
      </c>
      <c r="D50" s="42" t="str">
        <f aca="false">INDEX('Page và Ngách'!$B$5:$B$10,MATCH(C50,'Page và Ngách'!$A$5:$A$10,0))</f>
        <v>Mafia / Dark romance (teaser PG-13)</v>
      </c>
      <c r="E50" s="41" t="n">
        <v>4</v>
      </c>
      <c r="F50" s="43" t="n">
        <f aca="false">'Cài đặt'!$B$37+E50-1</f>
        <v>46338</v>
      </c>
      <c r="G50" s="41" t="s">
        <v>451</v>
      </c>
      <c r="H50" s="44" t="str">
        <f aca="false">IF(G50="S1",'Cài đặt'!$B$7,'Cài đặt'!$B$8)</f>
        <v>20:00</v>
      </c>
      <c r="I50" s="41" t="s">
        <v>115</v>
      </c>
      <c r="J50" s="41" t="s">
        <v>132</v>
      </c>
      <c r="K50" s="41" t="s">
        <v>445</v>
      </c>
      <c r="L50" s="42" t="str">
        <f aca="false">C50&amp;"_"&amp;B50&amp;"_"&amp;IF(I50="Reel","R",IF(I50="Carousel","C","I"))&amp;"_"&amp;J50&amp;"_"&amp;IF(K50="AI tự động","AI","HU")&amp;"_"&amp;RIGHT(A50,3)</f>
        <v>P5_EXP1_R_A_AI_008</v>
      </c>
      <c r="M50" s="45"/>
      <c r="N50" s="45"/>
      <c r="O50" s="46"/>
      <c r="P50" s="46"/>
      <c r="Q50" s="46"/>
      <c r="R50" s="47"/>
      <c r="S50" s="45"/>
      <c r="T50" s="45"/>
      <c r="U50" s="48" t="str">
        <f aca="false">IF(O50&gt;0,P50/O50,"")</f>
        <v/>
      </c>
      <c r="V50" s="49" t="str">
        <f aca="false">IF(P50&gt;0,Q50/P50,"")</f>
        <v/>
      </c>
      <c r="W50" s="50" t="n">
        <f aca="false">IF(R50&lt;&gt;"",R50,Q50*'Cài đặt'!$B$12)</f>
        <v>0</v>
      </c>
      <c r="X50" s="50" t="str">
        <f aca="false">IF(O50&gt;0,W50/O50*1000,"")</f>
        <v/>
      </c>
      <c r="Y50" s="51" t="n">
        <f aca="false">IF(T50&lt;&gt;"",T50,INDEX('Cài đặt'!$B$20:$C$22,MATCH(I50,'Cài đặt'!$A$20:$A$22,0),IF(K50="AI tự động",1,2)))</f>
        <v>8</v>
      </c>
    </row>
    <row r="51" customFormat="false" ht="15" hidden="false" customHeight="false" outlineLevel="0" collapsed="false">
      <c r="A51" s="41" t="s">
        <v>496</v>
      </c>
      <c r="B51" s="41" t="s">
        <v>443</v>
      </c>
      <c r="C51" s="41" t="s">
        <v>193</v>
      </c>
      <c r="D51" s="42" t="str">
        <f aca="false">INDEX('Page và Ngách'!$B$5:$B$10,MATCH(C51,'Page và Ngách'!$A$5:$A$10,0))</f>
        <v>Second chance / Secret baby</v>
      </c>
      <c r="E51" s="41" t="n">
        <v>4</v>
      </c>
      <c r="F51" s="43" t="n">
        <f aca="false">'Cài đặt'!$B$37+E51-1</f>
        <v>46338</v>
      </c>
      <c r="G51" s="41" t="s">
        <v>444</v>
      </c>
      <c r="H51" s="44" t="str">
        <f aca="false">IF(G51="S1",'Cài đặt'!$B$7,'Cài đặt'!$B$8)</f>
        <v>12:00</v>
      </c>
      <c r="I51" s="41" t="s">
        <v>115</v>
      </c>
      <c r="J51" s="41" t="s">
        <v>132</v>
      </c>
      <c r="K51" s="41" t="s">
        <v>445</v>
      </c>
      <c r="L51" s="42" t="str">
        <f aca="false">C51&amp;"_"&amp;B51&amp;"_"&amp;IF(I51="Reel","R",IF(I51="Carousel","C","I"))&amp;"_"&amp;J51&amp;"_"&amp;IF(K51="AI tự động","AI","HU")&amp;"_"&amp;RIGHT(A51,3)</f>
        <v>P6_EXP1_R_A_AI_007</v>
      </c>
      <c r="M51" s="45"/>
      <c r="N51" s="45"/>
      <c r="O51" s="46"/>
      <c r="P51" s="46"/>
      <c r="Q51" s="46"/>
      <c r="R51" s="47"/>
      <c r="S51" s="45"/>
      <c r="T51" s="45"/>
      <c r="U51" s="48" t="str">
        <f aca="false">IF(O51&gt;0,P51/O51,"")</f>
        <v/>
      </c>
      <c r="V51" s="49" t="str">
        <f aca="false">IF(P51&gt;0,Q51/P51,"")</f>
        <v/>
      </c>
      <c r="W51" s="50" t="n">
        <f aca="false">IF(R51&lt;&gt;"",R51,Q51*'Cài đặt'!$B$12)</f>
        <v>0</v>
      </c>
      <c r="X51" s="50" t="str">
        <f aca="false">IF(O51&gt;0,W51/O51*1000,"")</f>
        <v/>
      </c>
      <c r="Y51" s="51" t="n">
        <f aca="false">IF(T51&lt;&gt;"",T51,INDEX('Cài đặt'!$B$20:$C$22,MATCH(I51,'Cài đặt'!$A$20:$A$22,0),IF(K51="AI tự động",1,2)))</f>
        <v>8</v>
      </c>
    </row>
    <row r="52" customFormat="false" ht="15" hidden="false" customHeight="false" outlineLevel="0" collapsed="false">
      <c r="A52" s="41" t="s">
        <v>497</v>
      </c>
      <c r="B52" s="41" t="s">
        <v>443</v>
      </c>
      <c r="C52" s="41" t="s">
        <v>193</v>
      </c>
      <c r="D52" s="42" t="str">
        <f aca="false">INDEX('Page và Ngách'!$B$5:$B$10,MATCH(C52,'Page và Ngách'!$A$5:$A$10,0))</f>
        <v>Second chance / Secret baby</v>
      </c>
      <c r="E52" s="41" t="n">
        <v>4</v>
      </c>
      <c r="F52" s="43" t="n">
        <f aca="false">'Cài đặt'!$B$37+E52-1</f>
        <v>46338</v>
      </c>
      <c r="G52" s="41" t="s">
        <v>451</v>
      </c>
      <c r="H52" s="44" t="str">
        <f aca="false">IF(G52="S1",'Cài đặt'!$B$7,'Cài đặt'!$B$8)</f>
        <v>20:00</v>
      </c>
      <c r="I52" s="41" t="s">
        <v>111</v>
      </c>
      <c r="J52" s="41" t="s">
        <v>132</v>
      </c>
      <c r="K52" s="41" t="s">
        <v>445</v>
      </c>
      <c r="L52" s="42" t="str">
        <f aca="false">C52&amp;"_"&amp;B52&amp;"_"&amp;IF(I52="Reel","R",IF(I52="Carousel","C","I"))&amp;"_"&amp;J52&amp;"_"&amp;IF(K52="AI tự động","AI","HU")&amp;"_"&amp;RIGHT(A52,3)</f>
        <v>P6_EXP1_I_A_AI_008</v>
      </c>
      <c r="M52" s="45"/>
      <c r="N52" s="45"/>
      <c r="O52" s="46"/>
      <c r="P52" s="46"/>
      <c r="Q52" s="46"/>
      <c r="R52" s="47"/>
      <c r="S52" s="45"/>
      <c r="T52" s="45"/>
      <c r="U52" s="48" t="str">
        <f aca="false">IF(O52&gt;0,P52/O52,"")</f>
        <v/>
      </c>
      <c r="V52" s="49" t="str">
        <f aca="false">IF(P52&gt;0,Q52/P52,"")</f>
        <v/>
      </c>
      <c r="W52" s="50" t="n">
        <f aca="false">IF(R52&lt;&gt;"",R52,Q52*'Cài đặt'!$B$12)</f>
        <v>0</v>
      </c>
      <c r="X52" s="50" t="str">
        <f aca="false">IF(O52&gt;0,W52/O52*1000,"")</f>
        <v/>
      </c>
      <c r="Y52" s="51" t="n">
        <f aca="false">IF(T52&lt;&gt;"",T52,INDEX('Cài đặt'!$B$20:$C$22,MATCH(I52,'Cài đặt'!$A$20:$A$22,0),IF(K52="AI tự động",1,2)))</f>
        <v>2</v>
      </c>
    </row>
    <row r="53" customFormat="false" ht="15" hidden="false" customHeight="false" outlineLevel="0" collapsed="false">
      <c r="A53" s="41" t="s">
        <v>498</v>
      </c>
      <c r="B53" s="41" t="s">
        <v>443</v>
      </c>
      <c r="C53" s="41" t="s">
        <v>154</v>
      </c>
      <c r="D53" s="42" t="str">
        <f aca="false">INDEX('Page và Ngách'!$B$5:$B$10,MATCH(C53,'Page và Ngách'!$A$5:$A$10,0))</f>
        <v>Werewolf / Rejected mate</v>
      </c>
      <c r="E53" s="41" t="n">
        <v>5</v>
      </c>
      <c r="F53" s="43" t="n">
        <f aca="false">'Cài đặt'!$B$37+E53-1</f>
        <v>46339</v>
      </c>
      <c r="G53" s="41" t="s">
        <v>444</v>
      </c>
      <c r="H53" s="44" t="str">
        <f aca="false">IF(G53="S1",'Cài đặt'!$B$7,'Cài đặt'!$B$8)</f>
        <v>12:00</v>
      </c>
      <c r="I53" s="41" t="s">
        <v>115</v>
      </c>
      <c r="J53" s="41" t="s">
        <v>132</v>
      </c>
      <c r="K53" s="41" t="s">
        <v>445</v>
      </c>
      <c r="L53" s="42" t="str">
        <f aca="false">C53&amp;"_"&amp;B53&amp;"_"&amp;IF(I53="Reel","R",IF(I53="Carousel","C","I"))&amp;"_"&amp;J53&amp;"_"&amp;IF(K53="AI tự động","AI","HU")&amp;"_"&amp;RIGHT(A53,3)</f>
        <v>P1_EXP1_R_A_AI_009</v>
      </c>
      <c r="M53" s="45"/>
      <c r="N53" s="45"/>
      <c r="O53" s="46"/>
      <c r="P53" s="46"/>
      <c r="Q53" s="46"/>
      <c r="R53" s="47"/>
      <c r="S53" s="45"/>
      <c r="T53" s="45"/>
      <c r="U53" s="48" t="str">
        <f aca="false">IF(O53&gt;0,P53/O53,"")</f>
        <v/>
      </c>
      <c r="V53" s="49" t="str">
        <f aca="false">IF(P53&gt;0,Q53/P53,"")</f>
        <v/>
      </c>
      <c r="W53" s="50" t="n">
        <f aca="false">IF(R53&lt;&gt;"",R53,Q53*'Cài đặt'!$B$12)</f>
        <v>0</v>
      </c>
      <c r="X53" s="50" t="str">
        <f aca="false">IF(O53&gt;0,W53/O53*1000,"")</f>
        <v/>
      </c>
      <c r="Y53" s="51" t="n">
        <f aca="false">IF(T53&lt;&gt;"",T53,INDEX('Cài đặt'!$B$20:$C$22,MATCH(I53,'Cài đặt'!$A$20:$A$22,0),IF(K53="AI tự động",1,2)))</f>
        <v>8</v>
      </c>
    </row>
    <row r="54" customFormat="false" ht="15" hidden="false" customHeight="false" outlineLevel="0" collapsed="false">
      <c r="A54" s="41" t="s">
        <v>499</v>
      </c>
      <c r="B54" s="41" t="s">
        <v>443</v>
      </c>
      <c r="C54" s="41" t="s">
        <v>154</v>
      </c>
      <c r="D54" s="42" t="str">
        <f aca="false">INDEX('Page và Ngách'!$B$5:$B$10,MATCH(C54,'Page và Ngách'!$A$5:$A$10,0))</f>
        <v>Werewolf / Rejected mate</v>
      </c>
      <c r="E54" s="41" t="n">
        <v>5</v>
      </c>
      <c r="F54" s="43" t="n">
        <f aca="false">'Cài đặt'!$B$37+E54-1</f>
        <v>46339</v>
      </c>
      <c r="G54" s="41" t="s">
        <v>451</v>
      </c>
      <c r="H54" s="44" t="str">
        <f aca="false">IF(G54="S1",'Cài đặt'!$B$7,'Cài đặt'!$B$8)</f>
        <v>20:00</v>
      </c>
      <c r="I54" s="41" t="s">
        <v>111</v>
      </c>
      <c r="J54" s="41" t="s">
        <v>132</v>
      </c>
      <c r="K54" s="41" t="s">
        <v>445</v>
      </c>
      <c r="L54" s="42" t="str">
        <f aca="false">C54&amp;"_"&amp;B54&amp;"_"&amp;IF(I54="Reel","R",IF(I54="Carousel","C","I"))&amp;"_"&amp;J54&amp;"_"&amp;IF(K54="AI tự động","AI","HU")&amp;"_"&amp;RIGHT(A54,3)</f>
        <v>P1_EXP1_I_A_AI_010</v>
      </c>
      <c r="M54" s="45"/>
      <c r="N54" s="45"/>
      <c r="O54" s="46"/>
      <c r="P54" s="46"/>
      <c r="Q54" s="46"/>
      <c r="R54" s="47"/>
      <c r="S54" s="45"/>
      <c r="T54" s="45"/>
      <c r="U54" s="48" t="str">
        <f aca="false">IF(O54&gt;0,P54/O54,"")</f>
        <v/>
      </c>
      <c r="V54" s="49" t="str">
        <f aca="false">IF(P54&gt;0,Q54/P54,"")</f>
        <v/>
      </c>
      <c r="W54" s="50" t="n">
        <f aca="false">IF(R54&lt;&gt;"",R54,Q54*'Cài đặt'!$B$12)</f>
        <v>0</v>
      </c>
      <c r="X54" s="50" t="str">
        <f aca="false">IF(O54&gt;0,W54/O54*1000,"")</f>
        <v/>
      </c>
      <c r="Y54" s="51" t="n">
        <f aca="false">IF(T54&lt;&gt;"",T54,INDEX('Cài đặt'!$B$20:$C$22,MATCH(I54,'Cài đặt'!$A$20:$A$22,0),IF(K54="AI tự động",1,2)))</f>
        <v>2</v>
      </c>
    </row>
    <row r="55" customFormat="false" ht="15" hidden="false" customHeight="false" outlineLevel="0" collapsed="false">
      <c r="A55" s="41" t="s">
        <v>500</v>
      </c>
      <c r="B55" s="41" t="s">
        <v>443</v>
      </c>
      <c r="C55" s="41" t="s">
        <v>163</v>
      </c>
      <c r="D55" s="42" t="str">
        <f aca="false">INDEX('Page và Ngách'!$B$5:$B$10,MATCH(C55,'Page và Ngách'!$A$5:$A$10,0))</f>
        <v>Secret billionaire / CEO</v>
      </c>
      <c r="E55" s="41" t="n">
        <v>5</v>
      </c>
      <c r="F55" s="43" t="n">
        <f aca="false">'Cài đặt'!$B$37+E55-1</f>
        <v>46339</v>
      </c>
      <c r="G55" s="41" t="s">
        <v>444</v>
      </c>
      <c r="H55" s="44" t="str">
        <f aca="false">IF(G55="S1",'Cài đặt'!$B$7,'Cài đặt'!$B$8)</f>
        <v>12:00</v>
      </c>
      <c r="I55" s="41" t="s">
        <v>111</v>
      </c>
      <c r="J55" s="41" t="s">
        <v>132</v>
      </c>
      <c r="K55" s="41" t="s">
        <v>445</v>
      </c>
      <c r="L55" s="42" t="str">
        <f aca="false">C55&amp;"_"&amp;B55&amp;"_"&amp;IF(I55="Reel","R",IF(I55="Carousel","C","I"))&amp;"_"&amp;J55&amp;"_"&amp;IF(K55="AI tự động","AI","HU")&amp;"_"&amp;RIGHT(A55,3)</f>
        <v>P2_EXP1_I_A_AI_009</v>
      </c>
      <c r="M55" s="45"/>
      <c r="N55" s="45"/>
      <c r="O55" s="46"/>
      <c r="P55" s="46"/>
      <c r="Q55" s="46"/>
      <c r="R55" s="47"/>
      <c r="S55" s="45"/>
      <c r="T55" s="45"/>
      <c r="U55" s="48" t="str">
        <f aca="false">IF(O55&gt;0,P55/O55,"")</f>
        <v/>
      </c>
      <c r="V55" s="49" t="str">
        <f aca="false">IF(P55&gt;0,Q55/P55,"")</f>
        <v/>
      </c>
      <c r="W55" s="50" t="n">
        <f aca="false">IF(R55&lt;&gt;"",R55,Q55*'Cài đặt'!$B$12)</f>
        <v>0</v>
      </c>
      <c r="X55" s="50" t="str">
        <f aca="false">IF(O55&gt;0,W55/O55*1000,"")</f>
        <v/>
      </c>
      <c r="Y55" s="51" t="n">
        <f aca="false">IF(T55&lt;&gt;"",T55,INDEX('Cài đặt'!$B$20:$C$22,MATCH(I55,'Cài đặt'!$A$20:$A$22,0),IF(K55="AI tự động",1,2)))</f>
        <v>2</v>
      </c>
    </row>
    <row r="56" customFormat="false" ht="15" hidden="false" customHeight="false" outlineLevel="0" collapsed="false">
      <c r="A56" s="41" t="s">
        <v>501</v>
      </c>
      <c r="B56" s="41" t="s">
        <v>443</v>
      </c>
      <c r="C56" s="41" t="s">
        <v>163</v>
      </c>
      <c r="D56" s="42" t="str">
        <f aca="false">INDEX('Page và Ngách'!$B$5:$B$10,MATCH(C56,'Page và Ngách'!$A$5:$A$10,0))</f>
        <v>Secret billionaire / CEO</v>
      </c>
      <c r="E56" s="41" t="n">
        <v>5</v>
      </c>
      <c r="F56" s="43" t="n">
        <f aca="false">'Cài đặt'!$B$37+E56-1</f>
        <v>46339</v>
      </c>
      <c r="G56" s="41" t="s">
        <v>451</v>
      </c>
      <c r="H56" s="44" t="str">
        <f aca="false">IF(G56="S1",'Cài đặt'!$B$7,'Cài đặt'!$B$8)</f>
        <v>20:00</v>
      </c>
      <c r="I56" s="41" t="s">
        <v>113</v>
      </c>
      <c r="J56" s="41" t="s">
        <v>132</v>
      </c>
      <c r="K56" s="41" t="s">
        <v>445</v>
      </c>
      <c r="L56" s="42" t="str">
        <f aca="false">C56&amp;"_"&amp;B56&amp;"_"&amp;IF(I56="Reel","R",IF(I56="Carousel","C","I"))&amp;"_"&amp;J56&amp;"_"&amp;IF(K56="AI tự động","AI","HU")&amp;"_"&amp;RIGHT(A56,3)</f>
        <v>P2_EXP1_C_A_AI_010</v>
      </c>
      <c r="M56" s="45"/>
      <c r="N56" s="45"/>
      <c r="O56" s="46"/>
      <c r="P56" s="46"/>
      <c r="Q56" s="46"/>
      <c r="R56" s="47"/>
      <c r="S56" s="45"/>
      <c r="T56" s="45"/>
      <c r="U56" s="48" t="str">
        <f aca="false">IF(O56&gt;0,P56/O56,"")</f>
        <v/>
      </c>
      <c r="V56" s="49" t="str">
        <f aca="false">IF(P56&gt;0,Q56/P56,"")</f>
        <v/>
      </c>
      <c r="W56" s="50" t="n">
        <f aca="false">IF(R56&lt;&gt;"",R56,Q56*'Cài đặt'!$B$12)</f>
        <v>0</v>
      </c>
      <c r="X56" s="50" t="str">
        <f aca="false">IF(O56&gt;0,W56/O56*1000,"")</f>
        <v/>
      </c>
      <c r="Y56" s="51" t="n">
        <f aca="false">IF(T56&lt;&gt;"",T56,INDEX('Cài đặt'!$B$20:$C$22,MATCH(I56,'Cài đặt'!$A$20:$A$22,0),IF(K56="AI tự động",1,2)))</f>
        <v>4</v>
      </c>
    </row>
    <row r="57" customFormat="false" ht="15" hidden="false" customHeight="false" outlineLevel="0" collapsed="false">
      <c r="A57" s="41" t="s">
        <v>502</v>
      </c>
      <c r="B57" s="41" t="s">
        <v>443</v>
      </c>
      <c r="C57" s="41" t="s">
        <v>171</v>
      </c>
      <c r="D57" s="42" t="str">
        <f aca="false">INDEX('Page và Ngách'!$B$5:$B$10,MATCH(C57,'Page và Ngách'!$A$5:$A$10,0))</f>
        <v>Contract marriage / Fake relationship</v>
      </c>
      <c r="E57" s="41" t="n">
        <v>5</v>
      </c>
      <c r="F57" s="43" t="n">
        <f aca="false">'Cài đặt'!$B$37+E57-1</f>
        <v>46339</v>
      </c>
      <c r="G57" s="41" t="s">
        <v>444</v>
      </c>
      <c r="H57" s="44" t="str">
        <f aca="false">IF(G57="S1",'Cài đặt'!$B$7,'Cài đặt'!$B$8)</f>
        <v>12:00</v>
      </c>
      <c r="I57" s="41" t="s">
        <v>113</v>
      </c>
      <c r="J57" s="41" t="s">
        <v>132</v>
      </c>
      <c r="K57" s="41" t="s">
        <v>445</v>
      </c>
      <c r="L57" s="42" t="str">
        <f aca="false">C57&amp;"_"&amp;B57&amp;"_"&amp;IF(I57="Reel","R",IF(I57="Carousel","C","I"))&amp;"_"&amp;J57&amp;"_"&amp;IF(K57="AI tự động","AI","HU")&amp;"_"&amp;RIGHT(A57,3)</f>
        <v>P3_EXP1_C_A_AI_009</v>
      </c>
      <c r="M57" s="45"/>
      <c r="N57" s="45"/>
      <c r="O57" s="46"/>
      <c r="P57" s="46"/>
      <c r="Q57" s="46"/>
      <c r="R57" s="47"/>
      <c r="S57" s="45"/>
      <c r="T57" s="45"/>
      <c r="U57" s="48" t="str">
        <f aca="false">IF(O57&gt;0,P57/O57,"")</f>
        <v/>
      </c>
      <c r="V57" s="49" t="str">
        <f aca="false">IF(P57&gt;0,Q57/P57,"")</f>
        <v/>
      </c>
      <c r="W57" s="50" t="n">
        <f aca="false">IF(R57&lt;&gt;"",R57,Q57*'Cài đặt'!$B$12)</f>
        <v>0</v>
      </c>
      <c r="X57" s="50" t="str">
        <f aca="false">IF(O57&gt;0,W57/O57*1000,"")</f>
        <v/>
      </c>
      <c r="Y57" s="51" t="n">
        <f aca="false">IF(T57&lt;&gt;"",T57,INDEX('Cài đặt'!$B$20:$C$22,MATCH(I57,'Cài đặt'!$A$20:$A$22,0),IF(K57="AI tự động",1,2)))</f>
        <v>4</v>
      </c>
    </row>
    <row r="58" customFormat="false" ht="15" hidden="false" customHeight="false" outlineLevel="0" collapsed="false">
      <c r="A58" s="41" t="s">
        <v>503</v>
      </c>
      <c r="B58" s="41" t="s">
        <v>443</v>
      </c>
      <c r="C58" s="41" t="s">
        <v>171</v>
      </c>
      <c r="D58" s="42" t="str">
        <f aca="false">INDEX('Page và Ngách'!$B$5:$B$10,MATCH(C58,'Page và Ngách'!$A$5:$A$10,0))</f>
        <v>Contract marriage / Fake relationship</v>
      </c>
      <c r="E58" s="41" t="n">
        <v>5</v>
      </c>
      <c r="F58" s="43" t="n">
        <f aca="false">'Cài đặt'!$B$37+E58-1</f>
        <v>46339</v>
      </c>
      <c r="G58" s="41" t="s">
        <v>451</v>
      </c>
      <c r="H58" s="44" t="str">
        <f aca="false">IF(G58="S1",'Cài đặt'!$B$7,'Cài đặt'!$B$8)</f>
        <v>20:00</v>
      </c>
      <c r="I58" s="41" t="s">
        <v>115</v>
      </c>
      <c r="J58" s="41" t="s">
        <v>132</v>
      </c>
      <c r="K58" s="41" t="s">
        <v>445</v>
      </c>
      <c r="L58" s="42" t="str">
        <f aca="false">C58&amp;"_"&amp;B58&amp;"_"&amp;IF(I58="Reel","R",IF(I58="Carousel","C","I"))&amp;"_"&amp;J58&amp;"_"&amp;IF(K58="AI tự động","AI","HU")&amp;"_"&amp;RIGHT(A58,3)</f>
        <v>P3_EXP1_R_A_AI_010</v>
      </c>
      <c r="M58" s="45"/>
      <c r="N58" s="45"/>
      <c r="O58" s="46"/>
      <c r="P58" s="46"/>
      <c r="Q58" s="46"/>
      <c r="R58" s="47"/>
      <c r="S58" s="45"/>
      <c r="T58" s="45"/>
      <c r="U58" s="48" t="str">
        <f aca="false">IF(O58&gt;0,P58/O58,"")</f>
        <v/>
      </c>
      <c r="V58" s="49" t="str">
        <f aca="false">IF(P58&gt;0,Q58/P58,"")</f>
        <v/>
      </c>
      <c r="W58" s="50" t="n">
        <f aca="false">IF(R58&lt;&gt;"",R58,Q58*'Cài đặt'!$B$12)</f>
        <v>0</v>
      </c>
      <c r="X58" s="50" t="str">
        <f aca="false">IF(O58&gt;0,W58/O58*1000,"")</f>
        <v/>
      </c>
      <c r="Y58" s="51" t="n">
        <f aca="false">IF(T58&lt;&gt;"",T58,INDEX('Cài đặt'!$B$20:$C$22,MATCH(I58,'Cài đặt'!$A$20:$A$22,0),IF(K58="AI tự động",1,2)))</f>
        <v>8</v>
      </c>
    </row>
    <row r="59" customFormat="false" ht="15" hidden="false" customHeight="false" outlineLevel="0" collapsed="false">
      <c r="A59" s="41" t="s">
        <v>504</v>
      </c>
      <c r="B59" s="41" t="s">
        <v>443</v>
      </c>
      <c r="C59" s="41" t="s">
        <v>178</v>
      </c>
      <c r="D59" s="42" t="str">
        <f aca="false">INDEX('Page và Ngách'!$B$5:$B$10,MATCH(C59,'Page và Ngách'!$A$5:$A$10,0))</f>
        <v>Revenge / Betrayal ("you'll regret it")</v>
      </c>
      <c r="E59" s="41" t="n">
        <v>5</v>
      </c>
      <c r="F59" s="43" t="n">
        <f aca="false">'Cài đặt'!$B$37+E59-1</f>
        <v>46339</v>
      </c>
      <c r="G59" s="41" t="s">
        <v>444</v>
      </c>
      <c r="H59" s="44" t="str">
        <f aca="false">IF(G59="S1",'Cài đặt'!$B$7,'Cài đặt'!$B$8)</f>
        <v>12:00</v>
      </c>
      <c r="I59" s="41" t="s">
        <v>115</v>
      </c>
      <c r="J59" s="41" t="s">
        <v>132</v>
      </c>
      <c r="K59" s="41" t="s">
        <v>445</v>
      </c>
      <c r="L59" s="42" t="str">
        <f aca="false">C59&amp;"_"&amp;B59&amp;"_"&amp;IF(I59="Reel","R",IF(I59="Carousel","C","I"))&amp;"_"&amp;J59&amp;"_"&amp;IF(K59="AI tự động","AI","HU")&amp;"_"&amp;RIGHT(A59,3)</f>
        <v>P4_EXP1_R_A_AI_009</v>
      </c>
      <c r="M59" s="45"/>
      <c r="N59" s="45"/>
      <c r="O59" s="46"/>
      <c r="P59" s="46"/>
      <c r="Q59" s="46"/>
      <c r="R59" s="47"/>
      <c r="S59" s="45"/>
      <c r="T59" s="45"/>
      <c r="U59" s="48" t="str">
        <f aca="false">IF(O59&gt;0,P59/O59,"")</f>
        <v/>
      </c>
      <c r="V59" s="49" t="str">
        <f aca="false">IF(P59&gt;0,Q59/P59,"")</f>
        <v/>
      </c>
      <c r="W59" s="50" t="n">
        <f aca="false">IF(R59&lt;&gt;"",R59,Q59*'Cài đặt'!$B$12)</f>
        <v>0</v>
      </c>
      <c r="X59" s="50" t="str">
        <f aca="false">IF(O59&gt;0,W59/O59*1000,"")</f>
        <v/>
      </c>
      <c r="Y59" s="51" t="n">
        <f aca="false">IF(T59&lt;&gt;"",T59,INDEX('Cài đặt'!$B$20:$C$22,MATCH(I59,'Cài đặt'!$A$20:$A$22,0),IF(K59="AI tự động",1,2)))</f>
        <v>8</v>
      </c>
    </row>
    <row r="60" customFormat="false" ht="15" hidden="false" customHeight="false" outlineLevel="0" collapsed="false">
      <c r="A60" s="41" t="s">
        <v>505</v>
      </c>
      <c r="B60" s="41" t="s">
        <v>443</v>
      </c>
      <c r="C60" s="41" t="s">
        <v>178</v>
      </c>
      <c r="D60" s="42" t="str">
        <f aca="false">INDEX('Page và Ngách'!$B$5:$B$10,MATCH(C60,'Page và Ngách'!$A$5:$A$10,0))</f>
        <v>Revenge / Betrayal ("you'll regret it")</v>
      </c>
      <c r="E60" s="41" t="n">
        <v>5</v>
      </c>
      <c r="F60" s="43" t="n">
        <f aca="false">'Cài đặt'!$B$37+E60-1</f>
        <v>46339</v>
      </c>
      <c r="G60" s="41" t="s">
        <v>451</v>
      </c>
      <c r="H60" s="44" t="str">
        <f aca="false">IF(G60="S1",'Cài đặt'!$B$7,'Cài đặt'!$B$8)</f>
        <v>20:00</v>
      </c>
      <c r="I60" s="41" t="s">
        <v>111</v>
      </c>
      <c r="J60" s="41" t="s">
        <v>132</v>
      </c>
      <c r="K60" s="41" t="s">
        <v>445</v>
      </c>
      <c r="L60" s="42" t="str">
        <f aca="false">C60&amp;"_"&amp;B60&amp;"_"&amp;IF(I60="Reel","R",IF(I60="Carousel","C","I"))&amp;"_"&amp;J60&amp;"_"&amp;IF(K60="AI tự động","AI","HU")&amp;"_"&amp;RIGHT(A60,3)</f>
        <v>P4_EXP1_I_A_AI_010</v>
      </c>
      <c r="M60" s="45"/>
      <c r="N60" s="45"/>
      <c r="O60" s="46"/>
      <c r="P60" s="46"/>
      <c r="Q60" s="46"/>
      <c r="R60" s="47"/>
      <c r="S60" s="45"/>
      <c r="T60" s="45"/>
      <c r="U60" s="48" t="str">
        <f aca="false">IF(O60&gt;0,P60/O60,"")</f>
        <v/>
      </c>
      <c r="V60" s="49" t="str">
        <f aca="false">IF(P60&gt;0,Q60/P60,"")</f>
        <v/>
      </c>
      <c r="W60" s="50" t="n">
        <f aca="false">IF(R60&lt;&gt;"",R60,Q60*'Cài đặt'!$B$12)</f>
        <v>0</v>
      </c>
      <c r="X60" s="50" t="str">
        <f aca="false">IF(O60&gt;0,W60/O60*1000,"")</f>
        <v/>
      </c>
      <c r="Y60" s="51" t="n">
        <f aca="false">IF(T60&lt;&gt;"",T60,INDEX('Cài đặt'!$B$20:$C$22,MATCH(I60,'Cài đặt'!$A$20:$A$22,0),IF(K60="AI tự động",1,2)))</f>
        <v>2</v>
      </c>
    </row>
    <row r="61" customFormat="false" ht="15" hidden="false" customHeight="false" outlineLevel="0" collapsed="false">
      <c r="A61" s="41" t="s">
        <v>506</v>
      </c>
      <c r="B61" s="41" t="s">
        <v>443</v>
      </c>
      <c r="C61" s="41" t="s">
        <v>185</v>
      </c>
      <c r="D61" s="42" t="str">
        <f aca="false">INDEX('Page và Ngách'!$B$5:$B$10,MATCH(C61,'Page và Ngách'!$A$5:$A$10,0))</f>
        <v>Mafia / Dark romance (teaser PG-13)</v>
      </c>
      <c r="E61" s="41" t="n">
        <v>5</v>
      </c>
      <c r="F61" s="43" t="n">
        <f aca="false">'Cài đặt'!$B$37+E61-1</f>
        <v>46339</v>
      </c>
      <c r="G61" s="41" t="s">
        <v>444</v>
      </c>
      <c r="H61" s="44" t="str">
        <f aca="false">IF(G61="S1",'Cài đặt'!$B$7,'Cài đặt'!$B$8)</f>
        <v>12:00</v>
      </c>
      <c r="I61" s="41" t="s">
        <v>111</v>
      </c>
      <c r="J61" s="41" t="s">
        <v>132</v>
      </c>
      <c r="K61" s="41" t="s">
        <v>445</v>
      </c>
      <c r="L61" s="42" t="str">
        <f aca="false">C61&amp;"_"&amp;B61&amp;"_"&amp;IF(I61="Reel","R",IF(I61="Carousel","C","I"))&amp;"_"&amp;J61&amp;"_"&amp;IF(K61="AI tự động","AI","HU")&amp;"_"&amp;RIGHT(A61,3)</f>
        <v>P5_EXP1_I_A_AI_009</v>
      </c>
      <c r="M61" s="45"/>
      <c r="N61" s="45"/>
      <c r="O61" s="46"/>
      <c r="P61" s="46"/>
      <c r="Q61" s="46"/>
      <c r="R61" s="47"/>
      <c r="S61" s="45"/>
      <c r="T61" s="45"/>
      <c r="U61" s="48" t="str">
        <f aca="false">IF(O61&gt;0,P61/O61,"")</f>
        <v/>
      </c>
      <c r="V61" s="49" t="str">
        <f aca="false">IF(P61&gt;0,Q61/P61,"")</f>
        <v/>
      </c>
      <c r="W61" s="50" t="n">
        <f aca="false">IF(R61&lt;&gt;"",R61,Q61*'Cài đặt'!$B$12)</f>
        <v>0</v>
      </c>
      <c r="X61" s="50" t="str">
        <f aca="false">IF(O61&gt;0,W61/O61*1000,"")</f>
        <v/>
      </c>
      <c r="Y61" s="51" t="n">
        <f aca="false">IF(T61&lt;&gt;"",T61,INDEX('Cài đặt'!$B$20:$C$22,MATCH(I61,'Cài đặt'!$A$20:$A$22,0),IF(K61="AI tự động",1,2)))</f>
        <v>2</v>
      </c>
    </row>
    <row r="62" customFormat="false" ht="15" hidden="false" customHeight="false" outlineLevel="0" collapsed="false">
      <c r="A62" s="41" t="s">
        <v>507</v>
      </c>
      <c r="B62" s="41" t="s">
        <v>443</v>
      </c>
      <c r="C62" s="41" t="s">
        <v>185</v>
      </c>
      <c r="D62" s="42" t="str">
        <f aca="false">INDEX('Page và Ngách'!$B$5:$B$10,MATCH(C62,'Page và Ngách'!$A$5:$A$10,0))</f>
        <v>Mafia / Dark romance (teaser PG-13)</v>
      </c>
      <c r="E62" s="41" t="n">
        <v>5</v>
      </c>
      <c r="F62" s="43" t="n">
        <f aca="false">'Cài đặt'!$B$37+E62-1</f>
        <v>46339</v>
      </c>
      <c r="G62" s="41" t="s">
        <v>451</v>
      </c>
      <c r="H62" s="44" t="str">
        <f aca="false">IF(G62="S1",'Cài đặt'!$B$7,'Cài đặt'!$B$8)</f>
        <v>20:00</v>
      </c>
      <c r="I62" s="41" t="s">
        <v>113</v>
      </c>
      <c r="J62" s="41" t="s">
        <v>132</v>
      </c>
      <c r="K62" s="41" t="s">
        <v>445</v>
      </c>
      <c r="L62" s="42" t="str">
        <f aca="false">C62&amp;"_"&amp;B62&amp;"_"&amp;IF(I62="Reel","R",IF(I62="Carousel","C","I"))&amp;"_"&amp;J62&amp;"_"&amp;IF(K62="AI tự động","AI","HU")&amp;"_"&amp;RIGHT(A62,3)</f>
        <v>P5_EXP1_C_A_AI_010</v>
      </c>
      <c r="M62" s="45"/>
      <c r="N62" s="45"/>
      <c r="O62" s="46"/>
      <c r="P62" s="46"/>
      <c r="Q62" s="46"/>
      <c r="R62" s="47"/>
      <c r="S62" s="45"/>
      <c r="T62" s="45"/>
      <c r="U62" s="48" t="str">
        <f aca="false">IF(O62&gt;0,P62/O62,"")</f>
        <v/>
      </c>
      <c r="V62" s="49" t="str">
        <f aca="false">IF(P62&gt;0,Q62/P62,"")</f>
        <v/>
      </c>
      <c r="W62" s="50" t="n">
        <f aca="false">IF(R62&lt;&gt;"",R62,Q62*'Cài đặt'!$B$12)</f>
        <v>0</v>
      </c>
      <c r="X62" s="50" t="str">
        <f aca="false">IF(O62&gt;0,W62/O62*1000,"")</f>
        <v/>
      </c>
      <c r="Y62" s="51" t="n">
        <f aca="false">IF(T62&lt;&gt;"",T62,INDEX('Cài đặt'!$B$20:$C$22,MATCH(I62,'Cài đặt'!$A$20:$A$22,0),IF(K62="AI tự động",1,2)))</f>
        <v>4</v>
      </c>
    </row>
    <row r="63" customFormat="false" ht="15" hidden="false" customHeight="false" outlineLevel="0" collapsed="false">
      <c r="A63" s="41" t="s">
        <v>508</v>
      </c>
      <c r="B63" s="41" t="s">
        <v>443</v>
      </c>
      <c r="C63" s="41" t="s">
        <v>193</v>
      </c>
      <c r="D63" s="42" t="str">
        <f aca="false">INDEX('Page và Ngách'!$B$5:$B$10,MATCH(C63,'Page và Ngách'!$A$5:$A$10,0))</f>
        <v>Second chance / Secret baby</v>
      </c>
      <c r="E63" s="41" t="n">
        <v>5</v>
      </c>
      <c r="F63" s="43" t="n">
        <f aca="false">'Cài đặt'!$B$37+E63-1</f>
        <v>46339</v>
      </c>
      <c r="G63" s="41" t="s">
        <v>444</v>
      </c>
      <c r="H63" s="44" t="str">
        <f aca="false">IF(G63="S1",'Cài đặt'!$B$7,'Cài đặt'!$B$8)</f>
        <v>12:00</v>
      </c>
      <c r="I63" s="41" t="s">
        <v>113</v>
      </c>
      <c r="J63" s="41" t="s">
        <v>132</v>
      </c>
      <c r="K63" s="41" t="s">
        <v>445</v>
      </c>
      <c r="L63" s="42" t="str">
        <f aca="false">C63&amp;"_"&amp;B63&amp;"_"&amp;IF(I63="Reel","R",IF(I63="Carousel","C","I"))&amp;"_"&amp;J63&amp;"_"&amp;IF(K63="AI tự động","AI","HU")&amp;"_"&amp;RIGHT(A63,3)</f>
        <v>P6_EXP1_C_A_AI_009</v>
      </c>
      <c r="M63" s="45"/>
      <c r="N63" s="45"/>
      <c r="O63" s="46"/>
      <c r="P63" s="46"/>
      <c r="Q63" s="46"/>
      <c r="R63" s="47"/>
      <c r="S63" s="45"/>
      <c r="T63" s="45"/>
      <c r="U63" s="48" t="str">
        <f aca="false">IF(O63&gt;0,P63/O63,"")</f>
        <v/>
      </c>
      <c r="V63" s="49" t="str">
        <f aca="false">IF(P63&gt;0,Q63/P63,"")</f>
        <v/>
      </c>
      <c r="W63" s="50" t="n">
        <f aca="false">IF(R63&lt;&gt;"",R63,Q63*'Cài đặt'!$B$12)</f>
        <v>0</v>
      </c>
      <c r="X63" s="50" t="str">
        <f aca="false">IF(O63&gt;0,W63/O63*1000,"")</f>
        <v/>
      </c>
      <c r="Y63" s="51" t="n">
        <f aca="false">IF(T63&lt;&gt;"",T63,INDEX('Cài đặt'!$B$20:$C$22,MATCH(I63,'Cài đặt'!$A$20:$A$22,0),IF(K63="AI tự động",1,2)))</f>
        <v>4</v>
      </c>
    </row>
    <row r="64" customFormat="false" ht="15" hidden="false" customHeight="false" outlineLevel="0" collapsed="false">
      <c r="A64" s="41" t="s">
        <v>509</v>
      </c>
      <c r="B64" s="41" t="s">
        <v>443</v>
      </c>
      <c r="C64" s="41" t="s">
        <v>193</v>
      </c>
      <c r="D64" s="42" t="str">
        <f aca="false">INDEX('Page và Ngách'!$B$5:$B$10,MATCH(C64,'Page và Ngách'!$A$5:$A$10,0))</f>
        <v>Second chance / Secret baby</v>
      </c>
      <c r="E64" s="41" t="n">
        <v>5</v>
      </c>
      <c r="F64" s="43" t="n">
        <f aca="false">'Cài đặt'!$B$37+E64-1</f>
        <v>46339</v>
      </c>
      <c r="G64" s="41" t="s">
        <v>451</v>
      </c>
      <c r="H64" s="44" t="str">
        <f aca="false">IF(G64="S1",'Cài đặt'!$B$7,'Cài đặt'!$B$8)</f>
        <v>20:00</v>
      </c>
      <c r="I64" s="41" t="s">
        <v>115</v>
      </c>
      <c r="J64" s="41" t="s">
        <v>132</v>
      </c>
      <c r="K64" s="41" t="s">
        <v>445</v>
      </c>
      <c r="L64" s="42" t="str">
        <f aca="false">C64&amp;"_"&amp;B64&amp;"_"&amp;IF(I64="Reel","R",IF(I64="Carousel","C","I"))&amp;"_"&amp;J64&amp;"_"&amp;IF(K64="AI tự động","AI","HU")&amp;"_"&amp;RIGHT(A64,3)</f>
        <v>P6_EXP1_R_A_AI_010</v>
      </c>
      <c r="M64" s="45"/>
      <c r="N64" s="45"/>
      <c r="O64" s="46"/>
      <c r="P64" s="46"/>
      <c r="Q64" s="46"/>
      <c r="R64" s="47"/>
      <c r="S64" s="45"/>
      <c r="T64" s="45"/>
      <c r="U64" s="48" t="str">
        <f aca="false">IF(O64&gt;0,P64/O64,"")</f>
        <v/>
      </c>
      <c r="V64" s="49" t="str">
        <f aca="false">IF(P64&gt;0,Q64/P64,"")</f>
        <v/>
      </c>
      <c r="W64" s="50" t="n">
        <f aca="false">IF(R64&lt;&gt;"",R64,Q64*'Cài đặt'!$B$12)</f>
        <v>0</v>
      </c>
      <c r="X64" s="50" t="str">
        <f aca="false">IF(O64&gt;0,W64/O64*1000,"")</f>
        <v/>
      </c>
      <c r="Y64" s="51" t="n">
        <f aca="false">IF(T64&lt;&gt;"",T64,INDEX('Cài đặt'!$B$20:$C$22,MATCH(I64,'Cài đặt'!$A$20:$A$22,0),IF(K64="AI tự động",1,2)))</f>
        <v>8</v>
      </c>
    </row>
    <row r="65" customFormat="false" ht="15" hidden="false" customHeight="false" outlineLevel="0" collapsed="false">
      <c r="A65" s="41" t="s">
        <v>510</v>
      </c>
      <c r="B65" s="41" t="s">
        <v>443</v>
      </c>
      <c r="C65" s="41" t="s">
        <v>154</v>
      </c>
      <c r="D65" s="42" t="str">
        <f aca="false">INDEX('Page và Ngách'!$B$5:$B$10,MATCH(C65,'Page và Ngách'!$A$5:$A$10,0))</f>
        <v>Werewolf / Rejected mate</v>
      </c>
      <c r="E65" s="41" t="n">
        <v>6</v>
      </c>
      <c r="F65" s="43" t="n">
        <f aca="false">'Cài đặt'!$B$37+E65-1</f>
        <v>46340</v>
      </c>
      <c r="G65" s="41" t="s">
        <v>444</v>
      </c>
      <c r="H65" s="44" t="str">
        <f aca="false">IF(G65="S1",'Cài đặt'!$B$7,'Cài đặt'!$B$8)</f>
        <v>12:00</v>
      </c>
      <c r="I65" s="41" t="s">
        <v>113</v>
      </c>
      <c r="J65" s="41" t="s">
        <v>132</v>
      </c>
      <c r="K65" s="41" t="s">
        <v>445</v>
      </c>
      <c r="L65" s="42" t="str">
        <f aca="false">C65&amp;"_"&amp;B65&amp;"_"&amp;IF(I65="Reel","R",IF(I65="Carousel","C","I"))&amp;"_"&amp;J65&amp;"_"&amp;IF(K65="AI tự động","AI","HU")&amp;"_"&amp;RIGHT(A65,3)</f>
        <v>P1_EXP1_C_A_AI_011</v>
      </c>
      <c r="M65" s="45"/>
      <c r="N65" s="45"/>
      <c r="O65" s="46"/>
      <c r="P65" s="46"/>
      <c r="Q65" s="46"/>
      <c r="R65" s="47"/>
      <c r="S65" s="45"/>
      <c r="T65" s="45"/>
      <c r="U65" s="48" t="str">
        <f aca="false">IF(O65&gt;0,P65/O65,"")</f>
        <v/>
      </c>
      <c r="V65" s="49" t="str">
        <f aca="false">IF(P65&gt;0,Q65/P65,"")</f>
        <v/>
      </c>
      <c r="W65" s="50" t="n">
        <f aca="false">IF(R65&lt;&gt;"",R65,Q65*'Cài đặt'!$B$12)</f>
        <v>0</v>
      </c>
      <c r="X65" s="50" t="str">
        <f aca="false">IF(O65&gt;0,W65/O65*1000,"")</f>
        <v/>
      </c>
      <c r="Y65" s="51" t="n">
        <f aca="false">IF(T65&lt;&gt;"",T65,INDEX('Cài đặt'!$B$20:$C$22,MATCH(I65,'Cài đặt'!$A$20:$A$22,0),IF(K65="AI tự động",1,2)))</f>
        <v>4</v>
      </c>
    </row>
    <row r="66" customFormat="false" ht="15" hidden="false" customHeight="false" outlineLevel="0" collapsed="false">
      <c r="A66" s="41" t="s">
        <v>511</v>
      </c>
      <c r="B66" s="41" t="s">
        <v>443</v>
      </c>
      <c r="C66" s="41" t="s">
        <v>154</v>
      </c>
      <c r="D66" s="42" t="str">
        <f aca="false">INDEX('Page và Ngách'!$B$5:$B$10,MATCH(C66,'Page và Ngách'!$A$5:$A$10,0))</f>
        <v>Werewolf / Rejected mate</v>
      </c>
      <c r="E66" s="41" t="n">
        <v>6</v>
      </c>
      <c r="F66" s="43" t="n">
        <f aca="false">'Cài đặt'!$B$37+E66-1</f>
        <v>46340</v>
      </c>
      <c r="G66" s="41" t="s">
        <v>451</v>
      </c>
      <c r="H66" s="44" t="str">
        <f aca="false">IF(G66="S1",'Cài đặt'!$B$7,'Cài đặt'!$B$8)</f>
        <v>20:00</v>
      </c>
      <c r="I66" s="41" t="s">
        <v>115</v>
      </c>
      <c r="J66" s="41" t="s">
        <v>132</v>
      </c>
      <c r="K66" s="41" t="s">
        <v>445</v>
      </c>
      <c r="L66" s="42" t="str">
        <f aca="false">C66&amp;"_"&amp;B66&amp;"_"&amp;IF(I66="Reel","R",IF(I66="Carousel","C","I"))&amp;"_"&amp;J66&amp;"_"&amp;IF(K66="AI tự động","AI","HU")&amp;"_"&amp;RIGHT(A66,3)</f>
        <v>P1_EXP1_R_A_AI_012</v>
      </c>
      <c r="M66" s="45"/>
      <c r="N66" s="45"/>
      <c r="O66" s="46"/>
      <c r="P66" s="46"/>
      <c r="Q66" s="46"/>
      <c r="R66" s="47"/>
      <c r="S66" s="45"/>
      <c r="T66" s="45"/>
      <c r="U66" s="48" t="str">
        <f aca="false">IF(O66&gt;0,P66/O66,"")</f>
        <v/>
      </c>
      <c r="V66" s="49" t="str">
        <f aca="false">IF(P66&gt;0,Q66/P66,"")</f>
        <v/>
      </c>
      <c r="W66" s="50" t="n">
        <f aca="false">IF(R66&lt;&gt;"",R66,Q66*'Cài đặt'!$B$12)</f>
        <v>0</v>
      </c>
      <c r="X66" s="50" t="str">
        <f aca="false">IF(O66&gt;0,W66/O66*1000,"")</f>
        <v/>
      </c>
      <c r="Y66" s="51" t="n">
        <f aca="false">IF(T66&lt;&gt;"",T66,INDEX('Cài đặt'!$B$20:$C$22,MATCH(I66,'Cài đặt'!$A$20:$A$22,0),IF(K66="AI tự động",1,2)))</f>
        <v>8</v>
      </c>
    </row>
    <row r="67" customFormat="false" ht="15" hidden="false" customHeight="false" outlineLevel="0" collapsed="false">
      <c r="A67" s="41" t="s">
        <v>512</v>
      </c>
      <c r="B67" s="41" t="s">
        <v>443</v>
      </c>
      <c r="C67" s="41" t="s">
        <v>163</v>
      </c>
      <c r="D67" s="42" t="str">
        <f aca="false">INDEX('Page và Ngách'!$B$5:$B$10,MATCH(C67,'Page và Ngách'!$A$5:$A$10,0))</f>
        <v>Secret billionaire / CEO</v>
      </c>
      <c r="E67" s="41" t="n">
        <v>6</v>
      </c>
      <c r="F67" s="43" t="n">
        <f aca="false">'Cài đặt'!$B$37+E67-1</f>
        <v>46340</v>
      </c>
      <c r="G67" s="41" t="s">
        <v>444</v>
      </c>
      <c r="H67" s="44" t="str">
        <f aca="false">IF(G67="S1",'Cài đặt'!$B$7,'Cài đặt'!$B$8)</f>
        <v>12:00</v>
      </c>
      <c r="I67" s="41" t="s">
        <v>115</v>
      </c>
      <c r="J67" s="41" t="s">
        <v>132</v>
      </c>
      <c r="K67" s="41" t="s">
        <v>445</v>
      </c>
      <c r="L67" s="42" t="str">
        <f aca="false">C67&amp;"_"&amp;B67&amp;"_"&amp;IF(I67="Reel","R",IF(I67="Carousel","C","I"))&amp;"_"&amp;J67&amp;"_"&amp;IF(K67="AI tự động","AI","HU")&amp;"_"&amp;RIGHT(A67,3)</f>
        <v>P2_EXP1_R_A_AI_011</v>
      </c>
      <c r="M67" s="45"/>
      <c r="N67" s="45"/>
      <c r="O67" s="46"/>
      <c r="P67" s="46"/>
      <c r="Q67" s="46"/>
      <c r="R67" s="47"/>
      <c r="S67" s="45"/>
      <c r="T67" s="45"/>
      <c r="U67" s="48" t="str">
        <f aca="false">IF(O67&gt;0,P67/O67,"")</f>
        <v/>
      </c>
      <c r="V67" s="49" t="str">
        <f aca="false">IF(P67&gt;0,Q67/P67,"")</f>
        <v/>
      </c>
      <c r="W67" s="50" t="n">
        <f aca="false">IF(R67&lt;&gt;"",R67,Q67*'Cài đặt'!$B$12)</f>
        <v>0</v>
      </c>
      <c r="X67" s="50" t="str">
        <f aca="false">IF(O67&gt;0,W67/O67*1000,"")</f>
        <v/>
      </c>
      <c r="Y67" s="51" t="n">
        <f aca="false">IF(T67&lt;&gt;"",T67,INDEX('Cài đặt'!$B$20:$C$22,MATCH(I67,'Cài đặt'!$A$20:$A$22,0),IF(K67="AI tự động",1,2)))</f>
        <v>8</v>
      </c>
    </row>
    <row r="68" customFormat="false" ht="15" hidden="false" customHeight="false" outlineLevel="0" collapsed="false">
      <c r="A68" s="41" t="s">
        <v>513</v>
      </c>
      <c r="B68" s="41" t="s">
        <v>443</v>
      </c>
      <c r="C68" s="41" t="s">
        <v>163</v>
      </c>
      <c r="D68" s="42" t="str">
        <f aca="false">INDEX('Page và Ngách'!$B$5:$B$10,MATCH(C68,'Page và Ngách'!$A$5:$A$10,0))</f>
        <v>Secret billionaire / CEO</v>
      </c>
      <c r="E68" s="41" t="n">
        <v>6</v>
      </c>
      <c r="F68" s="43" t="n">
        <f aca="false">'Cài đặt'!$B$37+E68-1</f>
        <v>46340</v>
      </c>
      <c r="G68" s="41" t="s">
        <v>451</v>
      </c>
      <c r="H68" s="44" t="str">
        <f aca="false">IF(G68="S1",'Cài đặt'!$B$7,'Cài đặt'!$B$8)</f>
        <v>20:00</v>
      </c>
      <c r="I68" s="41" t="s">
        <v>111</v>
      </c>
      <c r="J68" s="41" t="s">
        <v>132</v>
      </c>
      <c r="K68" s="41" t="s">
        <v>445</v>
      </c>
      <c r="L68" s="42" t="str">
        <f aca="false">C68&amp;"_"&amp;B68&amp;"_"&amp;IF(I68="Reel","R",IF(I68="Carousel","C","I"))&amp;"_"&amp;J68&amp;"_"&amp;IF(K68="AI tự động","AI","HU")&amp;"_"&amp;RIGHT(A68,3)</f>
        <v>P2_EXP1_I_A_AI_012</v>
      </c>
      <c r="M68" s="45"/>
      <c r="N68" s="45"/>
      <c r="O68" s="46"/>
      <c r="P68" s="46"/>
      <c r="Q68" s="46"/>
      <c r="R68" s="47"/>
      <c r="S68" s="45"/>
      <c r="T68" s="45"/>
      <c r="U68" s="48" t="str">
        <f aca="false">IF(O68&gt;0,P68/O68,"")</f>
        <v/>
      </c>
      <c r="V68" s="49" t="str">
        <f aca="false">IF(P68&gt;0,Q68/P68,"")</f>
        <v/>
      </c>
      <c r="W68" s="50" t="n">
        <f aca="false">IF(R68&lt;&gt;"",R68,Q68*'Cài đặt'!$B$12)</f>
        <v>0</v>
      </c>
      <c r="X68" s="50" t="str">
        <f aca="false">IF(O68&gt;0,W68/O68*1000,"")</f>
        <v/>
      </c>
      <c r="Y68" s="51" t="n">
        <f aca="false">IF(T68&lt;&gt;"",T68,INDEX('Cài đặt'!$B$20:$C$22,MATCH(I68,'Cài đặt'!$A$20:$A$22,0),IF(K68="AI tự động",1,2)))</f>
        <v>2</v>
      </c>
    </row>
    <row r="69" customFormat="false" ht="15" hidden="false" customHeight="false" outlineLevel="0" collapsed="false">
      <c r="A69" s="41" t="s">
        <v>514</v>
      </c>
      <c r="B69" s="41" t="s">
        <v>443</v>
      </c>
      <c r="C69" s="41" t="s">
        <v>171</v>
      </c>
      <c r="D69" s="42" t="str">
        <f aca="false">INDEX('Page và Ngách'!$B$5:$B$10,MATCH(C69,'Page và Ngách'!$A$5:$A$10,0))</f>
        <v>Contract marriage / Fake relationship</v>
      </c>
      <c r="E69" s="41" t="n">
        <v>6</v>
      </c>
      <c r="F69" s="43" t="n">
        <f aca="false">'Cài đặt'!$B$37+E69-1</f>
        <v>46340</v>
      </c>
      <c r="G69" s="41" t="s">
        <v>444</v>
      </c>
      <c r="H69" s="44" t="str">
        <f aca="false">IF(G69="S1",'Cài đặt'!$B$7,'Cài đặt'!$B$8)</f>
        <v>12:00</v>
      </c>
      <c r="I69" s="41" t="s">
        <v>111</v>
      </c>
      <c r="J69" s="41" t="s">
        <v>132</v>
      </c>
      <c r="K69" s="41" t="s">
        <v>445</v>
      </c>
      <c r="L69" s="42" t="str">
        <f aca="false">C69&amp;"_"&amp;B69&amp;"_"&amp;IF(I69="Reel","R",IF(I69="Carousel","C","I"))&amp;"_"&amp;J69&amp;"_"&amp;IF(K69="AI tự động","AI","HU")&amp;"_"&amp;RIGHT(A69,3)</f>
        <v>P3_EXP1_I_A_AI_011</v>
      </c>
      <c r="M69" s="45"/>
      <c r="N69" s="45"/>
      <c r="O69" s="46"/>
      <c r="P69" s="46"/>
      <c r="Q69" s="46"/>
      <c r="R69" s="47"/>
      <c r="S69" s="45"/>
      <c r="T69" s="45"/>
      <c r="U69" s="48" t="str">
        <f aca="false">IF(O69&gt;0,P69/O69,"")</f>
        <v/>
      </c>
      <c r="V69" s="49" t="str">
        <f aca="false">IF(P69&gt;0,Q69/P69,"")</f>
        <v/>
      </c>
      <c r="W69" s="50" t="n">
        <f aca="false">IF(R69&lt;&gt;"",R69,Q69*'Cài đặt'!$B$12)</f>
        <v>0</v>
      </c>
      <c r="X69" s="50" t="str">
        <f aca="false">IF(O69&gt;0,W69/O69*1000,"")</f>
        <v/>
      </c>
      <c r="Y69" s="51" t="n">
        <f aca="false">IF(T69&lt;&gt;"",T69,INDEX('Cài đặt'!$B$20:$C$22,MATCH(I69,'Cài đặt'!$A$20:$A$22,0),IF(K69="AI tự động",1,2)))</f>
        <v>2</v>
      </c>
    </row>
    <row r="70" customFormat="false" ht="15" hidden="false" customHeight="false" outlineLevel="0" collapsed="false">
      <c r="A70" s="41" t="s">
        <v>515</v>
      </c>
      <c r="B70" s="41" t="s">
        <v>443</v>
      </c>
      <c r="C70" s="41" t="s">
        <v>171</v>
      </c>
      <c r="D70" s="42" t="str">
        <f aca="false">INDEX('Page và Ngách'!$B$5:$B$10,MATCH(C70,'Page và Ngách'!$A$5:$A$10,0))</f>
        <v>Contract marriage / Fake relationship</v>
      </c>
      <c r="E70" s="41" t="n">
        <v>6</v>
      </c>
      <c r="F70" s="43" t="n">
        <f aca="false">'Cài đặt'!$B$37+E70-1</f>
        <v>46340</v>
      </c>
      <c r="G70" s="41" t="s">
        <v>451</v>
      </c>
      <c r="H70" s="44" t="str">
        <f aca="false">IF(G70="S1",'Cài đặt'!$B$7,'Cài đặt'!$B$8)</f>
        <v>20:00</v>
      </c>
      <c r="I70" s="41" t="s">
        <v>113</v>
      </c>
      <c r="J70" s="41" t="s">
        <v>132</v>
      </c>
      <c r="K70" s="41" t="s">
        <v>445</v>
      </c>
      <c r="L70" s="42" t="str">
        <f aca="false">C70&amp;"_"&amp;B70&amp;"_"&amp;IF(I70="Reel","R",IF(I70="Carousel","C","I"))&amp;"_"&amp;J70&amp;"_"&amp;IF(K70="AI tự động","AI","HU")&amp;"_"&amp;RIGHT(A70,3)</f>
        <v>P3_EXP1_C_A_AI_012</v>
      </c>
      <c r="M70" s="45"/>
      <c r="N70" s="45"/>
      <c r="O70" s="46"/>
      <c r="P70" s="46"/>
      <c r="Q70" s="46"/>
      <c r="R70" s="47"/>
      <c r="S70" s="45"/>
      <c r="T70" s="45"/>
      <c r="U70" s="48" t="str">
        <f aca="false">IF(O70&gt;0,P70/O70,"")</f>
        <v/>
      </c>
      <c r="V70" s="49" t="str">
        <f aca="false">IF(P70&gt;0,Q70/P70,"")</f>
        <v/>
      </c>
      <c r="W70" s="50" t="n">
        <f aca="false">IF(R70&lt;&gt;"",R70,Q70*'Cài đặt'!$B$12)</f>
        <v>0</v>
      </c>
      <c r="X70" s="50" t="str">
        <f aca="false">IF(O70&gt;0,W70/O70*1000,"")</f>
        <v/>
      </c>
      <c r="Y70" s="51" t="n">
        <f aca="false">IF(T70&lt;&gt;"",T70,INDEX('Cài đặt'!$B$20:$C$22,MATCH(I70,'Cài đặt'!$A$20:$A$22,0),IF(K70="AI tự động",1,2)))</f>
        <v>4</v>
      </c>
    </row>
    <row r="71" customFormat="false" ht="15" hidden="false" customHeight="false" outlineLevel="0" collapsed="false">
      <c r="A71" s="41" t="s">
        <v>516</v>
      </c>
      <c r="B71" s="41" t="s">
        <v>443</v>
      </c>
      <c r="C71" s="41" t="s">
        <v>178</v>
      </c>
      <c r="D71" s="42" t="str">
        <f aca="false">INDEX('Page và Ngách'!$B$5:$B$10,MATCH(C71,'Page và Ngách'!$A$5:$A$10,0))</f>
        <v>Revenge / Betrayal ("you'll regret it")</v>
      </c>
      <c r="E71" s="41" t="n">
        <v>6</v>
      </c>
      <c r="F71" s="43" t="n">
        <f aca="false">'Cài đặt'!$B$37+E71-1</f>
        <v>46340</v>
      </c>
      <c r="G71" s="41" t="s">
        <v>444</v>
      </c>
      <c r="H71" s="44" t="str">
        <f aca="false">IF(G71="S1",'Cài đặt'!$B$7,'Cài đặt'!$B$8)</f>
        <v>12:00</v>
      </c>
      <c r="I71" s="41" t="s">
        <v>113</v>
      </c>
      <c r="J71" s="41" t="s">
        <v>132</v>
      </c>
      <c r="K71" s="41" t="s">
        <v>445</v>
      </c>
      <c r="L71" s="42" t="str">
        <f aca="false">C71&amp;"_"&amp;B71&amp;"_"&amp;IF(I71="Reel","R",IF(I71="Carousel","C","I"))&amp;"_"&amp;J71&amp;"_"&amp;IF(K71="AI tự động","AI","HU")&amp;"_"&amp;RIGHT(A71,3)</f>
        <v>P4_EXP1_C_A_AI_011</v>
      </c>
      <c r="M71" s="45"/>
      <c r="N71" s="45"/>
      <c r="O71" s="46"/>
      <c r="P71" s="46"/>
      <c r="Q71" s="46"/>
      <c r="R71" s="47"/>
      <c r="S71" s="45"/>
      <c r="T71" s="45"/>
      <c r="U71" s="48" t="str">
        <f aca="false">IF(O71&gt;0,P71/O71,"")</f>
        <v/>
      </c>
      <c r="V71" s="49" t="str">
        <f aca="false">IF(P71&gt;0,Q71/P71,"")</f>
        <v/>
      </c>
      <c r="W71" s="50" t="n">
        <f aca="false">IF(R71&lt;&gt;"",R71,Q71*'Cài đặt'!$B$12)</f>
        <v>0</v>
      </c>
      <c r="X71" s="50" t="str">
        <f aca="false">IF(O71&gt;0,W71/O71*1000,"")</f>
        <v/>
      </c>
      <c r="Y71" s="51" t="n">
        <f aca="false">IF(T71&lt;&gt;"",T71,INDEX('Cài đặt'!$B$20:$C$22,MATCH(I71,'Cài đặt'!$A$20:$A$22,0),IF(K71="AI tự động",1,2)))</f>
        <v>4</v>
      </c>
    </row>
    <row r="72" customFormat="false" ht="15" hidden="false" customHeight="false" outlineLevel="0" collapsed="false">
      <c r="A72" s="41" t="s">
        <v>517</v>
      </c>
      <c r="B72" s="41" t="s">
        <v>443</v>
      </c>
      <c r="C72" s="41" t="s">
        <v>178</v>
      </c>
      <c r="D72" s="42" t="str">
        <f aca="false">INDEX('Page và Ngách'!$B$5:$B$10,MATCH(C72,'Page và Ngách'!$A$5:$A$10,0))</f>
        <v>Revenge / Betrayal ("you'll regret it")</v>
      </c>
      <c r="E72" s="41" t="n">
        <v>6</v>
      </c>
      <c r="F72" s="43" t="n">
        <f aca="false">'Cài đặt'!$B$37+E72-1</f>
        <v>46340</v>
      </c>
      <c r="G72" s="41" t="s">
        <v>451</v>
      </c>
      <c r="H72" s="44" t="str">
        <f aca="false">IF(G72="S1",'Cài đặt'!$B$7,'Cài đặt'!$B$8)</f>
        <v>20:00</v>
      </c>
      <c r="I72" s="41" t="s">
        <v>115</v>
      </c>
      <c r="J72" s="41" t="s">
        <v>132</v>
      </c>
      <c r="K72" s="41" t="s">
        <v>445</v>
      </c>
      <c r="L72" s="42" t="str">
        <f aca="false">C72&amp;"_"&amp;B72&amp;"_"&amp;IF(I72="Reel","R",IF(I72="Carousel","C","I"))&amp;"_"&amp;J72&amp;"_"&amp;IF(K72="AI tự động","AI","HU")&amp;"_"&amp;RIGHT(A72,3)</f>
        <v>P4_EXP1_R_A_AI_012</v>
      </c>
      <c r="M72" s="45"/>
      <c r="N72" s="45"/>
      <c r="O72" s="46"/>
      <c r="P72" s="46"/>
      <c r="Q72" s="46"/>
      <c r="R72" s="47"/>
      <c r="S72" s="45"/>
      <c r="T72" s="45"/>
      <c r="U72" s="48" t="str">
        <f aca="false">IF(O72&gt;0,P72/O72,"")</f>
        <v/>
      </c>
      <c r="V72" s="49" t="str">
        <f aca="false">IF(P72&gt;0,Q72/P72,"")</f>
        <v/>
      </c>
      <c r="W72" s="50" t="n">
        <f aca="false">IF(R72&lt;&gt;"",R72,Q72*'Cài đặt'!$B$12)</f>
        <v>0</v>
      </c>
      <c r="X72" s="50" t="str">
        <f aca="false">IF(O72&gt;0,W72/O72*1000,"")</f>
        <v/>
      </c>
      <c r="Y72" s="51" t="n">
        <f aca="false">IF(T72&lt;&gt;"",T72,INDEX('Cài đặt'!$B$20:$C$22,MATCH(I72,'Cài đặt'!$A$20:$A$22,0),IF(K72="AI tự động",1,2)))</f>
        <v>8</v>
      </c>
    </row>
    <row r="73" customFormat="false" ht="15" hidden="false" customHeight="false" outlineLevel="0" collapsed="false">
      <c r="A73" s="41" t="s">
        <v>518</v>
      </c>
      <c r="B73" s="41" t="s">
        <v>443</v>
      </c>
      <c r="C73" s="41" t="s">
        <v>185</v>
      </c>
      <c r="D73" s="42" t="str">
        <f aca="false">INDEX('Page và Ngách'!$B$5:$B$10,MATCH(C73,'Page và Ngách'!$A$5:$A$10,0))</f>
        <v>Mafia / Dark romance (teaser PG-13)</v>
      </c>
      <c r="E73" s="41" t="n">
        <v>6</v>
      </c>
      <c r="F73" s="43" t="n">
        <f aca="false">'Cài đặt'!$B$37+E73-1</f>
        <v>46340</v>
      </c>
      <c r="G73" s="41" t="s">
        <v>444</v>
      </c>
      <c r="H73" s="44" t="str">
        <f aca="false">IF(G73="S1",'Cài đặt'!$B$7,'Cài đặt'!$B$8)</f>
        <v>12:00</v>
      </c>
      <c r="I73" s="41" t="s">
        <v>115</v>
      </c>
      <c r="J73" s="41" t="s">
        <v>132</v>
      </c>
      <c r="K73" s="41" t="s">
        <v>445</v>
      </c>
      <c r="L73" s="42" t="str">
        <f aca="false">C73&amp;"_"&amp;B73&amp;"_"&amp;IF(I73="Reel","R",IF(I73="Carousel","C","I"))&amp;"_"&amp;J73&amp;"_"&amp;IF(K73="AI tự động","AI","HU")&amp;"_"&amp;RIGHT(A73,3)</f>
        <v>P5_EXP1_R_A_AI_011</v>
      </c>
      <c r="M73" s="45"/>
      <c r="N73" s="45"/>
      <c r="O73" s="46"/>
      <c r="P73" s="46"/>
      <c r="Q73" s="46"/>
      <c r="R73" s="47"/>
      <c r="S73" s="45"/>
      <c r="T73" s="45"/>
      <c r="U73" s="48" t="str">
        <f aca="false">IF(O73&gt;0,P73/O73,"")</f>
        <v/>
      </c>
      <c r="V73" s="49" t="str">
        <f aca="false">IF(P73&gt;0,Q73/P73,"")</f>
        <v/>
      </c>
      <c r="W73" s="50" t="n">
        <f aca="false">IF(R73&lt;&gt;"",R73,Q73*'Cài đặt'!$B$12)</f>
        <v>0</v>
      </c>
      <c r="X73" s="50" t="str">
        <f aca="false">IF(O73&gt;0,W73/O73*1000,"")</f>
        <v/>
      </c>
      <c r="Y73" s="51" t="n">
        <f aca="false">IF(T73&lt;&gt;"",T73,INDEX('Cài đặt'!$B$20:$C$22,MATCH(I73,'Cài đặt'!$A$20:$A$22,0),IF(K73="AI tự động",1,2)))</f>
        <v>8</v>
      </c>
    </row>
    <row r="74" customFormat="false" ht="15" hidden="false" customHeight="false" outlineLevel="0" collapsed="false">
      <c r="A74" s="41" t="s">
        <v>519</v>
      </c>
      <c r="B74" s="41" t="s">
        <v>443</v>
      </c>
      <c r="C74" s="41" t="s">
        <v>185</v>
      </c>
      <c r="D74" s="42" t="str">
        <f aca="false">INDEX('Page và Ngách'!$B$5:$B$10,MATCH(C74,'Page và Ngách'!$A$5:$A$10,0))</f>
        <v>Mafia / Dark romance (teaser PG-13)</v>
      </c>
      <c r="E74" s="41" t="n">
        <v>6</v>
      </c>
      <c r="F74" s="43" t="n">
        <f aca="false">'Cài đặt'!$B$37+E74-1</f>
        <v>46340</v>
      </c>
      <c r="G74" s="41" t="s">
        <v>451</v>
      </c>
      <c r="H74" s="44" t="str">
        <f aca="false">IF(G74="S1",'Cài đặt'!$B$7,'Cài đặt'!$B$8)</f>
        <v>20:00</v>
      </c>
      <c r="I74" s="41" t="s">
        <v>111</v>
      </c>
      <c r="J74" s="41" t="s">
        <v>132</v>
      </c>
      <c r="K74" s="41" t="s">
        <v>445</v>
      </c>
      <c r="L74" s="42" t="str">
        <f aca="false">C74&amp;"_"&amp;B74&amp;"_"&amp;IF(I74="Reel","R",IF(I74="Carousel","C","I"))&amp;"_"&amp;J74&amp;"_"&amp;IF(K74="AI tự động","AI","HU")&amp;"_"&amp;RIGHT(A74,3)</f>
        <v>P5_EXP1_I_A_AI_012</v>
      </c>
      <c r="M74" s="45"/>
      <c r="N74" s="45"/>
      <c r="O74" s="46"/>
      <c r="P74" s="46"/>
      <c r="Q74" s="46"/>
      <c r="R74" s="47"/>
      <c r="S74" s="45"/>
      <c r="T74" s="45"/>
      <c r="U74" s="48" t="str">
        <f aca="false">IF(O74&gt;0,P74/O74,"")</f>
        <v/>
      </c>
      <c r="V74" s="49" t="str">
        <f aca="false">IF(P74&gt;0,Q74/P74,"")</f>
        <v/>
      </c>
      <c r="W74" s="50" t="n">
        <f aca="false">IF(R74&lt;&gt;"",R74,Q74*'Cài đặt'!$B$12)</f>
        <v>0</v>
      </c>
      <c r="X74" s="50" t="str">
        <f aca="false">IF(O74&gt;0,W74/O74*1000,"")</f>
        <v/>
      </c>
      <c r="Y74" s="51" t="n">
        <f aca="false">IF(T74&lt;&gt;"",T74,INDEX('Cài đặt'!$B$20:$C$22,MATCH(I74,'Cài đặt'!$A$20:$A$22,0),IF(K74="AI tự động",1,2)))</f>
        <v>2</v>
      </c>
    </row>
    <row r="75" customFormat="false" ht="15" hidden="false" customHeight="false" outlineLevel="0" collapsed="false">
      <c r="A75" s="41" t="s">
        <v>520</v>
      </c>
      <c r="B75" s="41" t="s">
        <v>443</v>
      </c>
      <c r="C75" s="41" t="s">
        <v>193</v>
      </c>
      <c r="D75" s="42" t="str">
        <f aca="false">INDEX('Page và Ngách'!$B$5:$B$10,MATCH(C75,'Page và Ngách'!$A$5:$A$10,0))</f>
        <v>Second chance / Secret baby</v>
      </c>
      <c r="E75" s="41" t="n">
        <v>6</v>
      </c>
      <c r="F75" s="43" t="n">
        <f aca="false">'Cài đặt'!$B$37+E75-1</f>
        <v>46340</v>
      </c>
      <c r="G75" s="41" t="s">
        <v>444</v>
      </c>
      <c r="H75" s="44" t="str">
        <f aca="false">IF(G75="S1",'Cài đặt'!$B$7,'Cài đặt'!$B$8)</f>
        <v>12:00</v>
      </c>
      <c r="I75" s="41" t="s">
        <v>111</v>
      </c>
      <c r="J75" s="41" t="s">
        <v>132</v>
      </c>
      <c r="K75" s="41" t="s">
        <v>445</v>
      </c>
      <c r="L75" s="42" t="str">
        <f aca="false">C75&amp;"_"&amp;B75&amp;"_"&amp;IF(I75="Reel","R",IF(I75="Carousel","C","I"))&amp;"_"&amp;J75&amp;"_"&amp;IF(K75="AI tự động","AI","HU")&amp;"_"&amp;RIGHT(A75,3)</f>
        <v>P6_EXP1_I_A_AI_011</v>
      </c>
      <c r="M75" s="45"/>
      <c r="N75" s="45"/>
      <c r="O75" s="46"/>
      <c r="P75" s="46"/>
      <c r="Q75" s="46"/>
      <c r="R75" s="47"/>
      <c r="S75" s="45"/>
      <c r="T75" s="45"/>
      <c r="U75" s="48" t="str">
        <f aca="false">IF(O75&gt;0,P75/O75,"")</f>
        <v/>
      </c>
      <c r="V75" s="49" t="str">
        <f aca="false">IF(P75&gt;0,Q75/P75,"")</f>
        <v/>
      </c>
      <c r="W75" s="50" t="n">
        <f aca="false">IF(R75&lt;&gt;"",R75,Q75*'Cài đặt'!$B$12)</f>
        <v>0</v>
      </c>
      <c r="X75" s="50" t="str">
        <f aca="false">IF(O75&gt;0,W75/O75*1000,"")</f>
        <v/>
      </c>
      <c r="Y75" s="51" t="n">
        <f aca="false">IF(T75&lt;&gt;"",T75,INDEX('Cài đặt'!$B$20:$C$22,MATCH(I75,'Cài đặt'!$A$20:$A$22,0),IF(K75="AI tự động",1,2)))</f>
        <v>2</v>
      </c>
    </row>
    <row r="76" customFormat="false" ht="15" hidden="false" customHeight="false" outlineLevel="0" collapsed="false">
      <c r="A76" s="41" t="s">
        <v>521</v>
      </c>
      <c r="B76" s="41" t="s">
        <v>443</v>
      </c>
      <c r="C76" s="41" t="s">
        <v>193</v>
      </c>
      <c r="D76" s="42" t="str">
        <f aca="false">INDEX('Page và Ngách'!$B$5:$B$10,MATCH(C76,'Page và Ngách'!$A$5:$A$10,0))</f>
        <v>Second chance / Secret baby</v>
      </c>
      <c r="E76" s="41" t="n">
        <v>6</v>
      </c>
      <c r="F76" s="43" t="n">
        <f aca="false">'Cài đặt'!$B$37+E76-1</f>
        <v>46340</v>
      </c>
      <c r="G76" s="41" t="s">
        <v>451</v>
      </c>
      <c r="H76" s="44" t="str">
        <f aca="false">IF(G76="S1",'Cài đặt'!$B$7,'Cài đặt'!$B$8)</f>
        <v>20:00</v>
      </c>
      <c r="I76" s="41" t="s">
        <v>113</v>
      </c>
      <c r="J76" s="41" t="s">
        <v>132</v>
      </c>
      <c r="K76" s="41" t="s">
        <v>445</v>
      </c>
      <c r="L76" s="42" t="str">
        <f aca="false">C76&amp;"_"&amp;B76&amp;"_"&amp;IF(I76="Reel","R",IF(I76="Carousel","C","I"))&amp;"_"&amp;J76&amp;"_"&amp;IF(K76="AI tự động","AI","HU")&amp;"_"&amp;RIGHT(A76,3)</f>
        <v>P6_EXP1_C_A_AI_012</v>
      </c>
      <c r="M76" s="45"/>
      <c r="N76" s="45"/>
      <c r="O76" s="46"/>
      <c r="P76" s="46"/>
      <c r="Q76" s="46"/>
      <c r="R76" s="47"/>
      <c r="S76" s="45"/>
      <c r="T76" s="45"/>
      <c r="U76" s="48" t="str">
        <f aca="false">IF(O76&gt;0,P76/O76,"")</f>
        <v/>
      </c>
      <c r="V76" s="49" t="str">
        <f aca="false">IF(P76&gt;0,Q76/P76,"")</f>
        <v/>
      </c>
      <c r="W76" s="50" t="n">
        <f aca="false">IF(R76&lt;&gt;"",R76,Q76*'Cài đặt'!$B$12)</f>
        <v>0</v>
      </c>
      <c r="X76" s="50" t="str">
        <f aca="false">IF(O76&gt;0,W76/O76*1000,"")</f>
        <v/>
      </c>
      <c r="Y76" s="51" t="n">
        <f aca="false">IF(T76&lt;&gt;"",T76,INDEX('Cài đặt'!$B$20:$C$22,MATCH(I76,'Cài đặt'!$A$20:$A$22,0),IF(K76="AI tự động",1,2)))</f>
        <v>4</v>
      </c>
    </row>
    <row r="77" customFormat="false" ht="15" hidden="false" customHeight="false" outlineLevel="0" collapsed="false">
      <c r="A77" s="41" t="s">
        <v>522</v>
      </c>
      <c r="B77" s="41" t="s">
        <v>443</v>
      </c>
      <c r="C77" s="41" t="s">
        <v>154</v>
      </c>
      <c r="D77" s="42" t="str">
        <f aca="false">INDEX('Page và Ngách'!$B$5:$B$10,MATCH(C77,'Page và Ngách'!$A$5:$A$10,0))</f>
        <v>Werewolf / Rejected mate</v>
      </c>
      <c r="E77" s="41" t="n">
        <v>7</v>
      </c>
      <c r="F77" s="43" t="n">
        <f aca="false">'Cài đặt'!$B$37+E77-1</f>
        <v>46341</v>
      </c>
      <c r="G77" s="41" t="s">
        <v>444</v>
      </c>
      <c r="H77" s="44" t="str">
        <f aca="false">IF(G77="S1",'Cài đặt'!$B$7,'Cài đặt'!$B$8)</f>
        <v>12:00</v>
      </c>
      <c r="I77" s="41" t="s">
        <v>111</v>
      </c>
      <c r="J77" s="41" t="s">
        <v>132</v>
      </c>
      <c r="K77" s="41" t="s">
        <v>445</v>
      </c>
      <c r="L77" s="42" t="str">
        <f aca="false">C77&amp;"_"&amp;B77&amp;"_"&amp;IF(I77="Reel","R",IF(I77="Carousel","C","I"))&amp;"_"&amp;J77&amp;"_"&amp;IF(K77="AI tự động","AI","HU")&amp;"_"&amp;RIGHT(A77,3)</f>
        <v>P1_EXP1_I_A_AI_013</v>
      </c>
      <c r="M77" s="45"/>
      <c r="N77" s="45"/>
      <c r="O77" s="46"/>
      <c r="P77" s="46"/>
      <c r="Q77" s="46"/>
      <c r="R77" s="47"/>
      <c r="S77" s="45"/>
      <c r="T77" s="45"/>
      <c r="U77" s="48" t="str">
        <f aca="false">IF(O77&gt;0,P77/O77,"")</f>
        <v/>
      </c>
      <c r="V77" s="49" t="str">
        <f aca="false">IF(P77&gt;0,Q77/P77,"")</f>
        <v/>
      </c>
      <c r="W77" s="50" t="n">
        <f aca="false">IF(R77&lt;&gt;"",R77,Q77*'Cài đặt'!$B$12)</f>
        <v>0</v>
      </c>
      <c r="X77" s="50" t="str">
        <f aca="false">IF(O77&gt;0,W77/O77*1000,"")</f>
        <v/>
      </c>
      <c r="Y77" s="51" t="n">
        <f aca="false">IF(T77&lt;&gt;"",T77,INDEX('Cài đặt'!$B$20:$C$22,MATCH(I77,'Cài đặt'!$A$20:$A$22,0),IF(K77="AI tự động",1,2)))</f>
        <v>2</v>
      </c>
    </row>
    <row r="78" customFormat="false" ht="15" hidden="false" customHeight="false" outlineLevel="0" collapsed="false">
      <c r="A78" s="41" t="s">
        <v>523</v>
      </c>
      <c r="B78" s="41" t="s">
        <v>443</v>
      </c>
      <c r="C78" s="41" t="s">
        <v>154</v>
      </c>
      <c r="D78" s="42" t="str">
        <f aca="false">INDEX('Page và Ngách'!$B$5:$B$10,MATCH(C78,'Page và Ngách'!$A$5:$A$10,0))</f>
        <v>Werewolf / Rejected mate</v>
      </c>
      <c r="E78" s="41" t="n">
        <v>7</v>
      </c>
      <c r="F78" s="43" t="n">
        <f aca="false">'Cài đặt'!$B$37+E78-1</f>
        <v>46341</v>
      </c>
      <c r="G78" s="41" t="s">
        <v>451</v>
      </c>
      <c r="H78" s="44" t="str">
        <f aca="false">IF(G78="S1",'Cài đặt'!$B$7,'Cài đặt'!$B$8)</f>
        <v>20:00</v>
      </c>
      <c r="I78" s="41" t="s">
        <v>113</v>
      </c>
      <c r="J78" s="41" t="s">
        <v>132</v>
      </c>
      <c r="K78" s="41" t="s">
        <v>445</v>
      </c>
      <c r="L78" s="42" t="str">
        <f aca="false">C78&amp;"_"&amp;B78&amp;"_"&amp;IF(I78="Reel","R",IF(I78="Carousel","C","I"))&amp;"_"&amp;J78&amp;"_"&amp;IF(K78="AI tự động","AI","HU")&amp;"_"&amp;RIGHT(A78,3)</f>
        <v>P1_EXP1_C_A_AI_014</v>
      </c>
      <c r="M78" s="45"/>
      <c r="N78" s="45"/>
      <c r="O78" s="46"/>
      <c r="P78" s="46"/>
      <c r="Q78" s="46"/>
      <c r="R78" s="47"/>
      <c r="S78" s="45"/>
      <c r="T78" s="45"/>
      <c r="U78" s="48" t="str">
        <f aca="false">IF(O78&gt;0,P78/O78,"")</f>
        <v/>
      </c>
      <c r="V78" s="49" t="str">
        <f aca="false">IF(P78&gt;0,Q78/P78,"")</f>
        <v/>
      </c>
      <c r="W78" s="50" t="n">
        <f aca="false">IF(R78&lt;&gt;"",R78,Q78*'Cài đặt'!$B$12)</f>
        <v>0</v>
      </c>
      <c r="X78" s="50" t="str">
        <f aca="false">IF(O78&gt;0,W78/O78*1000,"")</f>
        <v/>
      </c>
      <c r="Y78" s="51" t="n">
        <f aca="false">IF(T78&lt;&gt;"",T78,INDEX('Cài đặt'!$B$20:$C$22,MATCH(I78,'Cài đặt'!$A$20:$A$22,0),IF(K78="AI tự động",1,2)))</f>
        <v>4</v>
      </c>
    </row>
    <row r="79" customFormat="false" ht="15" hidden="false" customHeight="false" outlineLevel="0" collapsed="false">
      <c r="A79" s="41" t="s">
        <v>524</v>
      </c>
      <c r="B79" s="41" t="s">
        <v>443</v>
      </c>
      <c r="C79" s="41" t="s">
        <v>163</v>
      </c>
      <c r="D79" s="42" t="str">
        <f aca="false">INDEX('Page và Ngách'!$B$5:$B$10,MATCH(C79,'Page và Ngách'!$A$5:$A$10,0))</f>
        <v>Secret billionaire / CEO</v>
      </c>
      <c r="E79" s="41" t="n">
        <v>7</v>
      </c>
      <c r="F79" s="43" t="n">
        <f aca="false">'Cài đặt'!$B$37+E79-1</f>
        <v>46341</v>
      </c>
      <c r="G79" s="41" t="s">
        <v>444</v>
      </c>
      <c r="H79" s="44" t="str">
        <f aca="false">IF(G79="S1",'Cài đặt'!$B$7,'Cài đặt'!$B$8)</f>
        <v>12:00</v>
      </c>
      <c r="I79" s="41" t="s">
        <v>113</v>
      </c>
      <c r="J79" s="41" t="s">
        <v>132</v>
      </c>
      <c r="K79" s="41" t="s">
        <v>445</v>
      </c>
      <c r="L79" s="42" t="str">
        <f aca="false">C79&amp;"_"&amp;B79&amp;"_"&amp;IF(I79="Reel","R",IF(I79="Carousel","C","I"))&amp;"_"&amp;J79&amp;"_"&amp;IF(K79="AI tự động","AI","HU")&amp;"_"&amp;RIGHT(A79,3)</f>
        <v>P2_EXP1_C_A_AI_013</v>
      </c>
      <c r="M79" s="45"/>
      <c r="N79" s="45"/>
      <c r="O79" s="46"/>
      <c r="P79" s="46"/>
      <c r="Q79" s="46"/>
      <c r="R79" s="47"/>
      <c r="S79" s="45"/>
      <c r="T79" s="45"/>
      <c r="U79" s="48" t="str">
        <f aca="false">IF(O79&gt;0,P79/O79,"")</f>
        <v/>
      </c>
      <c r="V79" s="49" t="str">
        <f aca="false">IF(P79&gt;0,Q79/P79,"")</f>
        <v/>
      </c>
      <c r="W79" s="50" t="n">
        <f aca="false">IF(R79&lt;&gt;"",R79,Q79*'Cài đặt'!$B$12)</f>
        <v>0</v>
      </c>
      <c r="X79" s="50" t="str">
        <f aca="false">IF(O79&gt;0,W79/O79*1000,"")</f>
        <v/>
      </c>
      <c r="Y79" s="51" t="n">
        <f aca="false">IF(T79&lt;&gt;"",T79,INDEX('Cài đặt'!$B$20:$C$22,MATCH(I79,'Cài đặt'!$A$20:$A$22,0),IF(K79="AI tự động",1,2)))</f>
        <v>4</v>
      </c>
    </row>
    <row r="80" customFormat="false" ht="15" hidden="false" customHeight="false" outlineLevel="0" collapsed="false">
      <c r="A80" s="41" t="s">
        <v>525</v>
      </c>
      <c r="B80" s="41" t="s">
        <v>443</v>
      </c>
      <c r="C80" s="41" t="s">
        <v>163</v>
      </c>
      <c r="D80" s="42" t="str">
        <f aca="false">INDEX('Page và Ngách'!$B$5:$B$10,MATCH(C80,'Page và Ngách'!$A$5:$A$10,0))</f>
        <v>Secret billionaire / CEO</v>
      </c>
      <c r="E80" s="41" t="n">
        <v>7</v>
      </c>
      <c r="F80" s="43" t="n">
        <f aca="false">'Cài đặt'!$B$37+E80-1</f>
        <v>46341</v>
      </c>
      <c r="G80" s="41" t="s">
        <v>451</v>
      </c>
      <c r="H80" s="44" t="str">
        <f aca="false">IF(G80="S1",'Cài đặt'!$B$7,'Cài đặt'!$B$8)</f>
        <v>20:00</v>
      </c>
      <c r="I80" s="41" t="s">
        <v>115</v>
      </c>
      <c r="J80" s="41" t="s">
        <v>132</v>
      </c>
      <c r="K80" s="41" t="s">
        <v>445</v>
      </c>
      <c r="L80" s="42" t="str">
        <f aca="false">C80&amp;"_"&amp;B80&amp;"_"&amp;IF(I80="Reel","R",IF(I80="Carousel","C","I"))&amp;"_"&amp;J80&amp;"_"&amp;IF(K80="AI tự động","AI","HU")&amp;"_"&amp;RIGHT(A80,3)</f>
        <v>P2_EXP1_R_A_AI_014</v>
      </c>
      <c r="M80" s="45"/>
      <c r="N80" s="45"/>
      <c r="O80" s="46"/>
      <c r="P80" s="46"/>
      <c r="Q80" s="46"/>
      <c r="R80" s="47"/>
      <c r="S80" s="45"/>
      <c r="T80" s="45"/>
      <c r="U80" s="48" t="str">
        <f aca="false">IF(O80&gt;0,P80/O80,"")</f>
        <v/>
      </c>
      <c r="V80" s="49" t="str">
        <f aca="false">IF(P80&gt;0,Q80/P80,"")</f>
        <v/>
      </c>
      <c r="W80" s="50" t="n">
        <f aca="false">IF(R80&lt;&gt;"",R80,Q80*'Cài đặt'!$B$12)</f>
        <v>0</v>
      </c>
      <c r="X80" s="50" t="str">
        <f aca="false">IF(O80&gt;0,W80/O80*1000,"")</f>
        <v/>
      </c>
      <c r="Y80" s="51" t="n">
        <f aca="false">IF(T80&lt;&gt;"",T80,INDEX('Cài đặt'!$B$20:$C$22,MATCH(I80,'Cài đặt'!$A$20:$A$22,0),IF(K80="AI tự động",1,2)))</f>
        <v>8</v>
      </c>
    </row>
    <row r="81" customFormat="false" ht="15" hidden="false" customHeight="false" outlineLevel="0" collapsed="false">
      <c r="A81" s="41" t="s">
        <v>526</v>
      </c>
      <c r="B81" s="41" t="s">
        <v>443</v>
      </c>
      <c r="C81" s="41" t="s">
        <v>171</v>
      </c>
      <c r="D81" s="42" t="str">
        <f aca="false">INDEX('Page và Ngách'!$B$5:$B$10,MATCH(C81,'Page và Ngách'!$A$5:$A$10,0))</f>
        <v>Contract marriage / Fake relationship</v>
      </c>
      <c r="E81" s="41" t="n">
        <v>7</v>
      </c>
      <c r="F81" s="43" t="n">
        <f aca="false">'Cài đặt'!$B$37+E81-1</f>
        <v>46341</v>
      </c>
      <c r="G81" s="41" t="s">
        <v>444</v>
      </c>
      <c r="H81" s="44" t="str">
        <f aca="false">IF(G81="S1",'Cài đặt'!$B$7,'Cài đặt'!$B$8)</f>
        <v>12:00</v>
      </c>
      <c r="I81" s="41" t="s">
        <v>115</v>
      </c>
      <c r="J81" s="41" t="s">
        <v>132</v>
      </c>
      <c r="K81" s="41" t="s">
        <v>445</v>
      </c>
      <c r="L81" s="42" t="str">
        <f aca="false">C81&amp;"_"&amp;B81&amp;"_"&amp;IF(I81="Reel","R",IF(I81="Carousel","C","I"))&amp;"_"&amp;J81&amp;"_"&amp;IF(K81="AI tự động","AI","HU")&amp;"_"&amp;RIGHT(A81,3)</f>
        <v>P3_EXP1_R_A_AI_013</v>
      </c>
      <c r="M81" s="45"/>
      <c r="N81" s="45"/>
      <c r="O81" s="46"/>
      <c r="P81" s="46"/>
      <c r="Q81" s="46"/>
      <c r="R81" s="47"/>
      <c r="S81" s="45"/>
      <c r="T81" s="45"/>
      <c r="U81" s="48" t="str">
        <f aca="false">IF(O81&gt;0,P81/O81,"")</f>
        <v/>
      </c>
      <c r="V81" s="49" t="str">
        <f aca="false">IF(P81&gt;0,Q81/P81,"")</f>
        <v/>
      </c>
      <c r="W81" s="50" t="n">
        <f aca="false">IF(R81&lt;&gt;"",R81,Q81*'Cài đặt'!$B$12)</f>
        <v>0</v>
      </c>
      <c r="X81" s="50" t="str">
        <f aca="false">IF(O81&gt;0,W81/O81*1000,"")</f>
        <v/>
      </c>
      <c r="Y81" s="51" t="n">
        <f aca="false">IF(T81&lt;&gt;"",T81,INDEX('Cài đặt'!$B$20:$C$22,MATCH(I81,'Cài đặt'!$A$20:$A$22,0),IF(K81="AI tự động",1,2)))</f>
        <v>8</v>
      </c>
    </row>
    <row r="82" customFormat="false" ht="15" hidden="false" customHeight="false" outlineLevel="0" collapsed="false">
      <c r="A82" s="41" t="s">
        <v>527</v>
      </c>
      <c r="B82" s="41" t="s">
        <v>443</v>
      </c>
      <c r="C82" s="41" t="s">
        <v>171</v>
      </c>
      <c r="D82" s="42" t="str">
        <f aca="false">INDEX('Page và Ngách'!$B$5:$B$10,MATCH(C82,'Page và Ngách'!$A$5:$A$10,0))</f>
        <v>Contract marriage / Fake relationship</v>
      </c>
      <c r="E82" s="41" t="n">
        <v>7</v>
      </c>
      <c r="F82" s="43" t="n">
        <f aca="false">'Cài đặt'!$B$37+E82-1</f>
        <v>46341</v>
      </c>
      <c r="G82" s="41" t="s">
        <v>451</v>
      </c>
      <c r="H82" s="44" t="str">
        <f aca="false">IF(G82="S1",'Cài đặt'!$B$7,'Cài đặt'!$B$8)</f>
        <v>20:00</v>
      </c>
      <c r="I82" s="41" t="s">
        <v>111</v>
      </c>
      <c r="J82" s="41" t="s">
        <v>132</v>
      </c>
      <c r="K82" s="41" t="s">
        <v>445</v>
      </c>
      <c r="L82" s="42" t="str">
        <f aca="false">C82&amp;"_"&amp;B82&amp;"_"&amp;IF(I82="Reel","R",IF(I82="Carousel","C","I"))&amp;"_"&amp;J82&amp;"_"&amp;IF(K82="AI tự động","AI","HU")&amp;"_"&amp;RIGHT(A82,3)</f>
        <v>P3_EXP1_I_A_AI_014</v>
      </c>
      <c r="M82" s="45"/>
      <c r="N82" s="45"/>
      <c r="O82" s="46"/>
      <c r="P82" s="46"/>
      <c r="Q82" s="46"/>
      <c r="R82" s="47"/>
      <c r="S82" s="45"/>
      <c r="T82" s="45"/>
      <c r="U82" s="48" t="str">
        <f aca="false">IF(O82&gt;0,P82/O82,"")</f>
        <v/>
      </c>
      <c r="V82" s="49" t="str">
        <f aca="false">IF(P82&gt;0,Q82/P82,"")</f>
        <v/>
      </c>
      <c r="W82" s="50" t="n">
        <f aca="false">IF(R82&lt;&gt;"",R82,Q82*'Cài đặt'!$B$12)</f>
        <v>0</v>
      </c>
      <c r="X82" s="50" t="str">
        <f aca="false">IF(O82&gt;0,W82/O82*1000,"")</f>
        <v/>
      </c>
      <c r="Y82" s="51" t="n">
        <f aca="false">IF(T82&lt;&gt;"",T82,INDEX('Cài đặt'!$B$20:$C$22,MATCH(I82,'Cài đặt'!$A$20:$A$22,0),IF(K82="AI tự động",1,2)))</f>
        <v>2</v>
      </c>
    </row>
    <row r="83" customFormat="false" ht="15" hidden="false" customHeight="false" outlineLevel="0" collapsed="false">
      <c r="A83" s="41" t="s">
        <v>528</v>
      </c>
      <c r="B83" s="41" t="s">
        <v>443</v>
      </c>
      <c r="C83" s="41" t="s">
        <v>178</v>
      </c>
      <c r="D83" s="42" t="str">
        <f aca="false">INDEX('Page và Ngách'!$B$5:$B$10,MATCH(C83,'Page và Ngách'!$A$5:$A$10,0))</f>
        <v>Revenge / Betrayal ("you'll regret it")</v>
      </c>
      <c r="E83" s="41" t="n">
        <v>7</v>
      </c>
      <c r="F83" s="43" t="n">
        <f aca="false">'Cài đặt'!$B$37+E83-1</f>
        <v>46341</v>
      </c>
      <c r="G83" s="41" t="s">
        <v>444</v>
      </c>
      <c r="H83" s="44" t="str">
        <f aca="false">IF(G83="S1",'Cài đặt'!$B$7,'Cài đặt'!$B$8)</f>
        <v>12:00</v>
      </c>
      <c r="I83" s="41" t="s">
        <v>111</v>
      </c>
      <c r="J83" s="41" t="s">
        <v>132</v>
      </c>
      <c r="K83" s="41" t="s">
        <v>445</v>
      </c>
      <c r="L83" s="42" t="str">
        <f aca="false">C83&amp;"_"&amp;B83&amp;"_"&amp;IF(I83="Reel","R",IF(I83="Carousel","C","I"))&amp;"_"&amp;J83&amp;"_"&amp;IF(K83="AI tự động","AI","HU")&amp;"_"&amp;RIGHT(A83,3)</f>
        <v>P4_EXP1_I_A_AI_013</v>
      </c>
      <c r="M83" s="45"/>
      <c r="N83" s="45"/>
      <c r="O83" s="46"/>
      <c r="P83" s="46"/>
      <c r="Q83" s="46"/>
      <c r="R83" s="47"/>
      <c r="S83" s="45"/>
      <c r="T83" s="45"/>
      <c r="U83" s="48" t="str">
        <f aca="false">IF(O83&gt;0,P83/O83,"")</f>
        <v/>
      </c>
      <c r="V83" s="49" t="str">
        <f aca="false">IF(P83&gt;0,Q83/P83,"")</f>
        <v/>
      </c>
      <c r="W83" s="50" t="n">
        <f aca="false">IF(R83&lt;&gt;"",R83,Q83*'Cài đặt'!$B$12)</f>
        <v>0</v>
      </c>
      <c r="X83" s="50" t="str">
        <f aca="false">IF(O83&gt;0,W83/O83*1000,"")</f>
        <v/>
      </c>
      <c r="Y83" s="51" t="n">
        <f aca="false">IF(T83&lt;&gt;"",T83,INDEX('Cài đặt'!$B$20:$C$22,MATCH(I83,'Cài đặt'!$A$20:$A$22,0),IF(K83="AI tự động",1,2)))</f>
        <v>2</v>
      </c>
    </row>
    <row r="84" customFormat="false" ht="15" hidden="false" customHeight="false" outlineLevel="0" collapsed="false">
      <c r="A84" s="41" t="s">
        <v>529</v>
      </c>
      <c r="B84" s="41" t="s">
        <v>443</v>
      </c>
      <c r="C84" s="41" t="s">
        <v>178</v>
      </c>
      <c r="D84" s="42" t="str">
        <f aca="false">INDEX('Page và Ngách'!$B$5:$B$10,MATCH(C84,'Page và Ngách'!$A$5:$A$10,0))</f>
        <v>Revenge / Betrayal ("you'll regret it")</v>
      </c>
      <c r="E84" s="41" t="n">
        <v>7</v>
      </c>
      <c r="F84" s="43" t="n">
        <f aca="false">'Cài đặt'!$B$37+E84-1</f>
        <v>46341</v>
      </c>
      <c r="G84" s="41" t="s">
        <v>451</v>
      </c>
      <c r="H84" s="44" t="str">
        <f aca="false">IF(G84="S1",'Cài đặt'!$B$7,'Cài đặt'!$B$8)</f>
        <v>20:00</v>
      </c>
      <c r="I84" s="41" t="s">
        <v>113</v>
      </c>
      <c r="J84" s="41" t="s">
        <v>132</v>
      </c>
      <c r="K84" s="41" t="s">
        <v>445</v>
      </c>
      <c r="L84" s="42" t="str">
        <f aca="false">C84&amp;"_"&amp;B84&amp;"_"&amp;IF(I84="Reel","R",IF(I84="Carousel","C","I"))&amp;"_"&amp;J84&amp;"_"&amp;IF(K84="AI tự động","AI","HU")&amp;"_"&amp;RIGHT(A84,3)</f>
        <v>P4_EXP1_C_A_AI_014</v>
      </c>
      <c r="M84" s="45"/>
      <c r="N84" s="45"/>
      <c r="O84" s="46"/>
      <c r="P84" s="46"/>
      <c r="Q84" s="46"/>
      <c r="R84" s="47"/>
      <c r="S84" s="45"/>
      <c r="T84" s="45"/>
      <c r="U84" s="48" t="str">
        <f aca="false">IF(O84&gt;0,P84/O84,"")</f>
        <v/>
      </c>
      <c r="V84" s="49" t="str">
        <f aca="false">IF(P84&gt;0,Q84/P84,"")</f>
        <v/>
      </c>
      <c r="W84" s="50" t="n">
        <f aca="false">IF(R84&lt;&gt;"",R84,Q84*'Cài đặt'!$B$12)</f>
        <v>0</v>
      </c>
      <c r="X84" s="50" t="str">
        <f aca="false">IF(O84&gt;0,W84/O84*1000,"")</f>
        <v/>
      </c>
      <c r="Y84" s="51" t="n">
        <f aca="false">IF(T84&lt;&gt;"",T84,INDEX('Cài đặt'!$B$20:$C$22,MATCH(I84,'Cài đặt'!$A$20:$A$22,0),IF(K84="AI tự động",1,2)))</f>
        <v>4</v>
      </c>
    </row>
    <row r="85" customFormat="false" ht="15" hidden="false" customHeight="false" outlineLevel="0" collapsed="false">
      <c r="A85" s="41" t="s">
        <v>530</v>
      </c>
      <c r="B85" s="41" t="s">
        <v>443</v>
      </c>
      <c r="C85" s="41" t="s">
        <v>185</v>
      </c>
      <c r="D85" s="42" t="str">
        <f aca="false">INDEX('Page và Ngách'!$B$5:$B$10,MATCH(C85,'Page và Ngách'!$A$5:$A$10,0))</f>
        <v>Mafia / Dark romance (teaser PG-13)</v>
      </c>
      <c r="E85" s="41" t="n">
        <v>7</v>
      </c>
      <c r="F85" s="43" t="n">
        <f aca="false">'Cài đặt'!$B$37+E85-1</f>
        <v>46341</v>
      </c>
      <c r="G85" s="41" t="s">
        <v>444</v>
      </c>
      <c r="H85" s="44" t="str">
        <f aca="false">IF(G85="S1",'Cài đặt'!$B$7,'Cài đặt'!$B$8)</f>
        <v>12:00</v>
      </c>
      <c r="I85" s="41" t="s">
        <v>113</v>
      </c>
      <c r="J85" s="41" t="s">
        <v>132</v>
      </c>
      <c r="K85" s="41" t="s">
        <v>445</v>
      </c>
      <c r="L85" s="42" t="str">
        <f aca="false">C85&amp;"_"&amp;B85&amp;"_"&amp;IF(I85="Reel","R",IF(I85="Carousel","C","I"))&amp;"_"&amp;J85&amp;"_"&amp;IF(K85="AI tự động","AI","HU")&amp;"_"&amp;RIGHT(A85,3)</f>
        <v>P5_EXP1_C_A_AI_013</v>
      </c>
      <c r="M85" s="45"/>
      <c r="N85" s="45"/>
      <c r="O85" s="46"/>
      <c r="P85" s="46"/>
      <c r="Q85" s="46"/>
      <c r="R85" s="47"/>
      <c r="S85" s="45"/>
      <c r="T85" s="45"/>
      <c r="U85" s="48" t="str">
        <f aca="false">IF(O85&gt;0,P85/O85,"")</f>
        <v/>
      </c>
      <c r="V85" s="49" t="str">
        <f aca="false">IF(P85&gt;0,Q85/P85,"")</f>
        <v/>
      </c>
      <c r="W85" s="50" t="n">
        <f aca="false">IF(R85&lt;&gt;"",R85,Q85*'Cài đặt'!$B$12)</f>
        <v>0</v>
      </c>
      <c r="X85" s="50" t="str">
        <f aca="false">IF(O85&gt;0,W85/O85*1000,"")</f>
        <v/>
      </c>
      <c r="Y85" s="51" t="n">
        <f aca="false">IF(T85&lt;&gt;"",T85,INDEX('Cài đặt'!$B$20:$C$22,MATCH(I85,'Cài đặt'!$A$20:$A$22,0),IF(K85="AI tự động",1,2)))</f>
        <v>4</v>
      </c>
    </row>
    <row r="86" customFormat="false" ht="15" hidden="false" customHeight="false" outlineLevel="0" collapsed="false">
      <c r="A86" s="41" t="s">
        <v>531</v>
      </c>
      <c r="B86" s="41" t="s">
        <v>443</v>
      </c>
      <c r="C86" s="41" t="s">
        <v>185</v>
      </c>
      <c r="D86" s="42" t="str">
        <f aca="false">INDEX('Page và Ngách'!$B$5:$B$10,MATCH(C86,'Page và Ngách'!$A$5:$A$10,0))</f>
        <v>Mafia / Dark romance (teaser PG-13)</v>
      </c>
      <c r="E86" s="41" t="n">
        <v>7</v>
      </c>
      <c r="F86" s="43" t="n">
        <f aca="false">'Cài đặt'!$B$37+E86-1</f>
        <v>46341</v>
      </c>
      <c r="G86" s="41" t="s">
        <v>451</v>
      </c>
      <c r="H86" s="44" t="str">
        <f aca="false">IF(G86="S1",'Cài đặt'!$B$7,'Cài đặt'!$B$8)</f>
        <v>20:00</v>
      </c>
      <c r="I86" s="41" t="s">
        <v>115</v>
      </c>
      <c r="J86" s="41" t="s">
        <v>132</v>
      </c>
      <c r="K86" s="41" t="s">
        <v>445</v>
      </c>
      <c r="L86" s="42" t="str">
        <f aca="false">C86&amp;"_"&amp;B86&amp;"_"&amp;IF(I86="Reel","R",IF(I86="Carousel","C","I"))&amp;"_"&amp;J86&amp;"_"&amp;IF(K86="AI tự động","AI","HU")&amp;"_"&amp;RIGHT(A86,3)</f>
        <v>P5_EXP1_R_A_AI_014</v>
      </c>
      <c r="M86" s="45"/>
      <c r="N86" s="45"/>
      <c r="O86" s="46"/>
      <c r="P86" s="46"/>
      <c r="Q86" s="46"/>
      <c r="R86" s="47"/>
      <c r="S86" s="45"/>
      <c r="T86" s="45"/>
      <c r="U86" s="48" t="str">
        <f aca="false">IF(O86&gt;0,P86/O86,"")</f>
        <v/>
      </c>
      <c r="V86" s="49" t="str">
        <f aca="false">IF(P86&gt;0,Q86/P86,"")</f>
        <v/>
      </c>
      <c r="W86" s="50" t="n">
        <f aca="false">IF(R86&lt;&gt;"",R86,Q86*'Cài đặt'!$B$12)</f>
        <v>0</v>
      </c>
      <c r="X86" s="50" t="str">
        <f aca="false">IF(O86&gt;0,W86/O86*1000,"")</f>
        <v/>
      </c>
      <c r="Y86" s="51" t="n">
        <f aca="false">IF(T86&lt;&gt;"",T86,INDEX('Cài đặt'!$B$20:$C$22,MATCH(I86,'Cài đặt'!$A$20:$A$22,0),IF(K86="AI tự động",1,2)))</f>
        <v>8</v>
      </c>
    </row>
    <row r="87" customFormat="false" ht="15" hidden="false" customHeight="false" outlineLevel="0" collapsed="false">
      <c r="A87" s="41" t="s">
        <v>532</v>
      </c>
      <c r="B87" s="41" t="s">
        <v>443</v>
      </c>
      <c r="C87" s="41" t="s">
        <v>193</v>
      </c>
      <c r="D87" s="42" t="str">
        <f aca="false">INDEX('Page và Ngách'!$B$5:$B$10,MATCH(C87,'Page và Ngách'!$A$5:$A$10,0))</f>
        <v>Second chance / Secret baby</v>
      </c>
      <c r="E87" s="41" t="n">
        <v>7</v>
      </c>
      <c r="F87" s="43" t="n">
        <f aca="false">'Cài đặt'!$B$37+E87-1</f>
        <v>46341</v>
      </c>
      <c r="G87" s="41" t="s">
        <v>444</v>
      </c>
      <c r="H87" s="44" t="str">
        <f aca="false">IF(G87="S1",'Cài đặt'!$B$7,'Cài đặt'!$B$8)</f>
        <v>12:00</v>
      </c>
      <c r="I87" s="41" t="s">
        <v>115</v>
      </c>
      <c r="J87" s="41" t="s">
        <v>132</v>
      </c>
      <c r="K87" s="41" t="s">
        <v>445</v>
      </c>
      <c r="L87" s="42" t="str">
        <f aca="false">C87&amp;"_"&amp;B87&amp;"_"&amp;IF(I87="Reel","R",IF(I87="Carousel","C","I"))&amp;"_"&amp;J87&amp;"_"&amp;IF(K87="AI tự động","AI","HU")&amp;"_"&amp;RIGHT(A87,3)</f>
        <v>P6_EXP1_R_A_AI_013</v>
      </c>
      <c r="M87" s="45"/>
      <c r="N87" s="45"/>
      <c r="O87" s="46"/>
      <c r="P87" s="46"/>
      <c r="Q87" s="46"/>
      <c r="R87" s="47"/>
      <c r="S87" s="45"/>
      <c r="T87" s="45"/>
      <c r="U87" s="48" t="str">
        <f aca="false">IF(O87&gt;0,P87/O87,"")</f>
        <v/>
      </c>
      <c r="V87" s="49" t="str">
        <f aca="false">IF(P87&gt;0,Q87/P87,"")</f>
        <v/>
      </c>
      <c r="W87" s="50" t="n">
        <f aca="false">IF(R87&lt;&gt;"",R87,Q87*'Cài đặt'!$B$12)</f>
        <v>0</v>
      </c>
      <c r="X87" s="50" t="str">
        <f aca="false">IF(O87&gt;0,W87/O87*1000,"")</f>
        <v/>
      </c>
      <c r="Y87" s="51" t="n">
        <f aca="false">IF(T87&lt;&gt;"",T87,INDEX('Cài đặt'!$B$20:$C$22,MATCH(I87,'Cài đặt'!$A$20:$A$22,0),IF(K87="AI tự động",1,2)))</f>
        <v>8</v>
      </c>
    </row>
    <row r="88" customFormat="false" ht="15" hidden="false" customHeight="false" outlineLevel="0" collapsed="false">
      <c r="A88" s="41" t="s">
        <v>533</v>
      </c>
      <c r="B88" s="41" t="s">
        <v>443</v>
      </c>
      <c r="C88" s="41" t="s">
        <v>193</v>
      </c>
      <c r="D88" s="42" t="str">
        <f aca="false">INDEX('Page và Ngách'!$B$5:$B$10,MATCH(C88,'Page và Ngách'!$A$5:$A$10,0))</f>
        <v>Second chance / Secret baby</v>
      </c>
      <c r="E88" s="41" t="n">
        <v>7</v>
      </c>
      <c r="F88" s="43" t="n">
        <f aca="false">'Cài đặt'!$B$37+E88-1</f>
        <v>46341</v>
      </c>
      <c r="G88" s="41" t="s">
        <v>451</v>
      </c>
      <c r="H88" s="44" t="str">
        <f aca="false">IF(G88="S1",'Cài đặt'!$B$7,'Cài đặt'!$B$8)</f>
        <v>20:00</v>
      </c>
      <c r="I88" s="41" t="s">
        <v>111</v>
      </c>
      <c r="J88" s="41" t="s">
        <v>132</v>
      </c>
      <c r="K88" s="41" t="s">
        <v>445</v>
      </c>
      <c r="L88" s="42" t="str">
        <f aca="false">C88&amp;"_"&amp;B88&amp;"_"&amp;IF(I88="Reel","R",IF(I88="Carousel","C","I"))&amp;"_"&amp;J88&amp;"_"&amp;IF(K88="AI tự động","AI","HU")&amp;"_"&amp;RIGHT(A88,3)</f>
        <v>P6_EXP1_I_A_AI_014</v>
      </c>
      <c r="M88" s="45"/>
      <c r="N88" s="45"/>
      <c r="O88" s="46"/>
      <c r="P88" s="46"/>
      <c r="Q88" s="46"/>
      <c r="R88" s="47"/>
      <c r="S88" s="45"/>
      <c r="T88" s="45"/>
      <c r="U88" s="48" t="str">
        <f aca="false">IF(O88&gt;0,P88/O88,"")</f>
        <v/>
      </c>
      <c r="V88" s="49" t="str">
        <f aca="false">IF(P88&gt;0,Q88/P88,"")</f>
        <v/>
      </c>
      <c r="W88" s="50" t="n">
        <f aca="false">IF(R88&lt;&gt;"",R88,Q88*'Cài đặt'!$B$12)</f>
        <v>0</v>
      </c>
      <c r="X88" s="50" t="str">
        <f aca="false">IF(O88&gt;0,W88/O88*1000,"")</f>
        <v/>
      </c>
      <c r="Y88" s="51" t="n">
        <f aca="false">IF(T88&lt;&gt;"",T88,INDEX('Cài đặt'!$B$20:$C$22,MATCH(I88,'Cài đặt'!$A$20:$A$22,0),IF(K88="AI tự động",1,2)))</f>
        <v>2</v>
      </c>
    </row>
    <row r="89" customFormat="false" ht="15" hidden="false" customHeight="false" outlineLevel="0" collapsed="false">
      <c r="A89" s="41" t="s">
        <v>534</v>
      </c>
      <c r="B89" s="41" t="s">
        <v>443</v>
      </c>
      <c r="C89" s="41" t="s">
        <v>154</v>
      </c>
      <c r="D89" s="42" t="str">
        <f aca="false">INDEX('Page và Ngách'!$B$5:$B$10,MATCH(C89,'Page và Ngách'!$A$5:$A$10,0))</f>
        <v>Werewolf / Rejected mate</v>
      </c>
      <c r="E89" s="41" t="n">
        <v>8</v>
      </c>
      <c r="F89" s="43" t="n">
        <f aca="false">'Cài đặt'!$B$37+E89-1</f>
        <v>46342</v>
      </c>
      <c r="G89" s="41" t="s">
        <v>444</v>
      </c>
      <c r="H89" s="44" t="str">
        <f aca="false">IF(G89="S1",'Cài đặt'!$B$7,'Cài đặt'!$B$8)</f>
        <v>12:00</v>
      </c>
      <c r="I89" s="41" t="s">
        <v>115</v>
      </c>
      <c r="J89" s="41" t="s">
        <v>132</v>
      </c>
      <c r="K89" s="41" t="s">
        <v>445</v>
      </c>
      <c r="L89" s="42" t="str">
        <f aca="false">C89&amp;"_"&amp;B89&amp;"_"&amp;IF(I89="Reel","R",IF(I89="Carousel","C","I"))&amp;"_"&amp;J89&amp;"_"&amp;IF(K89="AI tự động","AI","HU")&amp;"_"&amp;RIGHT(A89,3)</f>
        <v>P1_EXP1_R_A_AI_015</v>
      </c>
      <c r="M89" s="45"/>
      <c r="N89" s="45"/>
      <c r="O89" s="46"/>
      <c r="P89" s="46"/>
      <c r="Q89" s="46"/>
      <c r="R89" s="47"/>
      <c r="S89" s="45"/>
      <c r="T89" s="45"/>
      <c r="U89" s="48" t="str">
        <f aca="false">IF(O89&gt;0,P89/O89,"")</f>
        <v/>
      </c>
      <c r="V89" s="49" t="str">
        <f aca="false">IF(P89&gt;0,Q89/P89,"")</f>
        <v/>
      </c>
      <c r="W89" s="50" t="n">
        <f aca="false">IF(R89&lt;&gt;"",R89,Q89*'Cài đặt'!$B$12)</f>
        <v>0</v>
      </c>
      <c r="X89" s="50" t="str">
        <f aca="false">IF(O89&gt;0,W89/O89*1000,"")</f>
        <v/>
      </c>
      <c r="Y89" s="51" t="n">
        <f aca="false">IF(T89&lt;&gt;"",T89,INDEX('Cài đặt'!$B$20:$C$22,MATCH(I89,'Cài đặt'!$A$20:$A$22,0),IF(K89="AI tự động",1,2)))</f>
        <v>8</v>
      </c>
    </row>
    <row r="90" customFormat="false" ht="15" hidden="false" customHeight="false" outlineLevel="0" collapsed="false">
      <c r="A90" s="41" t="s">
        <v>535</v>
      </c>
      <c r="B90" s="41" t="s">
        <v>443</v>
      </c>
      <c r="C90" s="41" t="s">
        <v>154</v>
      </c>
      <c r="D90" s="42" t="str">
        <f aca="false">INDEX('Page và Ngách'!$B$5:$B$10,MATCH(C90,'Page và Ngách'!$A$5:$A$10,0))</f>
        <v>Werewolf / Rejected mate</v>
      </c>
      <c r="E90" s="41" t="n">
        <v>8</v>
      </c>
      <c r="F90" s="43" t="n">
        <f aca="false">'Cài đặt'!$B$37+E90-1</f>
        <v>46342</v>
      </c>
      <c r="G90" s="41" t="s">
        <v>451</v>
      </c>
      <c r="H90" s="44" t="str">
        <f aca="false">IF(G90="S1",'Cài đặt'!$B$7,'Cài đặt'!$B$8)</f>
        <v>20:00</v>
      </c>
      <c r="I90" s="41" t="s">
        <v>111</v>
      </c>
      <c r="J90" s="41" t="s">
        <v>132</v>
      </c>
      <c r="K90" s="41" t="s">
        <v>445</v>
      </c>
      <c r="L90" s="42" t="str">
        <f aca="false">C90&amp;"_"&amp;B90&amp;"_"&amp;IF(I90="Reel","R",IF(I90="Carousel","C","I"))&amp;"_"&amp;J90&amp;"_"&amp;IF(K90="AI tự động","AI","HU")&amp;"_"&amp;RIGHT(A90,3)</f>
        <v>P1_EXP1_I_A_AI_016</v>
      </c>
      <c r="M90" s="45"/>
      <c r="N90" s="45"/>
      <c r="O90" s="46"/>
      <c r="P90" s="46"/>
      <c r="Q90" s="46"/>
      <c r="R90" s="47"/>
      <c r="S90" s="45"/>
      <c r="T90" s="45"/>
      <c r="U90" s="48" t="str">
        <f aca="false">IF(O90&gt;0,P90/O90,"")</f>
        <v/>
      </c>
      <c r="V90" s="49" t="str">
        <f aca="false">IF(P90&gt;0,Q90/P90,"")</f>
        <v/>
      </c>
      <c r="W90" s="50" t="n">
        <f aca="false">IF(R90&lt;&gt;"",R90,Q90*'Cài đặt'!$B$12)</f>
        <v>0</v>
      </c>
      <c r="X90" s="50" t="str">
        <f aca="false">IF(O90&gt;0,W90/O90*1000,"")</f>
        <v/>
      </c>
      <c r="Y90" s="51" t="n">
        <f aca="false">IF(T90&lt;&gt;"",T90,INDEX('Cài đặt'!$B$20:$C$22,MATCH(I90,'Cài đặt'!$A$20:$A$22,0),IF(K90="AI tự động",1,2)))</f>
        <v>2</v>
      </c>
    </row>
    <row r="91" customFormat="false" ht="15" hidden="false" customHeight="false" outlineLevel="0" collapsed="false">
      <c r="A91" s="41" t="s">
        <v>536</v>
      </c>
      <c r="B91" s="41" t="s">
        <v>443</v>
      </c>
      <c r="C91" s="41" t="s">
        <v>163</v>
      </c>
      <c r="D91" s="42" t="str">
        <f aca="false">INDEX('Page và Ngách'!$B$5:$B$10,MATCH(C91,'Page và Ngách'!$A$5:$A$10,0))</f>
        <v>Secret billionaire / CEO</v>
      </c>
      <c r="E91" s="41" t="n">
        <v>8</v>
      </c>
      <c r="F91" s="43" t="n">
        <f aca="false">'Cài đặt'!$B$37+E91-1</f>
        <v>46342</v>
      </c>
      <c r="G91" s="41" t="s">
        <v>444</v>
      </c>
      <c r="H91" s="44" t="str">
        <f aca="false">IF(G91="S1",'Cài đặt'!$B$7,'Cài đặt'!$B$8)</f>
        <v>12:00</v>
      </c>
      <c r="I91" s="41" t="s">
        <v>111</v>
      </c>
      <c r="J91" s="41" t="s">
        <v>132</v>
      </c>
      <c r="K91" s="41" t="s">
        <v>445</v>
      </c>
      <c r="L91" s="42" t="str">
        <f aca="false">C91&amp;"_"&amp;B91&amp;"_"&amp;IF(I91="Reel","R",IF(I91="Carousel","C","I"))&amp;"_"&amp;J91&amp;"_"&amp;IF(K91="AI tự động","AI","HU")&amp;"_"&amp;RIGHT(A91,3)</f>
        <v>P2_EXP1_I_A_AI_015</v>
      </c>
      <c r="M91" s="45"/>
      <c r="N91" s="45"/>
      <c r="O91" s="46"/>
      <c r="P91" s="46"/>
      <c r="Q91" s="46"/>
      <c r="R91" s="47"/>
      <c r="S91" s="45"/>
      <c r="T91" s="45"/>
      <c r="U91" s="48" t="str">
        <f aca="false">IF(O91&gt;0,P91/O91,"")</f>
        <v/>
      </c>
      <c r="V91" s="49" t="str">
        <f aca="false">IF(P91&gt;0,Q91/P91,"")</f>
        <v/>
      </c>
      <c r="W91" s="50" t="n">
        <f aca="false">IF(R91&lt;&gt;"",R91,Q91*'Cài đặt'!$B$12)</f>
        <v>0</v>
      </c>
      <c r="X91" s="50" t="str">
        <f aca="false">IF(O91&gt;0,W91/O91*1000,"")</f>
        <v/>
      </c>
      <c r="Y91" s="51" t="n">
        <f aca="false">IF(T91&lt;&gt;"",T91,INDEX('Cài đặt'!$B$20:$C$22,MATCH(I91,'Cài đặt'!$A$20:$A$22,0),IF(K91="AI tự động",1,2)))</f>
        <v>2</v>
      </c>
    </row>
    <row r="92" customFormat="false" ht="15" hidden="false" customHeight="false" outlineLevel="0" collapsed="false">
      <c r="A92" s="41" t="s">
        <v>537</v>
      </c>
      <c r="B92" s="41" t="s">
        <v>443</v>
      </c>
      <c r="C92" s="41" t="s">
        <v>163</v>
      </c>
      <c r="D92" s="42" t="str">
        <f aca="false">INDEX('Page và Ngách'!$B$5:$B$10,MATCH(C92,'Page và Ngách'!$A$5:$A$10,0))</f>
        <v>Secret billionaire / CEO</v>
      </c>
      <c r="E92" s="41" t="n">
        <v>8</v>
      </c>
      <c r="F92" s="43" t="n">
        <f aca="false">'Cài đặt'!$B$37+E92-1</f>
        <v>46342</v>
      </c>
      <c r="G92" s="41" t="s">
        <v>451</v>
      </c>
      <c r="H92" s="44" t="str">
        <f aca="false">IF(G92="S1",'Cài đặt'!$B$7,'Cài đặt'!$B$8)</f>
        <v>20:00</v>
      </c>
      <c r="I92" s="41" t="s">
        <v>113</v>
      </c>
      <c r="J92" s="41" t="s">
        <v>132</v>
      </c>
      <c r="K92" s="41" t="s">
        <v>445</v>
      </c>
      <c r="L92" s="42" t="str">
        <f aca="false">C92&amp;"_"&amp;B92&amp;"_"&amp;IF(I92="Reel","R",IF(I92="Carousel","C","I"))&amp;"_"&amp;J92&amp;"_"&amp;IF(K92="AI tự động","AI","HU")&amp;"_"&amp;RIGHT(A92,3)</f>
        <v>P2_EXP1_C_A_AI_016</v>
      </c>
      <c r="M92" s="45"/>
      <c r="N92" s="45"/>
      <c r="O92" s="46"/>
      <c r="P92" s="46"/>
      <c r="Q92" s="46"/>
      <c r="R92" s="47"/>
      <c r="S92" s="45"/>
      <c r="T92" s="45"/>
      <c r="U92" s="48" t="str">
        <f aca="false">IF(O92&gt;0,P92/O92,"")</f>
        <v/>
      </c>
      <c r="V92" s="49" t="str">
        <f aca="false">IF(P92&gt;0,Q92/P92,"")</f>
        <v/>
      </c>
      <c r="W92" s="50" t="n">
        <f aca="false">IF(R92&lt;&gt;"",R92,Q92*'Cài đặt'!$B$12)</f>
        <v>0</v>
      </c>
      <c r="X92" s="50" t="str">
        <f aca="false">IF(O92&gt;0,W92/O92*1000,"")</f>
        <v/>
      </c>
      <c r="Y92" s="51" t="n">
        <f aca="false">IF(T92&lt;&gt;"",T92,INDEX('Cài đặt'!$B$20:$C$22,MATCH(I92,'Cài đặt'!$A$20:$A$22,0),IF(K92="AI tự động",1,2)))</f>
        <v>4</v>
      </c>
    </row>
    <row r="93" customFormat="false" ht="15" hidden="false" customHeight="false" outlineLevel="0" collapsed="false">
      <c r="A93" s="41" t="s">
        <v>538</v>
      </c>
      <c r="B93" s="41" t="s">
        <v>443</v>
      </c>
      <c r="C93" s="41" t="s">
        <v>171</v>
      </c>
      <c r="D93" s="42" t="str">
        <f aca="false">INDEX('Page và Ngách'!$B$5:$B$10,MATCH(C93,'Page và Ngách'!$A$5:$A$10,0))</f>
        <v>Contract marriage / Fake relationship</v>
      </c>
      <c r="E93" s="41" t="n">
        <v>8</v>
      </c>
      <c r="F93" s="43" t="n">
        <f aca="false">'Cài đặt'!$B$37+E93-1</f>
        <v>46342</v>
      </c>
      <c r="G93" s="41" t="s">
        <v>444</v>
      </c>
      <c r="H93" s="44" t="str">
        <f aca="false">IF(G93="S1",'Cài đặt'!$B$7,'Cài đặt'!$B$8)</f>
        <v>12:00</v>
      </c>
      <c r="I93" s="41" t="s">
        <v>113</v>
      </c>
      <c r="J93" s="41" t="s">
        <v>132</v>
      </c>
      <c r="K93" s="41" t="s">
        <v>445</v>
      </c>
      <c r="L93" s="42" t="str">
        <f aca="false">C93&amp;"_"&amp;B93&amp;"_"&amp;IF(I93="Reel","R",IF(I93="Carousel","C","I"))&amp;"_"&amp;J93&amp;"_"&amp;IF(K93="AI tự động","AI","HU")&amp;"_"&amp;RIGHT(A93,3)</f>
        <v>P3_EXP1_C_A_AI_015</v>
      </c>
      <c r="M93" s="45"/>
      <c r="N93" s="45"/>
      <c r="O93" s="46"/>
      <c r="P93" s="46"/>
      <c r="Q93" s="46"/>
      <c r="R93" s="47"/>
      <c r="S93" s="45"/>
      <c r="T93" s="45"/>
      <c r="U93" s="48" t="str">
        <f aca="false">IF(O93&gt;0,P93/O93,"")</f>
        <v/>
      </c>
      <c r="V93" s="49" t="str">
        <f aca="false">IF(P93&gt;0,Q93/P93,"")</f>
        <v/>
      </c>
      <c r="W93" s="50" t="n">
        <f aca="false">IF(R93&lt;&gt;"",R93,Q93*'Cài đặt'!$B$12)</f>
        <v>0</v>
      </c>
      <c r="X93" s="50" t="str">
        <f aca="false">IF(O93&gt;0,W93/O93*1000,"")</f>
        <v/>
      </c>
      <c r="Y93" s="51" t="n">
        <f aca="false">IF(T93&lt;&gt;"",T93,INDEX('Cài đặt'!$B$20:$C$22,MATCH(I93,'Cài đặt'!$A$20:$A$22,0),IF(K93="AI tự động",1,2)))</f>
        <v>4</v>
      </c>
    </row>
    <row r="94" customFormat="false" ht="15" hidden="false" customHeight="false" outlineLevel="0" collapsed="false">
      <c r="A94" s="41" t="s">
        <v>539</v>
      </c>
      <c r="B94" s="41" t="s">
        <v>443</v>
      </c>
      <c r="C94" s="41" t="s">
        <v>171</v>
      </c>
      <c r="D94" s="42" t="str">
        <f aca="false">INDEX('Page và Ngách'!$B$5:$B$10,MATCH(C94,'Page và Ngách'!$A$5:$A$10,0))</f>
        <v>Contract marriage / Fake relationship</v>
      </c>
      <c r="E94" s="41" t="n">
        <v>8</v>
      </c>
      <c r="F94" s="43" t="n">
        <f aca="false">'Cài đặt'!$B$37+E94-1</f>
        <v>46342</v>
      </c>
      <c r="G94" s="41" t="s">
        <v>451</v>
      </c>
      <c r="H94" s="44" t="str">
        <f aca="false">IF(G94="S1",'Cài đặt'!$B$7,'Cài đặt'!$B$8)</f>
        <v>20:00</v>
      </c>
      <c r="I94" s="41" t="s">
        <v>115</v>
      </c>
      <c r="J94" s="41" t="s">
        <v>132</v>
      </c>
      <c r="K94" s="41" t="s">
        <v>445</v>
      </c>
      <c r="L94" s="42" t="str">
        <f aca="false">C94&amp;"_"&amp;B94&amp;"_"&amp;IF(I94="Reel","R",IF(I94="Carousel","C","I"))&amp;"_"&amp;J94&amp;"_"&amp;IF(K94="AI tự động","AI","HU")&amp;"_"&amp;RIGHT(A94,3)</f>
        <v>P3_EXP1_R_A_AI_016</v>
      </c>
      <c r="M94" s="45"/>
      <c r="N94" s="45"/>
      <c r="O94" s="46"/>
      <c r="P94" s="46"/>
      <c r="Q94" s="46"/>
      <c r="R94" s="47"/>
      <c r="S94" s="45"/>
      <c r="T94" s="45"/>
      <c r="U94" s="48" t="str">
        <f aca="false">IF(O94&gt;0,P94/O94,"")</f>
        <v/>
      </c>
      <c r="V94" s="49" t="str">
        <f aca="false">IF(P94&gt;0,Q94/P94,"")</f>
        <v/>
      </c>
      <c r="W94" s="50" t="n">
        <f aca="false">IF(R94&lt;&gt;"",R94,Q94*'Cài đặt'!$B$12)</f>
        <v>0</v>
      </c>
      <c r="X94" s="50" t="str">
        <f aca="false">IF(O94&gt;0,W94/O94*1000,"")</f>
        <v/>
      </c>
      <c r="Y94" s="51" t="n">
        <f aca="false">IF(T94&lt;&gt;"",T94,INDEX('Cài đặt'!$B$20:$C$22,MATCH(I94,'Cài đặt'!$A$20:$A$22,0),IF(K94="AI tự động",1,2)))</f>
        <v>8</v>
      </c>
    </row>
    <row r="95" customFormat="false" ht="15" hidden="false" customHeight="false" outlineLevel="0" collapsed="false">
      <c r="A95" s="41" t="s">
        <v>540</v>
      </c>
      <c r="B95" s="41" t="s">
        <v>443</v>
      </c>
      <c r="C95" s="41" t="s">
        <v>178</v>
      </c>
      <c r="D95" s="42" t="str">
        <f aca="false">INDEX('Page và Ngách'!$B$5:$B$10,MATCH(C95,'Page và Ngách'!$A$5:$A$10,0))</f>
        <v>Revenge / Betrayal ("you'll regret it")</v>
      </c>
      <c r="E95" s="41" t="n">
        <v>8</v>
      </c>
      <c r="F95" s="43" t="n">
        <f aca="false">'Cài đặt'!$B$37+E95-1</f>
        <v>46342</v>
      </c>
      <c r="G95" s="41" t="s">
        <v>444</v>
      </c>
      <c r="H95" s="44" t="str">
        <f aca="false">IF(G95="S1",'Cài đặt'!$B$7,'Cài đặt'!$B$8)</f>
        <v>12:00</v>
      </c>
      <c r="I95" s="41" t="s">
        <v>115</v>
      </c>
      <c r="J95" s="41" t="s">
        <v>132</v>
      </c>
      <c r="K95" s="41" t="s">
        <v>445</v>
      </c>
      <c r="L95" s="42" t="str">
        <f aca="false">C95&amp;"_"&amp;B95&amp;"_"&amp;IF(I95="Reel","R",IF(I95="Carousel","C","I"))&amp;"_"&amp;J95&amp;"_"&amp;IF(K95="AI tự động","AI","HU")&amp;"_"&amp;RIGHT(A95,3)</f>
        <v>P4_EXP1_R_A_AI_015</v>
      </c>
      <c r="M95" s="45"/>
      <c r="N95" s="45"/>
      <c r="O95" s="46"/>
      <c r="P95" s="46"/>
      <c r="Q95" s="46"/>
      <c r="R95" s="47"/>
      <c r="S95" s="45"/>
      <c r="T95" s="45"/>
      <c r="U95" s="48" t="str">
        <f aca="false">IF(O95&gt;0,P95/O95,"")</f>
        <v/>
      </c>
      <c r="V95" s="49" t="str">
        <f aca="false">IF(P95&gt;0,Q95/P95,"")</f>
        <v/>
      </c>
      <c r="W95" s="50" t="n">
        <f aca="false">IF(R95&lt;&gt;"",R95,Q95*'Cài đặt'!$B$12)</f>
        <v>0</v>
      </c>
      <c r="X95" s="50" t="str">
        <f aca="false">IF(O95&gt;0,W95/O95*1000,"")</f>
        <v/>
      </c>
      <c r="Y95" s="51" t="n">
        <f aca="false">IF(T95&lt;&gt;"",T95,INDEX('Cài đặt'!$B$20:$C$22,MATCH(I95,'Cài đặt'!$A$20:$A$22,0),IF(K95="AI tự động",1,2)))</f>
        <v>8</v>
      </c>
    </row>
    <row r="96" customFormat="false" ht="15" hidden="false" customHeight="false" outlineLevel="0" collapsed="false">
      <c r="A96" s="41" t="s">
        <v>541</v>
      </c>
      <c r="B96" s="41" t="s">
        <v>443</v>
      </c>
      <c r="C96" s="41" t="s">
        <v>178</v>
      </c>
      <c r="D96" s="42" t="str">
        <f aca="false">INDEX('Page và Ngách'!$B$5:$B$10,MATCH(C96,'Page và Ngách'!$A$5:$A$10,0))</f>
        <v>Revenge / Betrayal ("you'll regret it")</v>
      </c>
      <c r="E96" s="41" t="n">
        <v>8</v>
      </c>
      <c r="F96" s="43" t="n">
        <f aca="false">'Cài đặt'!$B$37+E96-1</f>
        <v>46342</v>
      </c>
      <c r="G96" s="41" t="s">
        <v>451</v>
      </c>
      <c r="H96" s="44" t="str">
        <f aca="false">IF(G96="S1",'Cài đặt'!$B$7,'Cài đặt'!$B$8)</f>
        <v>20:00</v>
      </c>
      <c r="I96" s="41" t="s">
        <v>111</v>
      </c>
      <c r="J96" s="41" t="s">
        <v>132</v>
      </c>
      <c r="K96" s="41" t="s">
        <v>445</v>
      </c>
      <c r="L96" s="42" t="str">
        <f aca="false">C96&amp;"_"&amp;B96&amp;"_"&amp;IF(I96="Reel","R",IF(I96="Carousel","C","I"))&amp;"_"&amp;J96&amp;"_"&amp;IF(K96="AI tự động","AI","HU")&amp;"_"&amp;RIGHT(A96,3)</f>
        <v>P4_EXP1_I_A_AI_016</v>
      </c>
      <c r="M96" s="45"/>
      <c r="N96" s="45"/>
      <c r="O96" s="46"/>
      <c r="P96" s="46"/>
      <c r="Q96" s="46"/>
      <c r="R96" s="47"/>
      <c r="S96" s="45"/>
      <c r="T96" s="45"/>
      <c r="U96" s="48" t="str">
        <f aca="false">IF(O96&gt;0,P96/O96,"")</f>
        <v/>
      </c>
      <c r="V96" s="49" t="str">
        <f aca="false">IF(P96&gt;0,Q96/P96,"")</f>
        <v/>
      </c>
      <c r="W96" s="50" t="n">
        <f aca="false">IF(R96&lt;&gt;"",R96,Q96*'Cài đặt'!$B$12)</f>
        <v>0</v>
      </c>
      <c r="X96" s="50" t="str">
        <f aca="false">IF(O96&gt;0,W96/O96*1000,"")</f>
        <v/>
      </c>
      <c r="Y96" s="51" t="n">
        <f aca="false">IF(T96&lt;&gt;"",T96,INDEX('Cài đặt'!$B$20:$C$22,MATCH(I96,'Cài đặt'!$A$20:$A$22,0),IF(K96="AI tự động",1,2)))</f>
        <v>2</v>
      </c>
    </row>
    <row r="97" customFormat="false" ht="15" hidden="false" customHeight="false" outlineLevel="0" collapsed="false">
      <c r="A97" s="41" t="s">
        <v>542</v>
      </c>
      <c r="B97" s="41" t="s">
        <v>443</v>
      </c>
      <c r="C97" s="41" t="s">
        <v>185</v>
      </c>
      <c r="D97" s="42" t="str">
        <f aca="false">INDEX('Page và Ngách'!$B$5:$B$10,MATCH(C97,'Page và Ngách'!$A$5:$A$10,0))</f>
        <v>Mafia / Dark romance (teaser PG-13)</v>
      </c>
      <c r="E97" s="41" t="n">
        <v>8</v>
      </c>
      <c r="F97" s="43" t="n">
        <f aca="false">'Cài đặt'!$B$37+E97-1</f>
        <v>46342</v>
      </c>
      <c r="G97" s="41" t="s">
        <v>444</v>
      </c>
      <c r="H97" s="44" t="str">
        <f aca="false">IF(G97="S1",'Cài đặt'!$B$7,'Cài đặt'!$B$8)</f>
        <v>12:00</v>
      </c>
      <c r="I97" s="41" t="s">
        <v>111</v>
      </c>
      <c r="J97" s="41" t="s">
        <v>132</v>
      </c>
      <c r="K97" s="41" t="s">
        <v>445</v>
      </c>
      <c r="L97" s="42" t="str">
        <f aca="false">C97&amp;"_"&amp;B97&amp;"_"&amp;IF(I97="Reel","R",IF(I97="Carousel","C","I"))&amp;"_"&amp;J97&amp;"_"&amp;IF(K97="AI tự động","AI","HU")&amp;"_"&amp;RIGHT(A97,3)</f>
        <v>P5_EXP1_I_A_AI_015</v>
      </c>
      <c r="M97" s="45"/>
      <c r="N97" s="45"/>
      <c r="O97" s="46"/>
      <c r="P97" s="46"/>
      <c r="Q97" s="46"/>
      <c r="R97" s="47"/>
      <c r="S97" s="45"/>
      <c r="T97" s="45"/>
      <c r="U97" s="48" t="str">
        <f aca="false">IF(O97&gt;0,P97/O97,"")</f>
        <v/>
      </c>
      <c r="V97" s="49" t="str">
        <f aca="false">IF(P97&gt;0,Q97/P97,"")</f>
        <v/>
      </c>
      <c r="W97" s="50" t="n">
        <f aca="false">IF(R97&lt;&gt;"",R97,Q97*'Cài đặt'!$B$12)</f>
        <v>0</v>
      </c>
      <c r="X97" s="50" t="str">
        <f aca="false">IF(O97&gt;0,W97/O97*1000,"")</f>
        <v/>
      </c>
      <c r="Y97" s="51" t="n">
        <f aca="false">IF(T97&lt;&gt;"",T97,INDEX('Cài đặt'!$B$20:$C$22,MATCH(I97,'Cài đặt'!$A$20:$A$22,0),IF(K97="AI tự động",1,2)))</f>
        <v>2</v>
      </c>
    </row>
    <row r="98" customFormat="false" ht="15" hidden="false" customHeight="false" outlineLevel="0" collapsed="false">
      <c r="A98" s="41" t="s">
        <v>543</v>
      </c>
      <c r="B98" s="41" t="s">
        <v>443</v>
      </c>
      <c r="C98" s="41" t="s">
        <v>185</v>
      </c>
      <c r="D98" s="42" t="str">
        <f aca="false">INDEX('Page và Ngách'!$B$5:$B$10,MATCH(C98,'Page và Ngách'!$A$5:$A$10,0))</f>
        <v>Mafia / Dark romance (teaser PG-13)</v>
      </c>
      <c r="E98" s="41" t="n">
        <v>8</v>
      </c>
      <c r="F98" s="43" t="n">
        <f aca="false">'Cài đặt'!$B$37+E98-1</f>
        <v>46342</v>
      </c>
      <c r="G98" s="41" t="s">
        <v>451</v>
      </c>
      <c r="H98" s="44" t="str">
        <f aca="false">IF(G98="S1",'Cài đặt'!$B$7,'Cài đặt'!$B$8)</f>
        <v>20:00</v>
      </c>
      <c r="I98" s="41" t="s">
        <v>113</v>
      </c>
      <c r="J98" s="41" t="s">
        <v>132</v>
      </c>
      <c r="K98" s="41" t="s">
        <v>445</v>
      </c>
      <c r="L98" s="42" t="str">
        <f aca="false">C98&amp;"_"&amp;B98&amp;"_"&amp;IF(I98="Reel","R",IF(I98="Carousel","C","I"))&amp;"_"&amp;J98&amp;"_"&amp;IF(K98="AI tự động","AI","HU")&amp;"_"&amp;RIGHT(A98,3)</f>
        <v>P5_EXP1_C_A_AI_016</v>
      </c>
      <c r="M98" s="45"/>
      <c r="N98" s="45"/>
      <c r="O98" s="46"/>
      <c r="P98" s="46"/>
      <c r="Q98" s="46"/>
      <c r="R98" s="47"/>
      <c r="S98" s="45"/>
      <c r="T98" s="45"/>
      <c r="U98" s="48" t="str">
        <f aca="false">IF(O98&gt;0,P98/O98,"")</f>
        <v/>
      </c>
      <c r="V98" s="49" t="str">
        <f aca="false">IF(P98&gt;0,Q98/P98,"")</f>
        <v/>
      </c>
      <c r="W98" s="50" t="n">
        <f aca="false">IF(R98&lt;&gt;"",R98,Q98*'Cài đặt'!$B$12)</f>
        <v>0</v>
      </c>
      <c r="X98" s="50" t="str">
        <f aca="false">IF(O98&gt;0,W98/O98*1000,"")</f>
        <v/>
      </c>
      <c r="Y98" s="51" t="n">
        <f aca="false">IF(T98&lt;&gt;"",T98,INDEX('Cài đặt'!$B$20:$C$22,MATCH(I98,'Cài đặt'!$A$20:$A$22,0),IF(K98="AI tự động",1,2)))</f>
        <v>4</v>
      </c>
    </row>
    <row r="99" customFormat="false" ht="15" hidden="false" customHeight="false" outlineLevel="0" collapsed="false">
      <c r="A99" s="41" t="s">
        <v>544</v>
      </c>
      <c r="B99" s="41" t="s">
        <v>443</v>
      </c>
      <c r="C99" s="41" t="s">
        <v>193</v>
      </c>
      <c r="D99" s="42" t="str">
        <f aca="false">INDEX('Page và Ngách'!$B$5:$B$10,MATCH(C99,'Page và Ngách'!$A$5:$A$10,0))</f>
        <v>Second chance / Secret baby</v>
      </c>
      <c r="E99" s="41" t="n">
        <v>8</v>
      </c>
      <c r="F99" s="43" t="n">
        <f aca="false">'Cài đặt'!$B$37+E99-1</f>
        <v>46342</v>
      </c>
      <c r="G99" s="41" t="s">
        <v>444</v>
      </c>
      <c r="H99" s="44" t="str">
        <f aca="false">IF(G99="S1",'Cài đặt'!$B$7,'Cài đặt'!$B$8)</f>
        <v>12:00</v>
      </c>
      <c r="I99" s="41" t="s">
        <v>113</v>
      </c>
      <c r="J99" s="41" t="s">
        <v>132</v>
      </c>
      <c r="K99" s="41" t="s">
        <v>445</v>
      </c>
      <c r="L99" s="42" t="str">
        <f aca="false">C99&amp;"_"&amp;B99&amp;"_"&amp;IF(I99="Reel","R",IF(I99="Carousel","C","I"))&amp;"_"&amp;J99&amp;"_"&amp;IF(K99="AI tự động","AI","HU")&amp;"_"&amp;RIGHT(A99,3)</f>
        <v>P6_EXP1_C_A_AI_015</v>
      </c>
      <c r="M99" s="45"/>
      <c r="N99" s="45"/>
      <c r="O99" s="46"/>
      <c r="P99" s="46"/>
      <c r="Q99" s="46"/>
      <c r="R99" s="47"/>
      <c r="S99" s="45"/>
      <c r="T99" s="45"/>
      <c r="U99" s="48" t="str">
        <f aca="false">IF(O99&gt;0,P99/O99,"")</f>
        <v/>
      </c>
      <c r="V99" s="49" t="str">
        <f aca="false">IF(P99&gt;0,Q99/P99,"")</f>
        <v/>
      </c>
      <c r="W99" s="50" t="n">
        <f aca="false">IF(R99&lt;&gt;"",R99,Q99*'Cài đặt'!$B$12)</f>
        <v>0</v>
      </c>
      <c r="X99" s="50" t="str">
        <f aca="false">IF(O99&gt;0,W99/O99*1000,"")</f>
        <v/>
      </c>
      <c r="Y99" s="51" t="n">
        <f aca="false">IF(T99&lt;&gt;"",T99,INDEX('Cài đặt'!$B$20:$C$22,MATCH(I99,'Cài đặt'!$A$20:$A$22,0),IF(K99="AI tự động",1,2)))</f>
        <v>4</v>
      </c>
    </row>
    <row r="100" customFormat="false" ht="15" hidden="false" customHeight="false" outlineLevel="0" collapsed="false">
      <c r="A100" s="41" t="s">
        <v>545</v>
      </c>
      <c r="B100" s="41" t="s">
        <v>443</v>
      </c>
      <c r="C100" s="41" t="s">
        <v>193</v>
      </c>
      <c r="D100" s="42" t="str">
        <f aca="false">INDEX('Page và Ngách'!$B$5:$B$10,MATCH(C100,'Page và Ngách'!$A$5:$A$10,0))</f>
        <v>Second chance / Secret baby</v>
      </c>
      <c r="E100" s="41" t="n">
        <v>8</v>
      </c>
      <c r="F100" s="43" t="n">
        <f aca="false">'Cài đặt'!$B$37+E100-1</f>
        <v>46342</v>
      </c>
      <c r="G100" s="41" t="s">
        <v>451</v>
      </c>
      <c r="H100" s="44" t="str">
        <f aca="false">IF(G100="S1",'Cài đặt'!$B$7,'Cài đặt'!$B$8)</f>
        <v>20:00</v>
      </c>
      <c r="I100" s="41" t="s">
        <v>115</v>
      </c>
      <c r="J100" s="41" t="s">
        <v>132</v>
      </c>
      <c r="K100" s="41" t="s">
        <v>445</v>
      </c>
      <c r="L100" s="42" t="str">
        <f aca="false">C100&amp;"_"&amp;B100&amp;"_"&amp;IF(I100="Reel","R",IF(I100="Carousel","C","I"))&amp;"_"&amp;J100&amp;"_"&amp;IF(K100="AI tự động","AI","HU")&amp;"_"&amp;RIGHT(A100,3)</f>
        <v>P6_EXP1_R_A_AI_016</v>
      </c>
      <c r="M100" s="45"/>
      <c r="N100" s="45"/>
      <c r="O100" s="46"/>
      <c r="P100" s="46"/>
      <c r="Q100" s="46"/>
      <c r="R100" s="47"/>
      <c r="S100" s="45"/>
      <c r="T100" s="45"/>
      <c r="U100" s="48" t="str">
        <f aca="false">IF(O100&gt;0,P100/O100,"")</f>
        <v/>
      </c>
      <c r="V100" s="49" t="str">
        <f aca="false">IF(P100&gt;0,Q100/P100,"")</f>
        <v/>
      </c>
      <c r="W100" s="50" t="n">
        <f aca="false">IF(R100&lt;&gt;"",R100,Q100*'Cài đặt'!$B$12)</f>
        <v>0</v>
      </c>
      <c r="X100" s="50" t="str">
        <f aca="false">IF(O100&gt;0,W100/O100*1000,"")</f>
        <v/>
      </c>
      <c r="Y100" s="51" t="n">
        <f aca="false">IF(T100&lt;&gt;"",T100,INDEX('Cài đặt'!$B$20:$C$22,MATCH(I100,'Cài đặt'!$A$20:$A$22,0),IF(K100="AI tự động",1,2)))</f>
        <v>8</v>
      </c>
    </row>
    <row r="101" customFormat="false" ht="15" hidden="false" customHeight="false" outlineLevel="0" collapsed="false">
      <c r="A101" s="41" t="s">
        <v>546</v>
      </c>
      <c r="B101" s="41" t="s">
        <v>443</v>
      </c>
      <c r="C101" s="41" t="s">
        <v>154</v>
      </c>
      <c r="D101" s="42" t="str">
        <f aca="false">INDEX('Page và Ngách'!$B$5:$B$10,MATCH(C101,'Page và Ngách'!$A$5:$A$10,0))</f>
        <v>Werewolf / Rejected mate</v>
      </c>
      <c r="E101" s="41" t="n">
        <v>9</v>
      </c>
      <c r="F101" s="43" t="n">
        <f aca="false">'Cài đặt'!$B$37+E101-1</f>
        <v>46343</v>
      </c>
      <c r="G101" s="41" t="s">
        <v>444</v>
      </c>
      <c r="H101" s="44" t="str">
        <f aca="false">IF(G101="S1",'Cài đặt'!$B$7,'Cài đặt'!$B$8)</f>
        <v>12:00</v>
      </c>
      <c r="I101" s="41" t="s">
        <v>113</v>
      </c>
      <c r="J101" s="41" t="s">
        <v>132</v>
      </c>
      <c r="K101" s="41" t="s">
        <v>445</v>
      </c>
      <c r="L101" s="42" t="str">
        <f aca="false">C101&amp;"_"&amp;B101&amp;"_"&amp;IF(I101="Reel","R",IF(I101="Carousel","C","I"))&amp;"_"&amp;J101&amp;"_"&amp;IF(K101="AI tự động","AI","HU")&amp;"_"&amp;RIGHT(A101,3)</f>
        <v>P1_EXP1_C_A_AI_017</v>
      </c>
      <c r="M101" s="45"/>
      <c r="N101" s="45"/>
      <c r="O101" s="46"/>
      <c r="P101" s="46"/>
      <c r="Q101" s="46"/>
      <c r="R101" s="47"/>
      <c r="S101" s="45"/>
      <c r="T101" s="45"/>
      <c r="U101" s="48" t="str">
        <f aca="false">IF(O101&gt;0,P101/O101,"")</f>
        <v/>
      </c>
      <c r="V101" s="49" t="str">
        <f aca="false">IF(P101&gt;0,Q101/P101,"")</f>
        <v/>
      </c>
      <c r="W101" s="50" t="n">
        <f aca="false">IF(R101&lt;&gt;"",R101,Q101*'Cài đặt'!$B$12)</f>
        <v>0</v>
      </c>
      <c r="X101" s="50" t="str">
        <f aca="false">IF(O101&gt;0,W101/O101*1000,"")</f>
        <v/>
      </c>
      <c r="Y101" s="51" t="n">
        <f aca="false">IF(T101&lt;&gt;"",T101,INDEX('Cài đặt'!$B$20:$C$22,MATCH(I101,'Cài đặt'!$A$20:$A$22,0),IF(K101="AI tự động",1,2)))</f>
        <v>4</v>
      </c>
    </row>
    <row r="102" customFormat="false" ht="15" hidden="false" customHeight="false" outlineLevel="0" collapsed="false">
      <c r="A102" s="41" t="s">
        <v>547</v>
      </c>
      <c r="B102" s="41" t="s">
        <v>443</v>
      </c>
      <c r="C102" s="41" t="s">
        <v>154</v>
      </c>
      <c r="D102" s="42" t="str">
        <f aca="false">INDEX('Page và Ngách'!$B$5:$B$10,MATCH(C102,'Page và Ngách'!$A$5:$A$10,0))</f>
        <v>Werewolf / Rejected mate</v>
      </c>
      <c r="E102" s="41" t="n">
        <v>9</v>
      </c>
      <c r="F102" s="43" t="n">
        <f aca="false">'Cài đặt'!$B$37+E102-1</f>
        <v>46343</v>
      </c>
      <c r="G102" s="41" t="s">
        <v>451</v>
      </c>
      <c r="H102" s="44" t="str">
        <f aca="false">IF(G102="S1",'Cài đặt'!$B$7,'Cài đặt'!$B$8)</f>
        <v>20:00</v>
      </c>
      <c r="I102" s="41" t="s">
        <v>115</v>
      </c>
      <c r="J102" s="41" t="s">
        <v>132</v>
      </c>
      <c r="K102" s="41" t="s">
        <v>445</v>
      </c>
      <c r="L102" s="42" t="str">
        <f aca="false">C102&amp;"_"&amp;B102&amp;"_"&amp;IF(I102="Reel","R",IF(I102="Carousel","C","I"))&amp;"_"&amp;J102&amp;"_"&amp;IF(K102="AI tự động","AI","HU")&amp;"_"&amp;RIGHT(A102,3)</f>
        <v>P1_EXP1_R_A_AI_018</v>
      </c>
      <c r="M102" s="45"/>
      <c r="N102" s="45"/>
      <c r="O102" s="46"/>
      <c r="P102" s="46"/>
      <c r="Q102" s="46"/>
      <c r="R102" s="47"/>
      <c r="S102" s="45"/>
      <c r="T102" s="45"/>
      <c r="U102" s="48" t="str">
        <f aca="false">IF(O102&gt;0,P102/O102,"")</f>
        <v/>
      </c>
      <c r="V102" s="49" t="str">
        <f aca="false">IF(P102&gt;0,Q102/P102,"")</f>
        <v/>
      </c>
      <c r="W102" s="50" t="n">
        <f aca="false">IF(R102&lt;&gt;"",R102,Q102*'Cài đặt'!$B$12)</f>
        <v>0</v>
      </c>
      <c r="X102" s="50" t="str">
        <f aca="false">IF(O102&gt;0,W102/O102*1000,"")</f>
        <v/>
      </c>
      <c r="Y102" s="51" t="n">
        <f aca="false">IF(T102&lt;&gt;"",T102,INDEX('Cài đặt'!$B$20:$C$22,MATCH(I102,'Cài đặt'!$A$20:$A$22,0),IF(K102="AI tự động",1,2)))</f>
        <v>8</v>
      </c>
    </row>
    <row r="103" customFormat="false" ht="15" hidden="false" customHeight="false" outlineLevel="0" collapsed="false">
      <c r="A103" s="41" t="s">
        <v>548</v>
      </c>
      <c r="B103" s="41" t="s">
        <v>443</v>
      </c>
      <c r="C103" s="41" t="s">
        <v>163</v>
      </c>
      <c r="D103" s="42" t="str">
        <f aca="false">INDEX('Page và Ngách'!$B$5:$B$10,MATCH(C103,'Page và Ngách'!$A$5:$A$10,0))</f>
        <v>Secret billionaire / CEO</v>
      </c>
      <c r="E103" s="41" t="n">
        <v>9</v>
      </c>
      <c r="F103" s="43" t="n">
        <f aca="false">'Cài đặt'!$B$37+E103-1</f>
        <v>46343</v>
      </c>
      <c r="G103" s="41" t="s">
        <v>444</v>
      </c>
      <c r="H103" s="44" t="str">
        <f aca="false">IF(G103="S1",'Cài đặt'!$B$7,'Cài đặt'!$B$8)</f>
        <v>12:00</v>
      </c>
      <c r="I103" s="41" t="s">
        <v>115</v>
      </c>
      <c r="J103" s="41" t="s">
        <v>132</v>
      </c>
      <c r="K103" s="41" t="s">
        <v>445</v>
      </c>
      <c r="L103" s="42" t="str">
        <f aca="false">C103&amp;"_"&amp;B103&amp;"_"&amp;IF(I103="Reel","R",IF(I103="Carousel","C","I"))&amp;"_"&amp;J103&amp;"_"&amp;IF(K103="AI tự động","AI","HU")&amp;"_"&amp;RIGHT(A103,3)</f>
        <v>P2_EXP1_R_A_AI_017</v>
      </c>
      <c r="M103" s="45"/>
      <c r="N103" s="45"/>
      <c r="O103" s="46"/>
      <c r="P103" s="46"/>
      <c r="Q103" s="46"/>
      <c r="R103" s="47"/>
      <c r="S103" s="45"/>
      <c r="T103" s="45"/>
      <c r="U103" s="48" t="str">
        <f aca="false">IF(O103&gt;0,P103/O103,"")</f>
        <v/>
      </c>
      <c r="V103" s="49" t="str">
        <f aca="false">IF(P103&gt;0,Q103/P103,"")</f>
        <v/>
      </c>
      <c r="W103" s="50" t="n">
        <f aca="false">IF(R103&lt;&gt;"",R103,Q103*'Cài đặt'!$B$12)</f>
        <v>0</v>
      </c>
      <c r="X103" s="50" t="str">
        <f aca="false">IF(O103&gt;0,W103/O103*1000,"")</f>
        <v/>
      </c>
      <c r="Y103" s="51" t="n">
        <f aca="false">IF(T103&lt;&gt;"",T103,INDEX('Cài đặt'!$B$20:$C$22,MATCH(I103,'Cài đặt'!$A$20:$A$22,0),IF(K103="AI tự động",1,2)))</f>
        <v>8</v>
      </c>
    </row>
    <row r="104" customFormat="false" ht="15" hidden="false" customHeight="false" outlineLevel="0" collapsed="false">
      <c r="A104" s="41" t="s">
        <v>549</v>
      </c>
      <c r="B104" s="41" t="s">
        <v>443</v>
      </c>
      <c r="C104" s="41" t="s">
        <v>163</v>
      </c>
      <c r="D104" s="42" t="str">
        <f aca="false">INDEX('Page và Ngách'!$B$5:$B$10,MATCH(C104,'Page và Ngách'!$A$5:$A$10,0))</f>
        <v>Secret billionaire / CEO</v>
      </c>
      <c r="E104" s="41" t="n">
        <v>9</v>
      </c>
      <c r="F104" s="43" t="n">
        <f aca="false">'Cài đặt'!$B$37+E104-1</f>
        <v>46343</v>
      </c>
      <c r="G104" s="41" t="s">
        <v>451</v>
      </c>
      <c r="H104" s="44" t="str">
        <f aca="false">IF(G104="S1",'Cài đặt'!$B$7,'Cài đặt'!$B$8)</f>
        <v>20:00</v>
      </c>
      <c r="I104" s="41" t="s">
        <v>111</v>
      </c>
      <c r="J104" s="41" t="s">
        <v>132</v>
      </c>
      <c r="K104" s="41" t="s">
        <v>445</v>
      </c>
      <c r="L104" s="42" t="str">
        <f aca="false">C104&amp;"_"&amp;B104&amp;"_"&amp;IF(I104="Reel","R",IF(I104="Carousel","C","I"))&amp;"_"&amp;J104&amp;"_"&amp;IF(K104="AI tự động","AI","HU")&amp;"_"&amp;RIGHT(A104,3)</f>
        <v>P2_EXP1_I_A_AI_018</v>
      </c>
      <c r="M104" s="45"/>
      <c r="N104" s="45"/>
      <c r="O104" s="46"/>
      <c r="P104" s="46"/>
      <c r="Q104" s="46"/>
      <c r="R104" s="47"/>
      <c r="S104" s="45"/>
      <c r="T104" s="45"/>
      <c r="U104" s="48" t="str">
        <f aca="false">IF(O104&gt;0,P104/O104,"")</f>
        <v/>
      </c>
      <c r="V104" s="49" t="str">
        <f aca="false">IF(P104&gt;0,Q104/P104,"")</f>
        <v/>
      </c>
      <c r="W104" s="50" t="n">
        <f aca="false">IF(R104&lt;&gt;"",R104,Q104*'Cài đặt'!$B$12)</f>
        <v>0</v>
      </c>
      <c r="X104" s="50" t="str">
        <f aca="false">IF(O104&gt;0,W104/O104*1000,"")</f>
        <v/>
      </c>
      <c r="Y104" s="51" t="n">
        <f aca="false">IF(T104&lt;&gt;"",T104,INDEX('Cài đặt'!$B$20:$C$22,MATCH(I104,'Cài đặt'!$A$20:$A$22,0),IF(K104="AI tự động",1,2)))</f>
        <v>2</v>
      </c>
    </row>
    <row r="105" customFormat="false" ht="15" hidden="false" customHeight="false" outlineLevel="0" collapsed="false">
      <c r="A105" s="41" t="s">
        <v>550</v>
      </c>
      <c r="B105" s="41" t="s">
        <v>443</v>
      </c>
      <c r="C105" s="41" t="s">
        <v>171</v>
      </c>
      <c r="D105" s="42" t="str">
        <f aca="false">INDEX('Page và Ngách'!$B$5:$B$10,MATCH(C105,'Page và Ngách'!$A$5:$A$10,0))</f>
        <v>Contract marriage / Fake relationship</v>
      </c>
      <c r="E105" s="41" t="n">
        <v>9</v>
      </c>
      <c r="F105" s="43" t="n">
        <f aca="false">'Cài đặt'!$B$37+E105-1</f>
        <v>46343</v>
      </c>
      <c r="G105" s="41" t="s">
        <v>444</v>
      </c>
      <c r="H105" s="44" t="str">
        <f aca="false">IF(G105="S1",'Cài đặt'!$B$7,'Cài đặt'!$B$8)</f>
        <v>12:00</v>
      </c>
      <c r="I105" s="41" t="s">
        <v>111</v>
      </c>
      <c r="J105" s="41" t="s">
        <v>132</v>
      </c>
      <c r="K105" s="41" t="s">
        <v>445</v>
      </c>
      <c r="L105" s="42" t="str">
        <f aca="false">C105&amp;"_"&amp;B105&amp;"_"&amp;IF(I105="Reel","R",IF(I105="Carousel","C","I"))&amp;"_"&amp;J105&amp;"_"&amp;IF(K105="AI tự động","AI","HU")&amp;"_"&amp;RIGHT(A105,3)</f>
        <v>P3_EXP1_I_A_AI_017</v>
      </c>
      <c r="M105" s="45"/>
      <c r="N105" s="45"/>
      <c r="O105" s="46"/>
      <c r="P105" s="46"/>
      <c r="Q105" s="46"/>
      <c r="R105" s="47"/>
      <c r="S105" s="45"/>
      <c r="T105" s="45"/>
      <c r="U105" s="48" t="str">
        <f aca="false">IF(O105&gt;0,P105/O105,"")</f>
        <v/>
      </c>
      <c r="V105" s="49" t="str">
        <f aca="false">IF(P105&gt;0,Q105/P105,"")</f>
        <v/>
      </c>
      <c r="W105" s="50" t="n">
        <f aca="false">IF(R105&lt;&gt;"",R105,Q105*'Cài đặt'!$B$12)</f>
        <v>0</v>
      </c>
      <c r="X105" s="50" t="str">
        <f aca="false">IF(O105&gt;0,W105/O105*1000,"")</f>
        <v/>
      </c>
      <c r="Y105" s="51" t="n">
        <f aca="false">IF(T105&lt;&gt;"",T105,INDEX('Cài đặt'!$B$20:$C$22,MATCH(I105,'Cài đặt'!$A$20:$A$22,0),IF(K105="AI tự động",1,2)))</f>
        <v>2</v>
      </c>
    </row>
    <row r="106" customFormat="false" ht="15" hidden="false" customHeight="false" outlineLevel="0" collapsed="false">
      <c r="A106" s="41" t="s">
        <v>551</v>
      </c>
      <c r="B106" s="41" t="s">
        <v>443</v>
      </c>
      <c r="C106" s="41" t="s">
        <v>171</v>
      </c>
      <c r="D106" s="42" t="str">
        <f aca="false">INDEX('Page và Ngách'!$B$5:$B$10,MATCH(C106,'Page và Ngách'!$A$5:$A$10,0))</f>
        <v>Contract marriage / Fake relationship</v>
      </c>
      <c r="E106" s="41" t="n">
        <v>9</v>
      </c>
      <c r="F106" s="43" t="n">
        <f aca="false">'Cài đặt'!$B$37+E106-1</f>
        <v>46343</v>
      </c>
      <c r="G106" s="41" t="s">
        <v>451</v>
      </c>
      <c r="H106" s="44" t="str">
        <f aca="false">IF(G106="S1",'Cài đặt'!$B$7,'Cài đặt'!$B$8)</f>
        <v>20:00</v>
      </c>
      <c r="I106" s="41" t="s">
        <v>113</v>
      </c>
      <c r="J106" s="41" t="s">
        <v>132</v>
      </c>
      <c r="K106" s="41" t="s">
        <v>445</v>
      </c>
      <c r="L106" s="42" t="str">
        <f aca="false">C106&amp;"_"&amp;B106&amp;"_"&amp;IF(I106="Reel","R",IF(I106="Carousel","C","I"))&amp;"_"&amp;J106&amp;"_"&amp;IF(K106="AI tự động","AI","HU")&amp;"_"&amp;RIGHT(A106,3)</f>
        <v>P3_EXP1_C_A_AI_018</v>
      </c>
      <c r="M106" s="45"/>
      <c r="N106" s="45"/>
      <c r="O106" s="46"/>
      <c r="P106" s="46"/>
      <c r="Q106" s="46"/>
      <c r="R106" s="47"/>
      <c r="S106" s="45"/>
      <c r="T106" s="45"/>
      <c r="U106" s="48" t="str">
        <f aca="false">IF(O106&gt;0,P106/O106,"")</f>
        <v/>
      </c>
      <c r="V106" s="49" t="str">
        <f aca="false">IF(P106&gt;0,Q106/P106,"")</f>
        <v/>
      </c>
      <c r="W106" s="50" t="n">
        <f aca="false">IF(R106&lt;&gt;"",R106,Q106*'Cài đặt'!$B$12)</f>
        <v>0</v>
      </c>
      <c r="X106" s="50" t="str">
        <f aca="false">IF(O106&gt;0,W106/O106*1000,"")</f>
        <v/>
      </c>
      <c r="Y106" s="51" t="n">
        <f aca="false">IF(T106&lt;&gt;"",T106,INDEX('Cài đặt'!$B$20:$C$22,MATCH(I106,'Cài đặt'!$A$20:$A$22,0),IF(K106="AI tự động",1,2)))</f>
        <v>4</v>
      </c>
    </row>
    <row r="107" customFormat="false" ht="15" hidden="false" customHeight="false" outlineLevel="0" collapsed="false">
      <c r="A107" s="41" t="s">
        <v>552</v>
      </c>
      <c r="B107" s="41" t="s">
        <v>443</v>
      </c>
      <c r="C107" s="41" t="s">
        <v>178</v>
      </c>
      <c r="D107" s="42" t="str">
        <f aca="false">INDEX('Page và Ngách'!$B$5:$B$10,MATCH(C107,'Page và Ngách'!$A$5:$A$10,0))</f>
        <v>Revenge / Betrayal ("you'll regret it")</v>
      </c>
      <c r="E107" s="41" t="n">
        <v>9</v>
      </c>
      <c r="F107" s="43" t="n">
        <f aca="false">'Cài đặt'!$B$37+E107-1</f>
        <v>46343</v>
      </c>
      <c r="G107" s="41" t="s">
        <v>444</v>
      </c>
      <c r="H107" s="44" t="str">
        <f aca="false">IF(G107="S1",'Cài đặt'!$B$7,'Cài đặt'!$B$8)</f>
        <v>12:00</v>
      </c>
      <c r="I107" s="41" t="s">
        <v>113</v>
      </c>
      <c r="J107" s="41" t="s">
        <v>132</v>
      </c>
      <c r="K107" s="41" t="s">
        <v>445</v>
      </c>
      <c r="L107" s="42" t="str">
        <f aca="false">C107&amp;"_"&amp;B107&amp;"_"&amp;IF(I107="Reel","R",IF(I107="Carousel","C","I"))&amp;"_"&amp;J107&amp;"_"&amp;IF(K107="AI tự động","AI","HU")&amp;"_"&amp;RIGHT(A107,3)</f>
        <v>P4_EXP1_C_A_AI_017</v>
      </c>
      <c r="M107" s="45"/>
      <c r="N107" s="45"/>
      <c r="O107" s="46"/>
      <c r="P107" s="46"/>
      <c r="Q107" s="46"/>
      <c r="R107" s="47"/>
      <c r="S107" s="45"/>
      <c r="T107" s="45"/>
      <c r="U107" s="48" t="str">
        <f aca="false">IF(O107&gt;0,P107/O107,"")</f>
        <v/>
      </c>
      <c r="V107" s="49" t="str">
        <f aca="false">IF(P107&gt;0,Q107/P107,"")</f>
        <v/>
      </c>
      <c r="W107" s="50" t="n">
        <f aca="false">IF(R107&lt;&gt;"",R107,Q107*'Cài đặt'!$B$12)</f>
        <v>0</v>
      </c>
      <c r="X107" s="50" t="str">
        <f aca="false">IF(O107&gt;0,W107/O107*1000,"")</f>
        <v/>
      </c>
      <c r="Y107" s="51" t="n">
        <f aca="false">IF(T107&lt;&gt;"",T107,INDEX('Cài đặt'!$B$20:$C$22,MATCH(I107,'Cài đặt'!$A$20:$A$22,0),IF(K107="AI tự động",1,2)))</f>
        <v>4</v>
      </c>
    </row>
    <row r="108" customFormat="false" ht="15" hidden="false" customHeight="false" outlineLevel="0" collapsed="false">
      <c r="A108" s="41" t="s">
        <v>553</v>
      </c>
      <c r="B108" s="41" t="s">
        <v>443</v>
      </c>
      <c r="C108" s="41" t="s">
        <v>178</v>
      </c>
      <c r="D108" s="42" t="str">
        <f aca="false">INDEX('Page và Ngách'!$B$5:$B$10,MATCH(C108,'Page và Ngách'!$A$5:$A$10,0))</f>
        <v>Revenge / Betrayal ("you'll regret it")</v>
      </c>
      <c r="E108" s="41" t="n">
        <v>9</v>
      </c>
      <c r="F108" s="43" t="n">
        <f aca="false">'Cài đặt'!$B$37+E108-1</f>
        <v>46343</v>
      </c>
      <c r="G108" s="41" t="s">
        <v>451</v>
      </c>
      <c r="H108" s="44" t="str">
        <f aca="false">IF(G108="S1",'Cài đặt'!$B$7,'Cài đặt'!$B$8)</f>
        <v>20:00</v>
      </c>
      <c r="I108" s="41" t="s">
        <v>115</v>
      </c>
      <c r="J108" s="41" t="s">
        <v>132</v>
      </c>
      <c r="K108" s="41" t="s">
        <v>445</v>
      </c>
      <c r="L108" s="42" t="str">
        <f aca="false">C108&amp;"_"&amp;B108&amp;"_"&amp;IF(I108="Reel","R",IF(I108="Carousel","C","I"))&amp;"_"&amp;J108&amp;"_"&amp;IF(K108="AI tự động","AI","HU")&amp;"_"&amp;RIGHT(A108,3)</f>
        <v>P4_EXP1_R_A_AI_018</v>
      </c>
      <c r="M108" s="45"/>
      <c r="N108" s="45"/>
      <c r="O108" s="46"/>
      <c r="P108" s="46"/>
      <c r="Q108" s="46"/>
      <c r="R108" s="47"/>
      <c r="S108" s="45"/>
      <c r="T108" s="45"/>
      <c r="U108" s="48" t="str">
        <f aca="false">IF(O108&gt;0,P108/O108,"")</f>
        <v/>
      </c>
      <c r="V108" s="49" t="str">
        <f aca="false">IF(P108&gt;0,Q108/P108,"")</f>
        <v/>
      </c>
      <c r="W108" s="50" t="n">
        <f aca="false">IF(R108&lt;&gt;"",R108,Q108*'Cài đặt'!$B$12)</f>
        <v>0</v>
      </c>
      <c r="X108" s="50" t="str">
        <f aca="false">IF(O108&gt;0,W108/O108*1000,"")</f>
        <v/>
      </c>
      <c r="Y108" s="51" t="n">
        <f aca="false">IF(T108&lt;&gt;"",T108,INDEX('Cài đặt'!$B$20:$C$22,MATCH(I108,'Cài đặt'!$A$20:$A$22,0),IF(K108="AI tự động",1,2)))</f>
        <v>8</v>
      </c>
    </row>
    <row r="109" customFormat="false" ht="15" hidden="false" customHeight="false" outlineLevel="0" collapsed="false">
      <c r="A109" s="41" t="s">
        <v>554</v>
      </c>
      <c r="B109" s="41" t="s">
        <v>443</v>
      </c>
      <c r="C109" s="41" t="s">
        <v>185</v>
      </c>
      <c r="D109" s="42" t="str">
        <f aca="false">INDEX('Page và Ngách'!$B$5:$B$10,MATCH(C109,'Page và Ngách'!$A$5:$A$10,0))</f>
        <v>Mafia / Dark romance (teaser PG-13)</v>
      </c>
      <c r="E109" s="41" t="n">
        <v>9</v>
      </c>
      <c r="F109" s="43" t="n">
        <f aca="false">'Cài đặt'!$B$37+E109-1</f>
        <v>46343</v>
      </c>
      <c r="G109" s="41" t="s">
        <v>444</v>
      </c>
      <c r="H109" s="44" t="str">
        <f aca="false">IF(G109="S1",'Cài đặt'!$B$7,'Cài đặt'!$B$8)</f>
        <v>12:00</v>
      </c>
      <c r="I109" s="41" t="s">
        <v>115</v>
      </c>
      <c r="J109" s="41" t="s">
        <v>132</v>
      </c>
      <c r="K109" s="41" t="s">
        <v>445</v>
      </c>
      <c r="L109" s="42" t="str">
        <f aca="false">C109&amp;"_"&amp;B109&amp;"_"&amp;IF(I109="Reel","R",IF(I109="Carousel","C","I"))&amp;"_"&amp;J109&amp;"_"&amp;IF(K109="AI tự động","AI","HU")&amp;"_"&amp;RIGHT(A109,3)</f>
        <v>P5_EXP1_R_A_AI_017</v>
      </c>
      <c r="M109" s="45"/>
      <c r="N109" s="45"/>
      <c r="O109" s="46"/>
      <c r="P109" s="46"/>
      <c r="Q109" s="46"/>
      <c r="R109" s="47"/>
      <c r="S109" s="45"/>
      <c r="T109" s="45"/>
      <c r="U109" s="48" t="str">
        <f aca="false">IF(O109&gt;0,P109/O109,"")</f>
        <v/>
      </c>
      <c r="V109" s="49" t="str">
        <f aca="false">IF(P109&gt;0,Q109/P109,"")</f>
        <v/>
      </c>
      <c r="W109" s="50" t="n">
        <f aca="false">IF(R109&lt;&gt;"",R109,Q109*'Cài đặt'!$B$12)</f>
        <v>0</v>
      </c>
      <c r="X109" s="50" t="str">
        <f aca="false">IF(O109&gt;0,W109/O109*1000,"")</f>
        <v/>
      </c>
      <c r="Y109" s="51" t="n">
        <f aca="false">IF(T109&lt;&gt;"",T109,INDEX('Cài đặt'!$B$20:$C$22,MATCH(I109,'Cài đặt'!$A$20:$A$22,0),IF(K109="AI tự động",1,2)))</f>
        <v>8</v>
      </c>
    </row>
    <row r="110" customFormat="false" ht="15" hidden="false" customHeight="false" outlineLevel="0" collapsed="false">
      <c r="A110" s="41" t="s">
        <v>555</v>
      </c>
      <c r="B110" s="41" t="s">
        <v>443</v>
      </c>
      <c r="C110" s="41" t="s">
        <v>185</v>
      </c>
      <c r="D110" s="42" t="str">
        <f aca="false">INDEX('Page và Ngách'!$B$5:$B$10,MATCH(C110,'Page và Ngách'!$A$5:$A$10,0))</f>
        <v>Mafia / Dark romance (teaser PG-13)</v>
      </c>
      <c r="E110" s="41" t="n">
        <v>9</v>
      </c>
      <c r="F110" s="43" t="n">
        <f aca="false">'Cài đặt'!$B$37+E110-1</f>
        <v>46343</v>
      </c>
      <c r="G110" s="41" t="s">
        <v>451</v>
      </c>
      <c r="H110" s="44" t="str">
        <f aca="false">IF(G110="S1",'Cài đặt'!$B$7,'Cài đặt'!$B$8)</f>
        <v>20:00</v>
      </c>
      <c r="I110" s="41" t="s">
        <v>111</v>
      </c>
      <c r="J110" s="41" t="s">
        <v>132</v>
      </c>
      <c r="K110" s="41" t="s">
        <v>445</v>
      </c>
      <c r="L110" s="42" t="str">
        <f aca="false">C110&amp;"_"&amp;B110&amp;"_"&amp;IF(I110="Reel","R",IF(I110="Carousel","C","I"))&amp;"_"&amp;J110&amp;"_"&amp;IF(K110="AI tự động","AI","HU")&amp;"_"&amp;RIGHT(A110,3)</f>
        <v>P5_EXP1_I_A_AI_018</v>
      </c>
      <c r="M110" s="45"/>
      <c r="N110" s="45"/>
      <c r="O110" s="46"/>
      <c r="P110" s="46"/>
      <c r="Q110" s="46"/>
      <c r="R110" s="47"/>
      <c r="S110" s="45"/>
      <c r="T110" s="45"/>
      <c r="U110" s="48" t="str">
        <f aca="false">IF(O110&gt;0,P110/O110,"")</f>
        <v/>
      </c>
      <c r="V110" s="49" t="str">
        <f aca="false">IF(P110&gt;0,Q110/P110,"")</f>
        <v/>
      </c>
      <c r="W110" s="50" t="n">
        <f aca="false">IF(R110&lt;&gt;"",R110,Q110*'Cài đặt'!$B$12)</f>
        <v>0</v>
      </c>
      <c r="X110" s="50" t="str">
        <f aca="false">IF(O110&gt;0,W110/O110*1000,"")</f>
        <v/>
      </c>
      <c r="Y110" s="51" t="n">
        <f aca="false">IF(T110&lt;&gt;"",T110,INDEX('Cài đặt'!$B$20:$C$22,MATCH(I110,'Cài đặt'!$A$20:$A$22,0),IF(K110="AI tự động",1,2)))</f>
        <v>2</v>
      </c>
    </row>
    <row r="111" customFormat="false" ht="15" hidden="false" customHeight="false" outlineLevel="0" collapsed="false">
      <c r="A111" s="41" t="s">
        <v>556</v>
      </c>
      <c r="B111" s="41" t="s">
        <v>443</v>
      </c>
      <c r="C111" s="41" t="s">
        <v>193</v>
      </c>
      <c r="D111" s="42" t="str">
        <f aca="false">INDEX('Page và Ngách'!$B$5:$B$10,MATCH(C111,'Page và Ngách'!$A$5:$A$10,0))</f>
        <v>Second chance / Secret baby</v>
      </c>
      <c r="E111" s="41" t="n">
        <v>9</v>
      </c>
      <c r="F111" s="43" t="n">
        <f aca="false">'Cài đặt'!$B$37+E111-1</f>
        <v>46343</v>
      </c>
      <c r="G111" s="41" t="s">
        <v>444</v>
      </c>
      <c r="H111" s="44" t="str">
        <f aca="false">IF(G111="S1",'Cài đặt'!$B$7,'Cài đặt'!$B$8)</f>
        <v>12:00</v>
      </c>
      <c r="I111" s="41" t="s">
        <v>111</v>
      </c>
      <c r="J111" s="41" t="s">
        <v>132</v>
      </c>
      <c r="K111" s="41" t="s">
        <v>445</v>
      </c>
      <c r="L111" s="42" t="str">
        <f aca="false">C111&amp;"_"&amp;B111&amp;"_"&amp;IF(I111="Reel","R",IF(I111="Carousel","C","I"))&amp;"_"&amp;J111&amp;"_"&amp;IF(K111="AI tự động","AI","HU")&amp;"_"&amp;RIGHT(A111,3)</f>
        <v>P6_EXP1_I_A_AI_017</v>
      </c>
      <c r="M111" s="45"/>
      <c r="N111" s="45"/>
      <c r="O111" s="46"/>
      <c r="P111" s="46"/>
      <c r="Q111" s="46"/>
      <c r="R111" s="47"/>
      <c r="S111" s="45"/>
      <c r="T111" s="45"/>
      <c r="U111" s="48" t="str">
        <f aca="false">IF(O111&gt;0,P111/O111,"")</f>
        <v/>
      </c>
      <c r="V111" s="49" t="str">
        <f aca="false">IF(P111&gt;0,Q111/P111,"")</f>
        <v/>
      </c>
      <c r="W111" s="50" t="n">
        <f aca="false">IF(R111&lt;&gt;"",R111,Q111*'Cài đặt'!$B$12)</f>
        <v>0</v>
      </c>
      <c r="X111" s="50" t="str">
        <f aca="false">IF(O111&gt;0,W111/O111*1000,"")</f>
        <v/>
      </c>
      <c r="Y111" s="51" t="n">
        <f aca="false">IF(T111&lt;&gt;"",T111,INDEX('Cài đặt'!$B$20:$C$22,MATCH(I111,'Cài đặt'!$A$20:$A$22,0),IF(K111="AI tự động",1,2)))</f>
        <v>2</v>
      </c>
    </row>
    <row r="112" customFormat="false" ht="15" hidden="false" customHeight="false" outlineLevel="0" collapsed="false">
      <c r="A112" s="41" t="s">
        <v>557</v>
      </c>
      <c r="B112" s="41" t="s">
        <v>443</v>
      </c>
      <c r="C112" s="41" t="s">
        <v>193</v>
      </c>
      <c r="D112" s="42" t="str">
        <f aca="false">INDEX('Page và Ngách'!$B$5:$B$10,MATCH(C112,'Page và Ngách'!$A$5:$A$10,0))</f>
        <v>Second chance / Secret baby</v>
      </c>
      <c r="E112" s="41" t="n">
        <v>9</v>
      </c>
      <c r="F112" s="43" t="n">
        <f aca="false">'Cài đặt'!$B$37+E112-1</f>
        <v>46343</v>
      </c>
      <c r="G112" s="41" t="s">
        <v>451</v>
      </c>
      <c r="H112" s="44" t="str">
        <f aca="false">IF(G112="S1",'Cài đặt'!$B$7,'Cài đặt'!$B$8)</f>
        <v>20:00</v>
      </c>
      <c r="I112" s="41" t="s">
        <v>113</v>
      </c>
      <c r="J112" s="41" t="s">
        <v>132</v>
      </c>
      <c r="K112" s="41" t="s">
        <v>445</v>
      </c>
      <c r="L112" s="42" t="str">
        <f aca="false">C112&amp;"_"&amp;B112&amp;"_"&amp;IF(I112="Reel","R",IF(I112="Carousel","C","I"))&amp;"_"&amp;J112&amp;"_"&amp;IF(K112="AI tự động","AI","HU")&amp;"_"&amp;RIGHT(A112,3)</f>
        <v>P6_EXP1_C_A_AI_018</v>
      </c>
      <c r="M112" s="45"/>
      <c r="N112" s="45"/>
      <c r="O112" s="46"/>
      <c r="P112" s="46"/>
      <c r="Q112" s="46"/>
      <c r="R112" s="47"/>
      <c r="S112" s="45"/>
      <c r="T112" s="45"/>
      <c r="U112" s="48" t="str">
        <f aca="false">IF(O112&gt;0,P112/O112,"")</f>
        <v/>
      </c>
      <c r="V112" s="49" t="str">
        <f aca="false">IF(P112&gt;0,Q112/P112,"")</f>
        <v/>
      </c>
      <c r="W112" s="50" t="n">
        <f aca="false">IF(R112&lt;&gt;"",R112,Q112*'Cài đặt'!$B$12)</f>
        <v>0</v>
      </c>
      <c r="X112" s="50" t="str">
        <f aca="false">IF(O112&gt;0,W112/O112*1000,"")</f>
        <v/>
      </c>
      <c r="Y112" s="51" t="n">
        <f aca="false">IF(T112&lt;&gt;"",T112,INDEX('Cài đặt'!$B$20:$C$22,MATCH(I112,'Cài đặt'!$A$20:$A$22,0),IF(K112="AI tự động",1,2)))</f>
        <v>4</v>
      </c>
    </row>
    <row r="113" customFormat="false" ht="15" hidden="false" customHeight="false" outlineLevel="0" collapsed="false">
      <c r="A113" s="41" t="s">
        <v>558</v>
      </c>
      <c r="B113" s="41" t="s">
        <v>443</v>
      </c>
      <c r="C113" s="41" t="s">
        <v>154</v>
      </c>
      <c r="D113" s="42" t="str">
        <f aca="false">INDEX('Page và Ngách'!$B$5:$B$10,MATCH(C113,'Page và Ngách'!$A$5:$A$10,0))</f>
        <v>Werewolf / Rejected mate</v>
      </c>
      <c r="E113" s="41" t="n">
        <v>10</v>
      </c>
      <c r="F113" s="43" t="n">
        <f aca="false">'Cài đặt'!$B$37+E113-1</f>
        <v>46344</v>
      </c>
      <c r="G113" s="41" t="s">
        <v>444</v>
      </c>
      <c r="H113" s="44" t="str">
        <f aca="false">IF(G113="S1",'Cài đặt'!$B$7,'Cài đặt'!$B$8)</f>
        <v>12:00</v>
      </c>
      <c r="I113" s="41" t="s">
        <v>111</v>
      </c>
      <c r="J113" s="41" t="s">
        <v>132</v>
      </c>
      <c r="K113" s="41" t="s">
        <v>445</v>
      </c>
      <c r="L113" s="42" t="str">
        <f aca="false">C113&amp;"_"&amp;B113&amp;"_"&amp;IF(I113="Reel","R",IF(I113="Carousel","C","I"))&amp;"_"&amp;J113&amp;"_"&amp;IF(K113="AI tự động","AI","HU")&amp;"_"&amp;RIGHT(A113,3)</f>
        <v>P1_EXP1_I_A_AI_019</v>
      </c>
      <c r="M113" s="45"/>
      <c r="N113" s="45"/>
      <c r="O113" s="46"/>
      <c r="P113" s="46"/>
      <c r="Q113" s="46"/>
      <c r="R113" s="47"/>
      <c r="S113" s="45"/>
      <c r="T113" s="45"/>
      <c r="U113" s="48" t="str">
        <f aca="false">IF(O113&gt;0,P113/O113,"")</f>
        <v/>
      </c>
      <c r="V113" s="49" t="str">
        <f aca="false">IF(P113&gt;0,Q113/P113,"")</f>
        <v/>
      </c>
      <c r="W113" s="50" t="n">
        <f aca="false">IF(R113&lt;&gt;"",R113,Q113*'Cài đặt'!$B$12)</f>
        <v>0</v>
      </c>
      <c r="X113" s="50" t="str">
        <f aca="false">IF(O113&gt;0,W113/O113*1000,"")</f>
        <v/>
      </c>
      <c r="Y113" s="51" t="n">
        <f aca="false">IF(T113&lt;&gt;"",T113,INDEX('Cài đặt'!$B$20:$C$22,MATCH(I113,'Cài đặt'!$A$20:$A$22,0),IF(K113="AI tự động",1,2)))</f>
        <v>2</v>
      </c>
    </row>
    <row r="114" customFormat="false" ht="15" hidden="false" customHeight="false" outlineLevel="0" collapsed="false">
      <c r="A114" s="41" t="s">
        <v>559</v>
      </c>
      <c r="B114" s="41" t="s">
        <v>443</v>
      </c>
      <c r="C114" s="41" t="s">
        <v>154</v>
      </c>
      <c r="D114" s="42" t="str">
        <f aca="false">INDEX('Page và Ngách'!$B$5:$B$10,MATCH(C114,'Page và Ngách'!$A$5:$A$10,0))</f>
        <v>Werewolf / Rejected mate</v>
      </c>
      <c r="E114" s="41" t="n">
        <v>10</v>
      </c>
      <c r="F114" s="43" t="n">
        <f aca="false">'Cài đặt'!$B$37+E114-1</f>
        <v>46344</v>
      </c>
      <c r="G114" s="41" t="s">
        <v>451</v>
      </c>
      <c r="H114" s="44" t="str">
        <f aca="false">IF(G114="S1",'Cài đặt'!$B$7,'Cài đặt'!$B$8)</f>
        <v>20:00</v>
      </c>
      <c r="I114" s="41" t="s">
        <v>113</v>
      </c>
      <c r="J114" s="41" t="s">
        <v>132</v>
      </c>
      <c r="K114" s="41" t="s">
        <v>445</v>
      </c>
      <c r="L114" s="42" t="str">
        <f aca="false">C114&amp;"_"&amp;B114&amp;"_"&amp;IF(I114="Reel","R",IF(I114="Carousel","C","I"))&amp;"_"&amp;J114&amp;"_"&amp;IF(K114="AI tự động","AI","HU")&amp;"_"&amp;RIGHT(A114,3)</f>
        <v>P1_EXP1_C_A_AI_020</v>
      </c>
      <c r="M114" s="45"/>
      <c r="N114" s="45"/>
      <c r="O114" s="46"/>
      <c r="P114" s="46"/>
      <c r="Q114" s="46"/>
      <c r="R114" s="47"/>
      <c r="S114" s="45"/>
      <c r="T114" s="45"/>
      <c r="U114" s="48" t="str">
        <f aca="false">IF(O114&gt;0,P114/O114,"")</f>
        <v/>
      </c>
      <c r="V114" s="49" t="str">
        <f aca="false">IF(P114&gt;0,Q114/P114,"")</f>
        <v/>
      </c>
      <c r="W114" s="50" t="n">
        <f aca="false">IF(R114&lt;&gt;"",R114,Q114*'Cài đặt'!$B$12)</f>
        <v>0</v>
      </c>
      <c r="X114" s="50" t="str">
        <f aca="false">IF(O114&gt;0,W114/O114*1000,"")</f>
        <v/>
      </c>
      <c r="Y114" s="51" t="n">
        <f aca="false">IF(T114&lt;&gt;"",T114,INDEX('Cài đặt'!$B$20:$C$22,MATCH(I114,'Cài đặt'!$A$20:$A$22,0),IF(K114="AI tự động",1,2)))</f>
        <v>4</v>
      </c>
    </row>
    <row r="115" customFormat="false" ht="15" hidden="false" customHeight="false" outlineLevel="0" collapsed="false">
      <c r="A115" s="41" t="s">
        <v>560</v>
      </c>
      <c r="B115" s="41" t="s">
        <v>443</v>
      </c>
      <c r="C115" s="41" t="s">
        <v>163</v>
      </c>
      <c r="D115" s="42" t="str">
        <f aca="false">INDEX('Page và Ngách'!$B$5:$B$10,MATCH(C115,'Page và Ngách'!$A$5:$A$10,0))</f>
        <v>Secret billionaire / CEO</v>
      </c>
      <c r="E115" s="41" t="n">
        <v>10</v>
      </c>
      <c r="F115" s="43" t="n">
        <f aca="false">'Cài đặt'!$B$37+E115-1</f>
        <v>46344</v>
      </c>
      <c r="G115" s="41" t="s">
        <v>444</v>
      </c>
      <c r="H115" s="44" t="str">
        <f aca="false">IF(G115="S1",'Cài đặt'!$B$7,'Cài đặt'!$B$8)</f>
        <v>12:00</v>
      </c>
      <c r="I115" s="41" t="s">
        <v>113</v>
      </c>
      <c r="J115" s="41" t="s">
        <v>132</v>
      </c>
      <c r="K115" s="41" t="s">
        <v>445</v>
      </c>
      <c r="L115" s="42" t="str">
        <f aca="false">C115&amp;"_"&amp;B115&amp;"_"&amp;IF(I115="Reel","R",IF(I115="Carousel","C","I"))&amp;"_"&amp;J115&amp;"_"&amp;IF(K115="AI tự động","AI","HU")&amp;"_"&amp;RIGHT(A115,3)</f>
        <v>P2_EXP1_C_A_AI_019</v>
      </c>
      <c r="M115" s="45"/>
      <c r="N115" s="45"/>
      <c r="O115" s="46"/>
      <c r="P115" s="46"/>
      <c r="Q115" s="46"/>
      <c r="R115" s="47"/>
      <c r="S115" s="45"/>
      <c r="T115" s="45"/>
      <c r="U115" s="48" t="str">
        <f aca="false">IF(O115&gt;0,P115/O115,"")</f>
        <v/>
      </c>
      <c r="V115" s="49" t="str">
        <f aca="false">IF(P115&gt;0,Q115/P115,"")</f>
        <v/>
      </c>
      <c r="W115" s="50" t="n">
        <f aca="false">IF(R115&lt;&gt;"",R115,Q115*'Cài đặt'!$B$12)</f>
        <v>0</v>
      </c>
      <c r="X115" s="50" t="str">
        <f aca="false">IF(O115&gt;0,W115/O115*1000,"")</f>
        <v/>
      </c>
      <c r="Y115" s="51" t="n">
        <f aca="false">IF(T115&lt;&gt;"",T115,INDEX('Cài đặt'!$B$20:$C$22,MATCH(I115,'Cài đặt'!$A$20:$A$22,0),IF(K115="AI tự động",1,2)))</f>
        <v>4</v>
      </c>
    </row>
    <row r="116" customFormat="false" ht="15" hidden="false" customHeight="false" outlineLevel="0" collapsed="false">
      <c r="A116" s="41" t="s">
        <v>561</v>
      </c>
      <c r="B116" s="41" t="s">
        <v>443</v>
      </c>
      <c r="C116" s="41" t="s">
        <v>163</v>
      </c>
      <c r="D116" s="42" t="str">
        <f aca="false">INDEX('Page và Ngách'!$B$5:$B$10,MATCH(C116,'Page và Ngách'!$A$5:$A$10,0))</f>
        <v>Secret billionaire / CEO</v>
      </c>
      <c r="E116" s="41" t="n">
        <v>10</v>
      </c>
      <c r="F116" s="43" t="n">
        <f aca="false">'Cài đặt'!$B$37+E116-1</f>
        <v>46344</v>
      </c>
      <c r="G116" s="41" t="s">
        <v>451</v>
      </c>
      <c r="H116" s="44" t="str">
        <f aca="false">IF(G116="S1",'Cài đặt'!$B$7,'Cài đặt'!$B$8)</f>
        <v>20:00</v>
      </c>
      <c r="I116" s="41" t="s">
        <v>115</v>
      </c>
      <c r="J116" s="41" t="s">
        <v>132</v>
      </c>
      <c r="K116" s="41" t="s">
        <v>445</v>
      </c>
      <c r="L116" s="42" t="str">
        <f aca="false">C116&amp;"_"&amp;B116&amp;"_"&amp;IF(I116="Reel","R",IF(I116="Carousel","C","I"))&amp;"_"&amp;J116&amp;"_"&amp;IF(K116="AI tự động","AI","HU")&amp;"_"&amp;RIGHT(A116,3)</f>
        <v>P2_EXP1_R_A_AI_020</v>
      </c>
      <c r="M116" s="45"/>
      <c r="N116" s="45"/>
      <c r="O116" s="46"/>
      <c r="P116" s="46"/>
      <c r="Q116" s="46"/>
      <c r="R116" s="47"/>
      <c r="S116" s="45"/>
      <c r="T116" s="45"/>
      <c r="U116" s="48" t="str">
        <f aca="false">IF(O116&gt;0,P116/O116,"")</f>
        <v/>
      </c>
      <c r="V116" s="49" t="str">
        <f aca="false">IF(P116&gt;0,Q116/P116,"")</f>
        <v/>
      </c>
      <c r="W116" s="50" t="n">
        <f aca="false">IF(R116&lt;&gt;"",R116,Q116*'Cài đặt'!$B$12)</f>
        <v>0</v>
      </c>
      <c r="X116" s="50" t="str">
        <f aca="false">IF(O116&gt;0,W116/O116*1000,"")</f>
        <v/>
      </c>
      <c r="Y116" s="51" t="n">
        <f aca="false">IF(T116&lt;&gt;"",T116,INDEX('Cài đặt'!$B$20:$C$22,MATCH(I116,'Cài đặt'!$A$20:$A$22,0),IF(K116="AI tự động",1,2)))</f>
        <v>8</v>
      </c>
    </row>
    <row r="117" customFormat="false" ht="15" hidden="false" customHeight="false" outlineLevel="0" collapsed="false">
      <c r="A117" s="41" t="s">
        <v>562</v>
      </c>
      <c r="B117" s="41" t="s">
        <v>443</v>
      </c>
      <c r="C117" s="41" t="s">
        <v>171</v>
      </c>
      <c r="D117" s="42" t="str">
        <f aca="false">INDEX('Page và Ngách'!$B$5:$B$10,MATCH(C117,'Page và Ngách'!$A$5:$A$10,0))</f>
        <v>Contract marriage / Fake relationship</v>
      </c>
      <c r="E117" s="41" t="n">
        <v>10</v>
      </c>
      <c r="F117" s="43" t="n">
        <f aca="false">'Cài đặt'!$B$37+E117-1</f>
        <v>46344</v>
      </c>
      <c r="G117" s="41" t="s">
        <v>444</v>
      </c>
      <c r="H117" s="44" t="str">
        <f aca="false">IF(G117="S1",'Cài đặt'!$B$7,'Cài đặt'!$B$8)</f>
        <v>12:00</v>
      </c>
      <c r="I117" s="41" t="s">
        <v>115</v>
      </c>
      <c r="J117" s="41" t="s">
        <v>132</v>
      </c>
      <c r="K117" s="41" t="s">
        <v>445</v>
      </c>
      <c r="L117" s="42" t="str">
        <f aca="false">C117&amp;"_"&amp;B117&amp;"_"&amp;IF(I117="Reel","R",IF(I117="Carousel","C","I"))&amp;"_"&amp;J117&amp;"_"&amp;IF(K117="AI tự động","AI","HU")&amp;"_"&amp;RIGHT(A117,3)</f>
        <v>P3_EXP1_R_A_AI_019</v>
      </c>
      <c r="M117" s="45"/>
      <c r="N117" s="45"/>
      <c r="O117" s="46"/>
      <c r="P117" s="46"/>
      <c r="Q117" s="46"/>
      <c r="R117" s="47"/>
      <c r="S117" s="45"/>
      <c r="T117" s="45"/>
      <c r="U117" s="48" t="str">
        <f aca="false">IF(O117&gt;0,P117/O117,"")</f>
        <v/>
      </c>
      <c r="V117" s="49" t="str">
        <f aca="false">IF(P117&gt;0,Q117/P117,"")</f>
        <v/>
      </c>
      <c r="W117" s="50" t="n">
        <f aca="false">IF(R117&lt;&gt;"",R117,Q117*'Cài đặt'!$B$12)</f>
        <v>0</v>
      </c>
      <c r="X117" s="50" t="str">
        <f aca="false">IF(O117&gt;0,W117/O117*1000,"")</f>
        <v/>
      </c>
      <c r="Y117" s="51" t="n">
        <f aca="false">IF(T117&lt;&gt;"",T117,INDEX('Cài đặt'!$B$20:$C$22,MATCH(I117,'Cài đặt'!$A$20:$A$22,0),IF(K117="AI tự động",1,2)))</f>
        <v>8</v>
      </c>
    </row>
    <row r="118" customFormat="false" ht="15" hidden="false" customHeight="false" outlineLevel="0" collapsed="false">
      <c r="A118" s="41" t="s">
        <v>563</v>
      </c>
      <c r="B118" s="41" t="s">
        <v>443</v>
      </c>
      <c r="C118" s="41" t="s">
        <v>171</v>
      </c>
      <c r="D118" s="42" t="str">
        <f aca="false">INDEX('Page và Ngách'!$B$5:$B$10,MATCH(C118,'Page và Ngách'!$A$5:$A$10,0))</f>
        <v>Contract marriage / Fake relationship</v>
      </c>
      <c r="E118" s="41" t="n">
        <v>10</v>
      </c>
      <c r="F118" s="43" t="n">
        <f aca="false">'Cài đặt'!$B$37+E118-1</f>
        <v>46344</v>
      </c>
      <c r="G118" s="41" t="s">
        <v>451</v>
      </c>
      <c r="H118" s="44" t="str">
        <f aca="false">IF(G118="S1",'Cài đặt'!$B$7,'Cài đặt'!$B$8)</f>
        <v>20:00</v>
      </c>
      <c r="I118" s="41" t="s">
        <v>111</v>
      </c>
      <c r="J118" s="41" t="s">
        <v>132</v>
      </c>
      <c r="K118" s="41" t="s">
        <v>445</v>
      </c>
      <c r="L118" s="42" t="str">
        <f aca="false">C118&amp;"_"&amp;B118&amp;"_"&amp;IF(I118="Reel","R",IF(I118="Carousel","C","I"))&amp;"_"&amp;J118&amp;"_"&amp;IF(K118="AI tự động","AI","HU")&amp;"_"&amp;RIGHT(A118,3)</f>
        <v>P3_EXP1_I_A_AI_020</v>
      </c>
      <c r="M118" s="45"/>
      <c r="N118" s="45"/>
      <c r="O118" s="46"/>
      <c r="P118" s="46"/>
      <c r="Q118" s="46"/>
      <c r="R118" s="47"/>
      <c r="S118" s="45"/>
      <c r="T118" s="45"/>
      <c r="U118" s="48" t="str">
        <f aca="false">IF(O118&gt;0,P118/O118,"")</f>
        <v/>
      </c>
      <c r="V118" s="49" t="str">
        <f aca="false">IF(P118&gt;0,Q118/P118,"")</f>
        <v/>
      </c>
      <c r="W118" s="50" t="n">
        <f aca="false">IF(R118&lt;&gt;"",R118,Q118*'Cài đặt'!$B$12)</f>
        <v>0</v>
      </c>
      <c r="X118" s="50" t="str">
        <f aca="false">IF(O118&gt;0,W118/O118*1000,"")</f>
        <v/>
      </c>
      <c r="Y118" s="51" t="n">
        <f aca="false">IF(T118&lt;&gt;"",T118,INDEX('Cài đặt'!$B$20:$C$22,MATCH(I118,'Cài đặt'!$A$20:$A$22,0),IF(K118="AI tự động",1,2)))</f>
        <v>2</v>
      </c>
    </row>
    <row r="119" customFormat="false" ht="15" hidden="false" customHeight="false" outlineLevel="0" collapsed="false">
      <c r="A119" s="41" t="s">
        <v>564</v>
      </c>
      <c r="B119" s="41" t="s">
        <v>443</v>
      </c>
      <c r="C119" s="41" t="s">
        <v>178</v>
      </c>
      <c r="D119" s="42" t="str">
        <f aca="false">INDEX('Page và Ngách'!$B$5:$B$10,MATCH(C119,'Page và Ngách'!$A$5:$A$10,0))</f>
        <v>Revenge / Betrayal ("you'll regret it")</v>
      </c>
      <c r="E119" s="41" t="n">
        <v>10</v>
      </c>
      <c r="F119" s="43" t="n">
        <f aca="false">'Cài đặt'!$B$37+E119-1</f>
        <v>46344</v>
      </c>
      <c r="G119" s="41" t="s">
        <v>444</v>
      </c>
      <c r="H119" s="44" t="str">
        <f aca="false">IF(G119="S1",'Cài đặt'!$B$7,'Cài đặt'!$B$8)</f>
        <v>12:00</v>
      </c>
      <c r="I119" s="41" t="s">
        <v>111</v>
      </c>
      <c r="J119" s="41" t="s">
        <v>132</v>
      </c>
      <c r="K119" s="41" t="s">
        <v>445</v>
      </c>
      <c r="L119" s="42" t="str">
        <f aca="false">C119&amp;"_"&amp;B119&amp;"_"&amp;IF(I119="Reel","R",IF(I119="Carousel","C","I"))&amp;"_"&amp;J119&amp;"_"&amp;IF(K119="AI tự động","AI","HU")&amp;"_"&amp;RIGHT(A119,3)</f>
        <v>P4_EXP1_I_A_AI_019</v>
      </c>
      <c r="M119" s="45"/>
      <c r="N119" s="45"/>
      <c r="O119" s="46"/>
      <c r="P119" s="46"/>
      <c r="Q119" s="46"/>
      <c r="R119" s="47"/>
      <c r="S119" s="45"/>
      <c r="T119" s="45"/>
      <c r="U119" s="48" t="str">
        <f aca="false">IF(O119&gt;0,P119/O119,"")</f>
        <v/>
      </c>
      <c r="V119" s="49" t="str">
        <f aca="false">IF(P119&gt;0,Q119/P119,"")</f>
        <v/>
      </c>
      <c r="W119" s="50" t="n">
        <f aca="false">IF(R119&lt;&gt;"",R119,Q119*'Cài đặt'!$B$12)</f>
        <v>0</v>
      </c>
      <c r="X119" s="50" t="str">
        <f aca="false">IF(O119&gt;0,W119/O119*1000,"")</f>
        <v/>
      </c>
      <c r="Y119" s="51" t="n">
        <f aca="false">IF(T119&lt;&gt;"",T119,INDEX('Cài đặt'!$B$20:$C$22,MATCH(I119,'Cài đặt'!$A$20:$A$22,0),IF(K119="AI tự động",1,2)))</f>
        <v>2</v>
      </c>
    </row>
    <row r="120" customFormat="false" ht="15" hidden="false" customHeight="false" outlineLevel="0" collapsed="false">
      <c r="A120" s="41" t="s">
        <v>565</v>
      </c>
      <c r="B120" s="41" t="s">
        <v>443</v>
      </c>
      <c r="C120" s="41" t="s">
        <v>178</v>
      </c>
      <c r="D120" s="42" t="str">
        <f aca="false">INDEX('Page và Ngách'!$B$5:$B$10,MATCH(C120,'Page và Ngách'!$A$5:$A$10,0))</f>
        <v>Revenge / Betrayal ("you'll regret it")</v>
      </c>
      <c r="E120" s="41" t="n">
        <v>10</v>
      </c>
      <c r="F120" s="43" t="n">
        <f aca="false">'Cài đặt'!$B$37+E120-1</f>
        <v>46344</v>
      </c>
      <c r="G120" s="41" t="s">
        <v>451</v>
      </c>
      <c r="H120" s="44" t="str">
        <f aca="false">IF(G120="S1",'Cài đặt'!$B$7,'Cài đặt'!$B$8)</f>
        <v>20:00</v>
      </c>
      <c r="I120" s="41" t="s">
        <v>113</v>
      </c>
      <c r="J120" s="41" t="s">
        <v>132</v>
      </c>
      <c r="K120" s="41" t="s">
        <v>445</v>
      </c>
      <c r="L120" s="42" t="str">
        <f aca="false">C120&amp;"_"&amp;B120&amp;"_"&amp;IF(I120="Reel","R",IF(I120="Carousel","C","I"))&amp;"_"&amp;J120&amp;"_"&amp;IF(K120="AI tự động","AI","HU")&amp;"_"&amp;RIGHT(A120,3)</f>
        <v>P4_EXP1_C_A_AI_020</v>
      </c>
      <c r="M120" s="45"/>
      <c r="N120" s="45"/>
      <c r="O120" s="46"/>
      <c r="P120" s="46"/>
      <c r="Q120" s="46"/>
      <c r="R120" s="47"/>
      <c r="S120" s="45"/>
      <c r="T120" s="45"/>
      <c r="U120" s="48" t="str">
        <f aca="false">IF(O120&gt;0,P120/O120,"")</f>
        <v/>
      </c>
      <c r="V120" s="49" t="str">
        <f aca="false">IF(P120&gt;0,Q120/P120,"")</f>
        <v/>
      </c>
      <c r="W120" s="50" t="n">
        <f aca="false">IF(R120&lt;&gt;"",R120,Q120*'Cài đặt'!$B$12)</f>
        <v>0</v>
      </c>
      <c r="X120" s="50" t="str">
        <f aca="false">IF(O120&gt;0,W120/O120*1000,"")</f>
        <v/>
      </c>
      <c r="Y120" s="51" t="n">
        <f aca="false">IF(T120&lt;&gt;"",T120,INDEX('Cài đặt'!$B$20:$C$22,MATCH(I120,'Cài đặt'!$A$20:$A$22,0),IF(K120="AI tự động",1,2)))</f>
        <v>4</v>
      </c>
    </row>
    <row r="121" customFormat="false" ht="15" hidden="false" customHeight="false" outlineLevel="0" collapsed="false">
      <c r="A121" s="41" t="s">
        <v>566</v>
      </c>
      <c r="B121" s="41" t="s">
        <v>443</v>
      </c>
      <c r="C121" s="41" t="s">
        <v>185</v>
      </c>
      <c r="D121" s="42" t="str">
        <f aca="false">INDEX('Page và Ngách'!$B$5:$B$10,MATCH(C121,'Page và Ngách'!$A$5:$A$10,0))</f>
        <v>Mafia / Dark romance (teaser PG-13)</v>
      </c>
      <c r="E121" s="41" t="n">
        <v>10</v>
      </c>
      <c r="F121" s="43" t="n">
        <f aca="false">'Cài đặt'!$B$37+E121-1</f>
        <v>46344</v>
      </c>
      <c r="G121" s="41" t="s">
        <v>444</v>
      </c>
      <c r="H121" s="44" t="str">
        <f aca="false">IF(G121="S1",'Cài đặt'!$B$7,'Cài đặt'!$B$8)</f>
        <v>12:00</v>
      </c>
      <c r="I121" s="41" t="s">
        <v>113</v>
      </c>
      <c r="J121" s="41" t="s">
        <v>132</v>
      </c>
      <c r="K121" s="41" t="s">
        <v>445</v>
      </c>
      <c r="L121" s="42" t="str">
        <f aca="false">C121&amp;"_"&amp;B121&amp;"_"&amp;IF(I121="Reel","R",IF(I121="Carousel","C","I"))&amp;"_"&amp;J121&amp;"_"&amp;IF(K121="AI tự động","AI","HU")&amp;"_"&amp;RIGHT(A121,3)</f>
        <v>P5_EXP1_C_A_AI_019</v>
      </c>
      <c r="M121" s="45"/>
      <c r="N121" s="45"/>
      <c r="O121" s="46"/>
      <c r="P121" s="46"/>
      <c r="Q121" s="46"/>
      <c r="R121" s="47"/>
      <c r="S121" s="45"/>
      <c r="T121" s="45"/>
      <c r="U121" s="48" t="str">
        <f aca="false">IF(O121&gt;0,P121/O121,"")</f>
        <v/>
      </c>
      <c r="V121" s="49" t="str">
        <f aca="false">IF(P121&gt;0,Q121/P121,"")</f>
        <v/>
      </c>
      <c r="W121" s="50" t="n">
        <f aca="false">IF(R121&lt;&gt;"",R121,Q121*'Cài đặt'!$B$12)</f>
        <v>0</v>
      </c>
      <c r="X121" s="50" t="str">
        <f aca="false">IF(O121&gt;0,W121/O121*1000,"")</f>
        <v/>
      </c>
      <c r="Y121" s="51" t="n">
        <f aca="false">IF(T121&lt;&gt;"",T121,INDEX('Cài đặt'!$B$20:$C$22,MATCH(I121,'Cài đặt'!$A$20:$A$22,0),IF(K121="AI tự động",1,2)))</f>
        <v>4</v>
      </c>
    </row>
    <row r="122" customFormat="false" ht="15" hidden="false" customHeight="false" outlineLevel="0" collapsed="false">
      <c r="A122" s="41" t="s">
        <v>567</v>
      </c>
      <c r="B122" s="41" t="s">
        <v>443</v>
      </c>
      <c r="C122" s="41" t="s">
        <v>185</v>
      </c>
      <c r="D122" s="42" t="str">
        <f aca="false">INDEX('Page và Ngách'!$B$5:$B$10,MATCH(C122,'Page và Ngách'!$A$5:$A$10,0))</f>
        <v>Mafia / Dark romance (teaser PG-13)</v>
      </c>
      <c r="E122" s="41" t="n">
        <v>10</v>
      </c>
      <c r="F122" s="43" t="n">
        <f aca="false">'Cài đặt'!$B$37+E122-1</f>
        <v>46344</v>
      </c>
      <c r="G122" s="41" t="s">
        <v>451</v>
      </c>
      <c r="H122" s="44" t="str">
        <f aca="false">IF(G122="S1",'Cài đặt'!$B$7,'Cài đặt'!$B$8)</f>
        <v>20:00</v>
      </c>
      <c r="I122" s="41" t="s">
        <v>115</v>
      </c>
      <c r="J122" s="41" t="s">
        <v>132</v>
      </c>
      <c r="K122" s="41" t="s">
        <v>445</v>
      </c>
      <c r="L122" s="42" t="str">
        <f aca="false">C122&amp;"_"&amp;B122&amp;"_"&amp;IF(I122="Reel","R",IF(I122="Carousel","C","I"))&amp;"_"&amp;J122&amp;"_"&amp;IF(K122="AI tự động","AI","HU")&amp;"_"&amp;RIGHT(A122,3)</f>
        <v>P5_EXP1_R_A_AI_020</v>
      </c>
      <c r="M122" s="45"/>
      <c r="N122" s="45"/>
      <c r="O122" s="46"/>
      <c r="P122" s="46"/>
      <c r="Q122" s="46"/>
      <c r="R122" s="47"/>
      <c r="S122" s="45"/>
      <c r="T122" s="45"/>
      <c r="U122" s="48" t="str">
        <f aca="false">IF(O122&gt;0,P122/O122,"")</f>
        <v/>
      </c>
      <c r="V122" s="49" t="str">
        <f aca="false">IF(P122&gt;0,Q122/P122,"")</f>
        <v/>
      </c>
      <c r="W122" s="50" t="n">
        <f aca="false">IF(R122&lt;&gt;"",R122,Q122*'Cài đặt'!$B$12)</f>
        <v>0</v>
      </c>
      <c r="X122" s="50" t="str">
        <f aca="false">IF(O122&gt;0,W122/O122*1000,"")</f>
        <v/>
      </c>
      <c r="Y122" s="51" t="n">
        <f aca="false">IF(T122&lt;&gt;"",T122,INDEX('Cài đặt'!$B$20:$C$22,MATCH(I122,'Cài đặt'!$A$20:$A$22,0),IF(K122="AI tự động",1,2)))</f>
        <v>8</v>
      </c>
    </row>
    <row r="123" customFormat="false" ht="15" hidden="false" customHeight="false" outlineLevel="0" collapsed="false">
      <c r="A123" s="41" t="s">
        <v>568</v>
      </c>
      <c r="B123" s="41" t="s">
        <v>443</v>
      </c>
      <c r="C123" s="41" t="s">
        <v>193</v>
      </c>
      <c r="D123" s="42" t="str">
        <f aca="false">INDEX('Page và Ngách'!$B$5:$B$10,MATCH(C123,'Page và Ngách'!$A$5:$A$10,0))</f>
        <v>Second chance / Secret baby</v>
      </c>
      <c r="E123" s="41" t="n">
        <v>10</v>
      </c>
      <c r="F123" s="43" t="n">
        <f aca="false">'Cài đặt'!$B$37+E123-1</f>
        <v>46344</v>
      </c>
      <c r="G123" s="41" t="s">
        <v>444</v>
      </c>
      <c r="H123" s="44" t="str">
        <f aca="false">IF(G123="S1",'Cài đặt'!$B$7,'Cài đặt'!$B$8)</f>
        <v>12:00</v>
      </c>
      <c r="I123" s="41" t="s">
        <v>115</v>
      </c>
      <c r="J123" s="41" t="s">
        <v>132</v>
      </c>
      <c r="K123" s="41" t="s">
        <v>445</v>
      </c>
      <c r="L123" s="42" t="str">
        <f aca="false">C123&amp;"_"&amp;B123&amp;"_"&amp;IF(I123="Reel","R",IF(I123="Carousel","C","I"))&amp;"_"&amp;J123&amp;"_"&amp;IF(K123="AI tự động","AI","HU")&amp;"_"&amp;RIGHT(A123,3)</f>
        <v>P6_EXP1_R_A_AI_019</v>
      </c>
      <c r="M123" s="45"/>
      <c r="N123" s="45"/>
      <c r="O123" s="46"/>
      <c r="P123" s="46"/>
      <c r="Q123" s="46"/>
      <c r="R123" s="47"/>
      <c r="S123" s="45"/>
      <c r="T123" s="45"/>
      <c r="U123" s="48" t="str">
        <f aca="false">IF(O123&gt;0,P123/O123,"")</f>
        <v/>
      </c>
      <c r="V123" s="49" t="str">
        <f aca="false">IF(P123&gt;0,Q123/P123,"")</f>
        <v/>
      </c>
      <c r="W123" s="50" t="n">
        <f aca="false">IF(R123&lt;&gt;"",R123,Q123*'Cài đặt'!$B$12)</f>
        <v>0</v>
      </c>
      <c r="X123" s="50" t="str">
        <f aca="false">IF(O123&gt;0,W123/O123*1000,"")</f>
        <v/>
      </c>
      <c r="Y123" s="51" t="n">
        <f aca="false">IF(T123&lt;&gt;"",T123,INDEX('Cài đặt'!$B$20:$C$22,MATCH(I123,'Cài đặt'!$A$20:$A$22,0),IF(K123="AI tự động",1,2)))</f>
        <v>8</v>
      </c>
    </row>
    <row r="124" customFormat="false" ht="15" hidden="false" customHeight="false" outlineLevel="0" collapsed="false">
      <c r="A124" s="41" t="s">
        <v>569</v>
      </c>
      <c r="B124" s="41" t="s">
        <v>443</v>
      </c>
      <c r="C124" s="41" t="s">
        <v>193</v>
      </c>
      <c r="D124" s="42" t="str">
        <f aca="false">INDEX('Page và Ngách'!$B$5:$B$10,MATCH(C124,'Page và Ngách'!$A$5:$A$10,0))</f>
        <v>Second chance / Secret baby</v>
      </c>
      <c r="E124" s="41" t="n">
        <v>10</v>
      </c>
      <c r="F124" s="43" t="n">
        <f aca="false">'Cài đặt'!$B$37+E124-1</f>
        <v>46344</v>
      </c>
      <c r="G124" s="41" t="s">
        <v>451</v>
      </c>
      <c r="H124" s="44" t="str">
        <f aca="false">IF(G124="S1",'Cài đặt'!$B$7,'Cài đặt'!$B$8)</f>
        <v>20:00</v>
      </c>
      <c r="I124" s="41" t="s">
        <v>111</v>
      </c>
      <c r="J124" s="41" t="s">
        <v>132</v>
      </c>
      <c r="K124" s="41" t="s">
        <v>445</v>
      </c>
      <c r="L124" s="42" t="str">
        <f aca="false">C124&amp;"_"&amp;B124&amp;"_"&amp;IF(I124="Reel","R",IF(I124="Carousel","C","I"))&amp;"_"&amp;J124&amp;"_"&amp;IF(K124="AI tự động","AI","HU")&amp;"_"&amp;RIGHT(A124,3)</f>
        <v>P6_EXP1_I_A_AI_020</v>
      </c>
      <c r="M124" s="45"/>
      <c r="N124" s="45"/>
      <c r="O124" s="46"/>
      <c r="P124" s="46"/>
      <c r="Q124" s="46"/>
      <c r="R124" s="47"/>
      <c r="S124" s="45"/>
      <c r="T124" s="45"/>
      <c r="U124" s="48" t="str">
        <f aca="false">IF(O124&gt;0,P124/O124,"")</f>
        <v/>
      </c>
      <c r="V124" s="49" t="str">
        <f aca="false">IF(P124&gt;0,Q124/P124,"")</f>
        <v/>
      </c>
      <c r="W124" s="50" t="n">
        <f aca="false">IF(R124&lt;&gt;"",R124,Q124*'Cài đặt'!$B$12)</f>
        <v>0</v>
      </c>
      <c r="X124" s="50" t="str">
        <f aca="false">IF(O124&gt;0,W124/O124*1000,"")</f>
        <v/>
      </c>
      <c r="Y124" s="51" t="n">
        <f aca="false">IF(T124&lt;&gt;"",T124,INDEX('Cài đặt'!$B$20:$C$22,MATCH(I124,'Cài đặt'!$A$20:$A$22,0),IF(K124="AI tự động",1,2)))</f>
        <v>2</v>
      </c>
    </row>
    <row r="125" customFormat="false" ht="15" hidden="false" customHeight="false" outlineLevel="0" collapsed="false">
      <c r="A125" s="41" t="s">
        <v>570</v>
      </c>
      <c r="B125" s="41" t="s">
        <v>443</v>
      </c>
      <c r="C125" s="41" t="s">
        <v>154</v>
      </c>
      <c r="D125" s="42" t="str">
        <f aca="false">INDEX('Page và Ngách'!$B$5:$B$10,MATCH(C125,'Page và Ngách'!$A$5:$A$10,0))</f>
        <v>Werewolf / Rejected mate</v>
      </c>
      <c r="E125" s="41" t="n">
        <v>11</v>
      </c>
      <c r="F125" s="43" t="n">
        <f aca="false">'Cài đặt'!$B$37+E125-1</f>
        <v>46345</v>
      </c>
      <c r="G125" s="41" t="s">
        <v>444</v>
      </c>
      <c r="H125" s="44" t="str">
        <f aca="false">IF(G125="S1",'Cài đặt'!$B$7,'Cài đặt'!$B$8)</f>
        <v>12:00</v>
      </c>
      <c r="I125" s="41" t="s">
        <v>115</v>
      </c>
      <c r="J125" s="41" t="s">
        <v>132</v>
      </c>
      <c r="K125" s="41" t="s">
        <v>445</v>
      </c>
      <c r="L125" s="42" t="str">
        <f aca="false">C125&amp;"_"&amp;B125&amp;"_"&amp;IF(I125="Reel","R",IF(I125="Carousel","C","I"))&amp;"_"&amp;J125&amp;"_"&amp;IF(K125="AI tự động","AI","HU")&amp;"_"&amp;RIGHT(A125,3)</f>
        <v>P1_EXP1_R_A_AI_021</v>
      </c>
      <c r="M125" s="45"/>
      <c r="N125" s="45"/>
      <c r="O125" s="46"/>
      <c r="P125" s="46"/>
      <c r="Q125" s="46"/>
      <c r="R125" s="47"/>
      <c r="S125" s="45"/>
      <c r="T125" s="45"/>
      <c r="U125" s="48" t="str">
        <f aca="false">IF(O125&gt;0,P125/O125,"")</f>
        <v/>
      </c>
      <c r="V125" s="49" t="str">
        <f aca="false">IF(P125&gt;0,Q125/P125,"")</f>
        <v/>
      </c>
      <c r="W125" s="50" t="n">
        <f aca="false">IF(R125&lt;&gt;"",R125,Q125*'Cài đặt'!$B$12)</f>
        <v>0</v>
      </c>
      <c r="X125" s="50" t="str">
        <f aca="false">IF(O125&gt;0,W125/O125*1000,"")</f>
        <v/>
      </c>
      <c r="Y125" s="51" t="n">
        <f aca="false">IF(T125&lt;&gt;"",T125,INDEX('Cài đặt'!$B$20:$C$22,MATCH(I125,'Cài đặt'!$A$20:$A$22,0),IF(K125="AI tự động",1,2)))</f>
        <v>8</v>
      </c>
    </row>
    <row r="126" customFormat="false" ht="15" hidden="false" customHeight="false" outlineLevel="0" collapsed="false">
      <c r="A126" s="41" t="s">
        <v>571</v>
      </c>
      <c r="B126" s="41" t="s">
        <v>443</v>
      </c>
      <c r="C126" s="41" t="s">
        <v>154</v>
      </c>
      <c r="D126" s="42" t="str">
        <f aca="false">INDEX('Page và Ngách'!$B$5:$B$10,MATCH(C126,'Page và Ngách'!$A$5:$A$10,0))</f>
        <v>Werewolf / Rejected mate</v>
      </c>
      <c r="E126" s="41" t="n">
        <v>11</v>
      </c>
      <c r="F126" s="43" t="n">
        <f aca="false">'Cài đặt'!$B$37+E126-1</f>
        <v>46345</v>
      </c>
      <c r="G126" s="41" t="s">
        <v>451</v>
      </c>
      <c r="H126" s="44" t="str">
        <f aca="false">IF(G126="S1",'Cài đặt'!$B$7,'Cài đặt'!$B$8)</f>
        <v>20:00</v>
      </c>
      <c r="I126" s="41" t="s">
        <v>111</v>
      </c>
      <c r="J126" s="41" t="s">
        <v>132</v>
      </c>
      <c r="K126" s="41" t="s">
        <v>445</v>
      </c>
      <c r="L126" s="42" t="str">
        <f aca="false">C126&amp;"_"&amp;B126&amp;"_"&amp;IF(I126="Reel","R",IF(I126="Carousel","C","I"))&amp;"_"&amp;J126&amp;"_"&amp;IF(K126="AI tự động","AI","HU")&amp;"_"&amp;RIGHT(A126,3)</f>
        <v>P1_EXP1_I_A_AI_022</v>
      </c>
      <c r="M126" s="45"/>
      <c r="N126" s="45"/>
      <c r="O126" s="46"/>
      <c r="P126" s="46"/>
      <c r="Q126" s="46"/>
      <c r="R126" s="47"/>
      <c r="S126" s="45"/>
      <c r="T126" s="45"/>
      <c r="U126" s="48" t="str">
        <f aca="false">IF(O126&gt;0,P126/O126,"")</f>
        <v/>
      </c>
      <c r="V126" s="49" t="str">
        <f aca="false">IF(P126&gt;0,Q126/P126,"")</f>
        <v/>
      </c>
      <c r="W126" s="50" t="n">
        <f aca="false">IF(R126&lt;&gt;"",R126,Q126*'Cài đặt'!$B$12)</f>
        <v>0</v>
      </c>
      <c r="X126" s="50" t="str">
        <f aca="false">IF(O126&gt;0,W126/O126*1000,"")</f>
        <v/>
      </c>
      <c r="Y126" s="51" t="n">
        <f aca="false">IF(T126&lt;&gt;"",T126,INDEX('Cài đặt'!$B$20:$C$22,MATCH(I126,'Cài đặt'!$A$20:$A$22,0),IF(K126="AI tự động",1,2)))</f>
        <v>2</v>
      </c>
    </row>
    <row r="127" customFormat="false" ht="15" hidden="false" customHeight="false" outlineLevel="0" collapsed="false">
      <c r="A127" s="41" t="s">
        <v>572</v>
      </c>
      <c r="B127" s="41" t="s">
        <v>443</v>
      </c>
      <c r="C127" s="41" t="s">
        <v>163</v>
      </c>
      <c r="D127" s="42" t="str">
        <f aca="false">INDEX('Page và Ngách'!$B$5:$B$10,MATCH(C127,'Page và Ngách'!$A$5:$A$10,0))</f>
        <v>Secret billionaire / CEO</v>
      </c>
      <c r="E127" s="41" t="n">
        <v>11</v>
      </c>
      <c r="F127" s="43" t="n">
        <f aca="false">'Cài đặt'!$B$37+E127-1</f>
        <v>46345</v>
      </c>
      <c r="G127" s="41" t="s">
        <v>444</v>
      </c>
      <c r="H127" s="44" t="str">
        <f aca="false">IF(G127="S1",'Cài đặt'!$B$7,'Cài đặt'!$B$8)</f>
        <v>12:00</v>
      </c>
      <c r="I127" s="41" t="s">
        <v>111</v>
      </c>
      <c r="J127" s="41" t="s">
        <v>132</v>
      </c>
      <c r="K127" s="41" t="s">
        <v>445</v>
      </c>
      <c r="L127" s="42" t="str">
        <f aca="false">C127&amp;"_"&amp;B127&amp;"_"&amp;IF(I127="Reel","R",IF(I127="Carousel","C","I"))&amp;"_"&amp;J127&amp;"_"&amp;IF(K127="AI tự động","AI","HU")&amp;"_"&amp;RIGHT(A127,3)</f>
        <v>P2_EXP1_I_A_AI_021</v>
      </c>
      <c r="M127" s="45"/>
      <c r="N127" s="45"/>
      <c r="O127" s="46"/>
      <c r="P127" s="46"/>
      <c r="Q127" s="46"/>
      <c r="R127" s="47"/>
      <c r="S127" s="45"/>
      <c r="T127" s="45"/>
      <c r="U127" s="48" t="str">
        <f aca="false">IF(O127&gt;0,P127/O127,"")</f>
        <v/>
      </c>
      <c r="V127" s="49" t="str">
        <f aca="false">IF(P127&gt;0,Q127/P127,"")</f>
        <v/>
      </c>
      <c r="W127" s="50" t="n">
        <f aca="false">IF(R127&lt;&gt;"",R127,Q127*'Cài đặt'!$B$12)</f>
        <v>0</v>
      </c>
      <c r="X127" s="50" t="str">
        <f aca="false">IF(O127&gt;0,W127/O127*1000,"")</f>
        <v/>
      </c>
      <c r="Y127" s="51" t="n">
        <f aca="false">IF(T127&lt;&gt;"",T127,INDEX('Cài đặt'!$B$20:$C$22,MATCH(I127,'Cài đặt'!$A$20:$A$22,0),IF(K127="AI tự động",1,2)))</f>
        <v>2</v>
      </c>
    </row>
    <row r="128" customFormat="false" ht="15" hidden="false" customHeight="false" outlineLevel="0" collapsed="false">
      <c r="A128" s="41" t="s">
        <v>573</v>
      </c>
      <c r="B128" s="41" t="s">
        <v>443</v>
      </c>
      <c r="C128" s="41" t="s">
        <v>163</v>
      </c>
      <c r="D128" s="42" t="str">
        <f aca="false">INDEX('Page và Ngách'!$B$5:$B$10,MATCH(C128,'Page và Ngách'!$A$5:$A$10,0))</f>
        <v>Secret billionaire / CEO</v>
      </c>
      <c r="E128" s="41" t="n">
        <v>11</v>
      </c>
      <c r="F128" s="43" t="n">
        <f aca="false">'Cài đặt'!$B$37+E128-1</f>
        <v>46345</v>
      </c>
      <c r="G128" s="41" t="s">
        <v>451</v>
      </c>
      <c r="H128" s="44" t="str">
        <f aca="false">IF(G128="S1",'Cài đặt'!$B$7,'Cài đặt'!$B$8)</f>
        <v>20:00</v>
      </c>
      <c r="I128" s="41" t="s">
        <v>113</v>
      </c>
      <c r="J128" s="41" t="s">
        <v>132</v>
      </c>
      <c r="K128" s="41" t="s">
        <v>445</v>
      </c>
      <c r="L128" s="42" t="str">
        <f aca="false">C128&amp;"_"&amp;B128&amp;"_"&amp;IF(I128="Reel","R",IF(I128="Carousel","C","I"))&amp;"_"&amp;J128&amp;"_"&amp;IF(K128="AI tự động","AI","HU")&amp;"_"&amp;RIGHT(A128,3)</f>
        <v>P2_EXP1_C_A_AI_022</v>
      </c>
      <c r="M128" s="45"/>
      <c r="N128" s="45"/>
      <c r="O128" s="46"/>
      <c r="P128" s="46"/>
      <c r="Q128" s="46"/>
      <c r="R128" s="47"/>
      <c r="S128" s="45"/>
      <c r="T128" s="45"/>
      <c r="U128" s="48" t="str">
        <f aca="false">IF(O128&gt;0,P128/O128,"")</f>
        <v/>
      </c>
      <c r="V128" s="49" t="str">
        <f aca="false">IF(P128&gt;0,Q128/P128,"")</f>
        <v/>
      </c>
      <c r="W128" s="50" t="n">
        <f aca="false">IF(R128&lt;&gt;"",R128,Q128*'Cài đặt'!$B$12)</f>
        <v>0</v>
      </c>
      <c r="X128" s="50" t="str">
        <f aca="false">IF(O128&gt;0,W128/O128*1000,"")</f>
        <v/>
      </c>
      <c r="Y128" s="51" t="n">
        <f aca="false">IF(T128&lt;&gt;"",T128,INDEX('Cài đặt'!$B$20:$C$22,MATCH(I128,'Cài đặt'!$A$20:$A$22,0),IF(K128="AI tự động",1,2)))</f>
        <v>4</v>
      </c>
    </row>
    <row r="129" customFormat="false" ht="15" hidden="false" customHeight="false" outlineLevel="0" collapsed="false">
      <c r="A129" s="41" t="s">
        <v>574</v>
      </c>
      <c r="B129" s="41" t="s">
        <v>443</v>
      </c>
      <c r="C129" s="41" t="s">
        <v>171</v>
      </c>
      <c r="D129" s="42" t="str">
        <f aca="false">INDEX('Page và Ngách'!$B$5:$B$10,MATCH(C129,'Page và Ngách'!$A$5:$A$10,0))</f>
        <v>Contract marriage / Fake relationship</v>
      </c>
      <c r="E129" s="41" t="n">
        <v>11</v>
      </c>
      <c r="F129" s="43" t="n">
        <f aca="false">'Cài đặt'!$B$37+E129-1</f>
        <v>46345</v>
      </c>
      <c r="G129" s="41" t="s">
        <v>444</v>
      </c>
      <c r="H129" s="44" t="str">
        <f aca="false">IF(G129="S1",'Cài đặt'!$B$7,'Cài đặt'!$B$8)</f>
        <v>12:00</v>
      </c>
      <c r="I129" s="41" t="s">
        <v>113</v>
      </c>
      <c r="J129" s="41" t="s">
        <v>132</v>
      </c>
      <c r="K129" s="41" t="s">
        <v>445</v>
      </c>
      <c r="L129" s="42" t="str">
        <f aca="false">C129&amp;"_"&amp;B129&amp;"_"&amp;IF(I129="Reel","R",IF(I129="Carousel","C","I"))&amp;"_"&amp;J129&amp;"_"&amp;IF(K129="AI tự động","AI","HU")&amp;"_"&amp;RIGHT(A129,3)</f>
        <v>P3_EXP1_C_A_AI_021</v>
      </c>
      <c r="M129" s="45"/>
      <c r="N129" s="45"/>
      <c r="O129" s="46"/>
      <c r="P129" s="46"/>
      <c r="Q129" s="46"/>
      <c r="R129" s="47"/>
      <c r="S129" s="45"/>
      <c r="T129" s="45"/>
      <c r="U129" s="48" t="str">
        <f aca="false">IF(O129&gt;0,P129/O129,"")</f>
        <v/>
      </c>
      <c r="V129" s="49" t="str">
        <f aca="false">IF(P129&gt;0,Q129/P129,"")</f>
        <v/>
      </c>
      <c r="W129" s="50" t="n">
        <f aca="false">IF(R129&lt;&gt;"",R129,Q129*'Cài đặt'!$B$12)</f>
        <v>0</v>
      </c>
      <c r="X129" s="50" t="str">
        <f aca="false">IF(O129&gt;0,W129/O129*1000,"")</f>
        <v/>
      </c>
      <c r="Y129" s="51" t="n">
        <f aca="false">IF(T129&lt;&gt;"",T129,INDEX('Cài đặt'!$B$20:$C$22,MATCH(I129,'Cài đặt'!$A$20:$A$22,0),IF(K129="AI tự động",1,2)))</f>
        <v>4</v>
      </c>
    </row>
    <row r="130" customFormat="false" ht="15" hidden="false" customHeight="false" outlineLevel="0" collapsed="false">
      <c r="A130" s="41" t="s">
        <v>575</v>
      </c>
      <c r="B130" s="41" t="s">
        <v>443</v>
      </c>
      <c r="C130" s="41" t="s">
        <v>171</v>
      </c>
      <c r="D130" s="42" t="str">
        <f aca="false">INDEX('Page và Ngách'!$B$5:$B$10,MATCH(C130,'Page và Ngách'!$A$5:$A$10,0))</f>
        <v>Contract marriage / Fake relationship</v>
      </c>
      <c r="E130" s="41" t="n">
        <v>11</v>
      </c>
      <c r="F130" s="43" t="n">
        <f aca="false">'Cài đặt'!$B$37+E130-1</f>
        <v>46345</v>
      </c>
      <c r="G130" s="41" t="s">
        <v>451</v>
      </c>
      <c r="H130" s="44" t="str">
        <f aca="false">IF(G130="S1",'Cài đặt'!$B$7,'Cài đặt'!$B$8)</f>
        <v>20:00</v>
      </c>
      <c r="I130" s="41" t="s">
        <v>115</v>
      </c>
      <c r="J130" s="41" t="s">
        <v>132</v>
      </c>
      <c r="K130" s="41" t="s">
        <v>445</v>
      </c>
      <c r="L130" s="42" t="str">
        <f aca="false">C130&amp;"_"&amp;B130&amp;"_"&amp;IF(I130="Reel","R",IF(I130="Carousel","C","I"))&amp;"_"&amp;J130&amp;"_"&amp;IF(K130="AI tự động","AI","HU")&amp;"_"&amp;RIGHT(A130,3)</f>
        <v>P3_EXP1_R_A_AI_022</v>
      </c>
      <c r="M130" s="45"/>
      <c r="N130" s="45"/>
      <c r="O130" s="46"/>
      <c r="P130" s="46"/>
      <c r="Q130" s="46"/>
      <c r="R130" s="47"/>
      <c r="S130" s="45"/>
      <c r="T130" s="45"/>
      <c r="U130" s="48" t="str">
        <f aca="false">IF(O130&gt;0,P130/O130,"")</f>
        <v/>
      </c>
      <c r="V130" s="49" t="str">
        <f aca="false">IF(P130&gt;0,Q130/P130,"")</f>
        <v/>
      </c>
      <c r="W130" s="50" t="n">
        <f aca="false">IF(R130&lt;&gt;"",R130,Q130*'Cài đặt'!$B$12)</f>
        <v>0</v>
      </c>
      <c r="X130" s="50" t="str">
        <f aca="false">IF(O130&gt;0,W130/O130*1000,"")</f>
        <v/>
      </c>
      <c r="Y130" s="51" t="n">
        <f aca="false">IF(T130&lt;&gt;"",T130,INDEX('Cài đặt'!$B$20:$C$22,MATCH(I130,'Cài đặt'!$A$20:$A$22,0),IF(K130="AI tự động",1,2)))</f>
        <v>8</v>
      </c>
    </row>
    <row r="131" customFormat="false" ht="15" hidden="false" customHeight="false" outlineLevel="0" collapsed="false">
      <c r="A131" s="41" t="s">
        <v>576</v>
      </c>
      <c r="B131" s="41" t="s">
        <v>443</v>
      </c>
      <c r="C131" s="41" t="s">
        <v>178</v>
      </c>
      <c r="D131" s="42" t="str">
        <f aca="false">INDEX('Page và Ngách'!$B$5:$B$10,MATCH(C131,'Page và Ngách'!$A$5:$A$10,0))</f>
        <v>Revenge / Betrayal ("you'll regret it")</v>
      </c>
      <c r="E131" s="41" t="n">
        <v>11</v>
      </c>
      <c r="F131" s="43" t="n">
        <f aca="false">'Cài đặt'!$B$37+E131-1</f>
        <v>46345</v>
      </c>
      <c r="G131" s="41" t="s">
        <v>444</v>
      </c>
      <c r="H131" s="44" t="str">
        <f aca="false">IF(G131="S1",'Cài đặt'!$B$7,'Cài đặt'!$B$8)</f>
        <v>12:00</v>
      </c>
      <c r="I131" s="41" t="s">
        <v>115</v>
      </c>
      <c r="J131" s="41" t="s">
        <v>132</v>
      </c>
      <c r="K131" s="41" t="s">
        <v>445</v>
      </c>
      <c r="L131" s="42" t="str">
        <f aca="false">C131&amp;"_"&amp;B131&amp;"_"&amp;IF(I131="Reel","R",IF(I131="Carousel","C","I"))&amp;"_"&amp;J131&amp;"_"&amp;IF(K131="AI tự động","AI","HU")&amp;"_"&amp;RIGHT(A131,3)</f>
        <v>P4_EXP1_R_A_AI_021</v>
      </c>
      <c r="M131" s="45"/>
      <c r="N131" s="45"/>
      <c r="O131" s="46"/>
      <c r="P131" s="46"/>
      <c r="Q131" s="46"/>
      <c r="R131" s="47"/>
      <c r="S131" s="45"/>
      <c r="T131" s="45"/>
      <c r="U131" s="48" t="str">
        <f aca="false">IF(O131&gt;0,P131/O131,"")</f>
        <v/>
      </c>
      <c r="V131" s="49" t="str">
        <f aca="false">IF(P131&gt;0,Q131/P131,"")</f>
        <v/>
      </c>
      <c r="W131" s="50" t="n">
        <f aca="false">IF(R131&lt;&gt;"",R131,Q131*'Cài đặt'!$B$12)</f>
        <v>0</v>
      </c>
      <c r="X131" s="50" t="str">
        <f aca="false">IF(O131&gt;0,W131/O131*1000,"")</f>
        <v/>
      </c>
      <c r="Y131" s="51" t="n">
        <f aca="false">IF(T131&lt;&gt;"",T131,INDEX('Cài đặt'!$B$20:$C$22,MATCH(I131,'Cài đặt'!$A$20:$A$22,0),IF(K131="AI tự động",1,2)))</f>
        <v>8</v>
      </c>
    </row>
    <row r="132" customFormat="false" ht="15" hidden="false" customHeight="false" outlineLevel="0" collapsed="false">
      <c r="A132" s="41" t="s">
        <v>577</v>
      </c>
      <c r="B132" s="41" t="s">
        <v>443</v>
      </c>
      <c r="C132" s="41" t="s">
        <v>178</v>
      </c>
      <c r="D132" s="42" t="str">
        <f aca="false">INDEX('Page và Ngách'!$B$5:$B$10,MATCH(C132,'Page và Ngách'!$A$5:$A$10,0))</f>
        <v>Revenge / Betrayal ("you'll regret it")</v>
      </c>
      <c r="E132" s="41" t="n">
        <v>11</v>
      </c>
      <c r="F132" s="43" t="n">
        <f aca="false">'Cài đặt'!$B$37+E132-1</f>
        <v>46345</v>
      </c>
      <c r="G132" s="41" t="s">
        <v>451</v>
      </c>
      <c r="H132" s="44" t="str">
        <f aca="false">IF(G132="S1",'Cài đặt'!$B$7,'Cài đặt'!$B$8)</f>
        <v>20:00</v>
      </c>
      <c r="I132" s="41" t="s">
        <v>111</v>
      </c>
      <c r="J132" s="41" t="s">
        <v>132</v>
      </c>
      <c r="K132" s="41" t="s">
        <v>445</v>
      </c>
      <c r="L132" s="42" t="str">
        <f aca="false">C132&amp;"_"&amp;B132&amp;"_"&amp;IF(I132="Reel","R",IF(I132="Carousel","C","I"))&amp;"_"&amp;J132&amp;"_"&amp;IF(K132="AI tự động","AI","HU")&amp;"_"&amp;RIGHT(A132,3)</f>
        <v>P4_EXP1_I_A_AI_022</v>
      </c>
      <c r="M132" s="45"/>
      <c r="N132" s="45"/>
      <c r="O132" s="46"/>
      <c r="P132" s="46"/>
      <c r="Q132" s="46"/>
      <c r="R132" s="47"/>
      <c r="S132" s="45"/>
      <c r="T132" s="45"/>
      <c r="U132" s="48" t="str">
        <f aca="false">IF(O132&gt;0,P132/O132,"")</f>
        <v/>
      </c>
      <c r="V132" s="49" t="str">
        <f aca="false">IF(P132&gt;0,Q132/P132,"")</f>
        <v/>
      </c>
      <c r="W132" s="50" t="n">
        <f aca="false">IF(R132&lt;&gt;"",R132,Q132*'Cài đặt'!$B$12)</f>
        <v>0</v>
      </c>
      <c r="X132" s="50" t="str">
        <f aca="false">IF(O132&gt;0,W132/O132*1000,"")</f>
        <v/>
      </c>
      <c r="Y132" s="51" t="n">
        <f aca="false">IF(T132&lt;&gt;"",T132,INDEX('Cài đặt'!$B$20:$C$22,MATCH(I132,'Cài đặt'!$A$20:$A$22,0),IF(K132="AI tự động",1,2)))</f>
        <v>2</v>
      </c>
    </row>
    <row r="133" customFormat="false" ht="15" hidden="false" customHeight="false" outlineLevel="0" collapsed="false">
      <c r="A133" s="41" t="s">
        <v>578</v>
      </c>
      <c r="B133" s="41" t="s">
        <v>443</v>
      </c>
      <c r="C133" s="41" t="s">
        <v>185</v>
      </c>
      <c r="D133" s="42" t="str">
        <f aca="false">INDEX('Page và Ngách'!$B$5:$B$10,MATCH(C133,'Page và Ngách'!$A$5:$A$10,0))</f>
        <v>Mafia / Dark romance (teaser PG-13)</v>
      </c>
      <c r="E133" s="41" t="n">
        <v>11</v>
      </c>
      <c r="F133" s="43" t="n">
        <f aca="false">'Cài đặt'!$B$37+E133-1</f>
        <v>46345</v>
      </c>
      <c r="G133" s="41" t="s">
        <v>444</v>
      </c>
      <c r="H133" s="44" t="str">
        <f aca="false">IF(G133="S1",'Cài đặt'!$B$7,'Cài đặt'!$B$8)</f>
        <v>12:00</v>
      </c>
      <c r="I133" s="41" t="s">
        <v>111</v>
      </c>
      <c r="J133" s="41" t="s">
        <v>132</v>
      </c>
      <c r="K133" s="41" t="s">
        <v>445</v>
      </c>
      <c r="L133" s="42" t="str">
        <f aca="false">C133&amp;"_"&amp;B133&amp;"_"&amp;IF(I133="Reel","R",IF(I133="Carousel","C","I"))&amp;"_"&amp;J133&amp;"_"&amp;IF(K133="AI tự động","AI","HU")&amp;"_"&amp;RIGHT(A133,3)</f>
        <v>P5_EXP1_I_A_AI_021</v>
      </c>
      <c r="M133" s="45"/>
      <c r="N133" s="45"/>
      <c r="O133" s="46"/>
      <c r="P133" s="46"/>
      <c r="Q133" s="46"/>
      <c r="R133" s="47"/>
      <c r="S133" s="45"/>
      <c r="T133" s="45"/>
      <c r="U133" s="48" t="str">
        <f aca="false">IF(O133&gt;0,P133/O133,"")</f>
        <v/>
      </c>
      <c r="V133" s="49" t="str">
        <f aca="false">IF(P133&gt;0,Q133/P133,"")</f>
        <v/>
      </c>
      <c r="W133" s="50" t="n">
        <f aca="false">IF(R133&lt;&gt;"",R133,Q133*'Cài đặt'!$B$12)</f>
        <v>0</v>
      </c>
      <c r="X133" s="50" t="str">
        <f aca="false">IF(O133&gt;0,W133/O133*1000,"")</f>
        <v/>
      </c>
      <c r="Y133" s="51" t="n">
        <f aca="false">IF(T133&lt;&gt;"",T133,INDEX('Cài đặt'!$B$20:$C$22,MATCH(I133,'Cài đặt'!$A$20:$A$22,0),IF(K133="AI tự động",1,2)))</f>
        <v>2</v>
      </c>
    </row>
    <row r="134" customFormat="false" ht="15" hidden="false" customHeight="false" outlineLevel="0" collapsed="false">
      <c r="A134" s="41" t="s">
        <v>579</v>
      </c>
      <c r="B134" s="41" t="s">
        <v>443</v>
      </c>
      <c r="C134" s="41" t="s">
        <v>185</v>
      </c>
      <c r="D134" s="42" t="str">
        <f aca="false">INDEX('Page và Ngách'!$B$5:$B$10,MATCH(C134,'Page và Ngách'!$A$5:$A$10,0))</f>
        <v>Mafia / Dark romance (teaser PG-13)</v>
      </c>
      <c r="E134" s="41" t="n">
        <v>11</v>
      </c>
      <c r="F134" s="43" t="n">
        <f aca="false">'Cài đặt'!$B$37+E134-1</f>
        <v>46345</v>
      </c>
      <c r="G134" s="41" t="s">
        <v>451</v>
      </c>
      <c r="H134" s="44" t="str">
        <f aca="false">IF(G134="S1",'Cài đặt'!$B$7,'Cài đặt'!$B$8)</f>
        <v>20:00</v>
      </c>
      <c r="I134" s="41" t="s">
        <v>113</v>
      </c>
      <c r="J134" s="41" t="s">
        <v>132</v>
      </c>
      <c r="K134" s="41" t="s">
        <v>445</v>
      </c>
      <c r="L134" s="42" t="str">
        <f aca="false">C134&amp;"_"&amp;B134&amp;"_"&amp;IF(I134="Reel","R",IF(I134="Carousel","C","I"))&amp;"_"&amp;J134&amp;"_"&amp;IF(K134="AI tự động","AI","HU")&amp;"_"&amp;RIGHT(A134,3)</f>
        <v>P5_EXP1_C_A_AI_022</v>
      </c>
      <c r="M134" s="45"/>
      <c r="N134" s="45"/>
      <c r="O134" s="46"/>
      <c r="P134" s="46"/>
      <c r="Q134" s="46"/>
      <c r="R134" s="47"/>
      <c r="S134" s="45"/>
      <c r="T134" s="45"/>
      <c r="U134" s="48" t="str">
        <f aca="false">IF(O134&gt;0,P134/O134,"")</f>
        <v/>
      </c>
      <c r="V134" s="49" t="str">
        <f aca="false">IF(P134&gt;0,Q134/P134,"")</f>
        <v/>
      </c>
      <c r="W134" s="50" t="n">
        <f aca="false">IF(R134&lt;&gt;"",R134,Q134*'Cài đặt'!$B$12)</f>
        <v>0</v>
      </c>
      <c r="X134" s="50" t="str">
        <f aca="false">IF(O134&gt;0,W134/O134*1000,"")</f>
        <v/>
      </c>
      <c r="Y134" s="51" t="n">
        <f aca="false">IF(T134&lt;&gt;"",T134,INDEX('Cài đặt'!$B$20:$C$22,MATCH(I134,'Cài đặt'!$A$20:$A$22,0),IF(K134="AI tự động",1,2)))</f>
        <v>4</v>
      </c>
    </row>
    <row r="135" customFormat="false" ht="15" hidden="false" customHeight="false" outlineLevel="0" collapsed="false">
      <c r="A135" s="41" t="s">
        <v>580</v>
      </c>
      <c r="B135" s="41" t="s">
        <v>443</v>
      </c>
      <c r="C135" s="41" t="s">
        <v>193</v>
      </c>
      <c r="D135" s="42" t="str">
        <f aca="false">INDEX('Page và Ngách'!$B$5:$B$10,MATCH(C135,'Page và Ngách'!$A$5:$A$10,0))</f>
        <v>Second chance / Secret baby</v>
      </c>
      <c r="E135" s="41" t="n">
        <v>11</v>
      </c>
      <c r="F135" s="43" t="n">
        <f aca="false">'Cài đặt'!$B$37+E135-1</f>
        <v>46345</v>
      </c>
      <c r="G135" s="41" t="s">
        <v>444</v>
      </c>
      <c r="H135" s="44" t="str">
        <f aca="false">IF(G135="S1",'Cài đặt'!$B$7,'Cài đặt'!$B$8)</f>
        <v>12:00</v>
      </c>
      <c r="I135" s="41" t="s">
        <v>113</v>
      </c>
      <c r="J135" s="41" t="s">
        <v>132</v>
      </c>
      <c r="K135" s="41" t="s">
        <v>445</v>
      </c>
      <c r="L135" s="42" t="str">
        <f aca="false">C135&amp;"_"&amp;B135&amp;"_"&amp;IF(I135="Reel","R",IF(I135="Carousel","C","I"))&amp;"_"&amp;J135&amp;"_"&amp;IF(K135="AI tự động","AI","HU")&amp;"_"&amp;RIGHT(A135,3)</f>
        <v>P6_EXP1_C_A_AI_021</v>
      </c>
      <c r="M135" s="45"/>
      <c r="N135" s="45"/>
      <c r="O135" s="46"/>
      <c r="P135" s="46"/>
      <c r="Q135" s="46"/>
      <c r="R135" s="47"/>
      <c r="S135" s="45"/>
      <c r="T135" s="45"/>
      <c r="U135" s="48" t="str">
        <f aca="false">IF(O135&gt;0,P135/O135,"")</f>
        <v/>
      </c>
      <c r="V135" s="49" t="str">
        <f aca="false">IF(P135&gt;0,Q135/P135,"")</f>
        <v/>
      </c>
      <c r="W135" s="50" t="n">
        <f aca="false">IF(R135&lt;&gt;"",R135,Q135*'Cài đặt'!$B$12)</f>
        <v>0</v>
      </c>
      <c r="X135" s="50" t="str">
        <f aca="false">IF(O135&gt;0,W135/O135*1000,"")</f>
        <v/>
      </c>
      <c r="Y135" s="51" t="n">
        <f aca="false">IF(T135&lt;&gt;"",T135,INDEX('Cài đặt'!$B$20:$C$22,MATCH(I135,'Cài đặt'!$A$20:$A$22,0),IF(K135="AI tự động",1,2)))</f>
        <v>4</v>
      </c>
    </row>
    <row r="136" customFormat="false" ht="15" hidden="false" customHeight="false" outlineLevel="0" collapsed="false">
      <c r="A136" s="41" t="s">
        <v>581</v>
      </c>
      <c r="B136" s="41" t="s">
        <v>443</v>
      </c>
      <c r="C136" s="41" t="s">
        <v>193</v>
      </c>
      <c r="D136" s="42" t="str">
        <f aca="false">INDEX('Page và Ngách'!$B$5:$B$10,MATCH(C136,'Page và Ngách'!$A$5:$A$10,0))</f>
        <v>Second chance / Secret baby</v>
      </c>
      <c r="E136" s="41" t="n">
        <v>11</v>
      </c>
      <c r="F136" s="43" t="n">
        <f aca="false">'Cài đặt'!$B$37+E136-1</f>
        <v>46345</v>
      </c>
      <c r="G136" s="41" t="s">
        <v>451</v>
      </c>
      <c r="H136" s="44" t="str">
        <f aca="false">IF(G136="S1",'Cài đặt'!$B$7,'Cài đặt'!$B$8)</f>
        <v>20:00</v>
      </c>
      <c r="I136" s="41" t="s">
        <v>115</v>
      </c>
      <c r="J136" s="41" t="s">
        <v>132</v>
      </c>
      <c r="K136" s="41" t="s">
        <v>445</v>
      </c>
      <c r="L136" s="42" t="str">
        <f aca="false">C136&amp;"_"&amp;B136&amp;"_"&amp;IF(I136="Reel","R",IF(I136="Carousel","C","I"))&amp;"_"&amp;J136&amp;"_"&amp;IF(K136="AI tự động","AI","HU")&amp;"_"&amp;RIGHT(A136,3)</f>
        <v>P6_EXP1_R_A_AI_022</v>
      </c>
      <c r="M136" s="45"/>
      <c r="N136" s="45"/>
      <c r="O136" s="46"/>
      <c r="P136" s="46"/>
      <c r="Q136" s="46"/>
      <c r="R136" s="47"/>
      <c r="S136" s="45"/>
      <c r="T136" s="45"/>
      <c r="U136" s="48" t="str">
        <f aca="false">IF(O136&gt;0,P136/O136,"")</f>
        <v/>
      </c>
      <c r="V136" s="49" t="str">
        <f aca="false">IF(P136&gt;0,Q136/P136,"")</f>
        <v/>
      </c>
      <c r="W136" s="50" t="n">
        <f aca="false">IF(R136&lt;&gt;"",R136,Q136*'Cài đặt'!$B$12)</f>
        <v>0</v>
      </c>
      <c r="X136" s="50" t="str">
        <f aca="false">IF(O136&gt;0,W136/O136*1000,"")</f>
        <v/>
      </c>
      <c r="Y136" s="51" t="n">
        <f aca="false">IF(T136&lt;&gt;"",T136,INDEX('Cài đặt'!$B$20:$C$22,MATCH(I136,'Cài đặt'!$A$20:$A$22,0),IF(K136="AI tự động",1,2)))</f>
        <v>8</v>
      </c>
    </row>
    <row r="137" customFormat="false" ht="15" hidden="false" customHeight="false" outlineLevel="0" collapsed="false">
      <c r="A137" s="41" t="s">
        <v>582</v>
      </c>
      <c r="B137" s="41" t="s">
        <v>443</v>
      </c>
      <c r="C137" s="41" t="s">
        <v>154</v>
      </c>
      <c r="D137" s="42" t="str">
        <f aca="false">INDEX('Page và Ngách'!$B$5:$B$10,MATCH(C137,'Page và Ngách'!$A$5:$A$10,0))</f>
        <v>Werewolf / Rejected mate</v>
      </c>
      <c r="E137" s="41" t="n">
        <v>12</v>
      </c>
      <c r="F137" s="43" t="n">
        <f aca="false">'Cài đặt'!$B$37+E137-1</f>
        <v>46346</v>
      </c>
      <c r="G137" s="41" t="s">
        <v>444</v>
      </c>
      <c r="H137" s="44" t="str">
        <f aca="false">IF(G137="S1",'Cài đặt'!$B$7,'Cài đặt'!$B$8)</f>
        <v>12:00</v>
      </c>
      <c r="I137" s="41" t="s">
        <v>113</v>
      </c>
      <c r="J137" s="41" t="s">
        <v>132</v>
      </c>
      <c r="K137" s="41" t="s">
        <v>445</v>
      </c>
      <c r="L137" s="42" t="str">
        <f aca="false">C137&amp;"_"&amp;B137&amp;"_"&amp;IF(I137="Reel","R",IF(I137="Carousel","C","I"))&amp;"_"&amp;J137&amp;"_"&amp;IF(K137="AI tự động","AI","HU")&amp;"_"&amp;RIGHT(A137,3)</f>
        <v>P1_EXP1_C_A_AI_023</v>
      </c>
      <c r="M137" s="45"/>
      <c r="N137" s="45"/>
      <c r="O137" s="46"/>
      <c r="P137" s="46"/>
      <c r="Q137" s="46"/>
      <c r="R137" s="47"/>
      <c r="S137" s="45"/>
      <c r="T137" s="45"/>
      <c r="U137" s="48" t="str">
        <f aca="false">IF(O137&gt;0,P137/O137,"")</f>
        <v/>
      </c>
      <c r="V137" s="49" t="str">
        <f aca="false">IF(P137&gt;0,Q137/P137,"")</f>
        <v/>
      </c>
      <c r="W137" s="50" t="n">
        <f aca="false">IF(R137&lt;&gt;"",R137,Q137*'Cài đặt'!$B$12)</f>
        <v>0</v>
      </c>
      <c r="X137" s="50" t="str">
        <f aca="false">IF(O137&gt;0,W137/O137*1000,"")</f>
        <v/>
      </c>
      <c r="Y137" s="51" t="n">
        <f aca="false">IF(T137&lt;&gt;"",T137,INDEX('Cài đặt'!$B$20:$C$22,MATCH(I137,'Cài đặt'!$A$20:$A$22,0),IF(K137="AI tự động",1,2)))</f>
        <v>4</v>
      </c>
    </row>
    <row r="138" customFormat="false" ht="15" hidden="false" customHeight="false" outlineLevel="0" collapsed="false">
      <c r="A138" s="41" t="s">
        <v>583</v>
      </c>
      <c r="B138" s="41" t="s">
        <v>443</v>
      </c>
      <c r="C138" s="41" t="s">
        <v>154</v>
      </c>
      <c r="D138" s="42" t="str">
        <f aca="false">INDEX('Page và Ngách'!$B$5:$B$10,MATCH(C138,'Page và Ngách'!$A$5:$A$10,0))</f>
        <v>Werewolf / Rejected mate</v>
      </c>
      <c r="E138" s="41" t="n">
        <v>12</v>
      </c>
      <c r="F138" s="43" t="n">
        <f aca="false">'Cài đặt'!$B$37+E138-1</f>
        <v>46346</v>
      </c>
      <c r="G138" s="41" t="s">
        <v>451</v>
      </c>
      <c r="H138" s="44" t="str">
        <f aca="false">IF(G138="S1",'Cài đặt'!$B$7,'Cài đặt'!$B$8)</f>
        <v>20:00</v>
      </c>
      <c r="I138" s="41" t="s">
        <v>115</v>
      </c>
      <c r="J138" s="41" t="s">
        <v>132</v>
      </c>
      <c r="K138" s="41" t="s">
        <v>445</v>
      </c>
      <c r="L138" s="42" t="str">
        <f aca="false">C138&amp;"_"&amp;B138&amp;"_"&amp;IF(I138="Reel","R",IF(I138="Carousel","C","I"))&amp;"_"&amp;J138&amp;"_"&amp;IF(K138="AI tự động","AI","HU")&amp;"_"&amp;RIGHT(A138,3)</f>
        <v>P1_EXP1_R_A_AI_024</v>
      </c>
      <c r="M138" s="45"/>
      <c r="N138" s="45"/>
      <c r="O138" s="46"/>
      <c r="P138" s="46"/>
      <c r="Q138" s="46"/>
      <c r="R138" s="47"/>
      <c r="S138" s="45"/>
      <c r="T138" s="45"/>
      <c r="U138" s="48" t="str">
        <f aca="false">IF(O138&gt;0,P138/O138,"")</f>
        <v/>
      </c>
      <c r="V138" s="49" t="str">
        <f aca="false">IF(P138&gt;0,Q138/P138,"")</f>
        <v/>
      </c>
      <c r="W138" s="50" t="n">
        <f aca="false">IF(R138&lt;&gt;"",R138,Q138*'Cài đặt'!$B$12)</f>
        <v>0</v>
      </c>
      <c r="X138" s="50" t="str">
        <f aca="false">IF(O138&gt;0,W138/O138*1000,"")</f>
        <v/>
      </c>
      <c r="Y138" s="51" t="n">
        <f aca="false">IF(T138&lt;&gt;"",T138,INDEX('Cài đặt'!$B$20:$C$22,MATCH(I138,'Cài đặt'!$A$20:$A$22,0),IF(K138="AI tự động",1,2)))</f>
        <v>8</v>
      </c>
    </row>
    <row r="139" customFormat="false" ht="15" hidden="false" customHeight="false" outlineLevel="0" collapsed="false">
      <c r="A139" s="41" t="s">
        <v>584</v>
      </c>
      <c r="B139" s="41" t="s">
        <v>443</v>
      </c>
      <c r="C139" s="41" t="s">
        <v>163</v>
      </c>
      <c r="D139" s="42" t="str">
        <f aca="false">INDEX('Page và Ngách'!$B$5:$B$10,MATCH(C139,'Page và Ngách'!$A$5:$A$10,0))</f>
        <v>Secret billionaire / CEO</v>
      </c>
      <c r="E139" s="41" t="n">
        <v>12</v>
      </c>
      <c r="F139" s="43" t="n">
        <f aca="false">'Cài đặt'!$B$37+E139-1</f>
        <v>46346</v>
      </c>
      <c r="G139" s="41" t="s">
        <v>444</v>
      </c>
      <c r="H139" s="44" t="str">
        <f aca="false">IF(G139="S1",'Cài đặt'!$B$7,'Cài đặt'!$B$8)</f>
        <v>12:00</v>
      </c>
      <c r="I139" s="41" t="s">
        <v>115</v>
      </c>
      <c r="J139" s="41" t="s">
        <v>132</v>
      </c>
      <c r="K139" s="41" t="s">
        <v>445</v>
      </c>
      <c r="L139" s="42" t="str">
        <f aca="false">C139&amp;"_"&amp;B139&amp;"_"&amp;IF(I139="Reel","R",IF(I139="Carousel","C","I"))&amp;"_"&amp;J139&amp;"_"&amp;IF(K139="AI tự động","AI","HU")&amp;"_"&amp;RIGHT(A139,3)</f>
        <v>P2_EXP1_R_A_AI_023</v>
      </c>
      <c r="M139" s="45"/>
      <c r="N139" s="45"/>
      <c r="O139" s="46"/>
      <c r="P139" s="46"/>
      <c r="Q139" s="46"/>
      <c r="R139" s="47"/>
      <c r="S139" s="45"/>
      <c r="T139" s="45"/>
      <c r="U139" s="48" t="str">
        <f aca="false">IF(O139&gt;0,P139/O139,"")</f>
        <v/>
      </c>
      <c r="V139" s="49" t="str">
        <f aca="false">IF(P139&gt;0,Q139/P139,"")</f>
        <v/>
      </c>
      <c r="W139" s="50" t="n">
        <f aca="false">IF(R139&lt;&gt;"",R139,Q139*'Cài đặt'!$B$12)</f>
        <v>0</v>
      </c>
      <c r="X139" s="50" t="str">
        <f aca="false">IF(O139&gt;0,W139/O139*1000,"")</f>
        <v/>
      </c>
      <c r="Y139" s="51" t="n">
        <f aca="false">IF(T139&lt;&gt;"",T139,INDEX('Cài đặt'!$B$20:$C$22,MATCH(I139,'Cài đặt'!$A$20:$A$22,0),IF(K139="AI tự động",1,2)))</f>
        <v>8</v>
      </c>
    </row>
    <row r="140" customFormat="false" ht="15" hidden="false" customHeight="false" outlineLevel="0" collapsed="false">
      <c r="A140" s="41" t="s">
        <v>585</v>
      </c>
      <c r="B140" s="41" t="s">
        <v>443</v>
      </c>
      <c r="C140" s="41" t="s">
        <v>163</v>
      </c>
      <c r="D140" s="42" t="str">
        <f aca="false">INDEX('Page và Ngách'!$B$5:$B$10,MATCH(C140,'Page và Ngách'!$A$5:$A$10,0))</f>
        <v>Secret billionaire / CEO</v>
      </c>
      <c r="E140" s="41" t="n">
        <v>12</v>
      </c>
      <c r="F140" s="43" t="n">
        <f aca="false">'Cài đặt'!$B$37+E140-1</f>
        <v>46346</v>
      </c>
      <c r="G140" s="41" t="s">
        <v>451</v>
      </c>
      <c r="H140" s="44" t="str">
        <f aca="false">IF(G140="S1",'Cài đặt'!$B$7,'Cài đặt'!$B$8)</f>
        <v>20:00</v>
      </c>
      <c r="I140" s="41" t="s">
        <v>111</v>
      </c>
      <c r="J140" s="41" t="s">
        <v>132</v>
      </c>
      <c r="K140" s="41" t="s">
        <v>445</v>
      </c>
      <c r="L140" s="42" t="str">
        <f aca="false">C140&amp;"_"&amp;B140&amp;"_"&amp;IF(I140="Reel","R",IF(I140="Carousel","C","I"))&amp;"_"&amp;J140&amp;"_"&amp;IF(K140="AI tự động","AI","HU")&amp;"_"&amp;RIGHT(A140,3)</f>
        <v>P2_EXP1_I_A_AI_024</v>
      </c>
      <c r="M140" s="45"/>
      <c r="N140" s="45"/>
      <c r="O140" s="46"/>
      <c r="P140" s="46"/>
      <c r="Q140" s="46"/>
      <c r="R140" s="47"/>
      <c r="S140" s="45"/>
      <c r="T140" s="45"/>
      <c r="U140" s="48" t="str">
        <f aca="false">IF(O140&gt;0,P140/O140,"")</f>
        <v/>
      </c>
      <c r="V140" s="49" t="str">
        <f aca="false">IF(P140&gt;0,Q140/P140,"")</f>
        <v/>
      </c>
      <c r="W140" s="50" t="n">
        <f aca="false">IF(R140&lt;&gt;"",R140,Q140*'Cài đặt'!$B$12)</f>
        <v>0</v>
      </c>
      <c r="X140" s="50" t="str">
        <f aca="false">IF(O140&gt;0,W140/O140*1000,"")</f>
        <v/>
      </c>
      <c r="Y140" s="51" t="n">
        <f aca="false">IF(T140&lt;&gt;"",T140,INDEX('Cài đặt'!$B$20:$C$22,MATCH(I140,'Cài đặt'!$A$20:$A$22,0),IF(K140="AI tự động",1,2)))</f>
        <v>2</v>
      </c>
    </row>
    <row r="141" customFormat="false" ht="15" hidden="false" customHeight="false" outlineLevel="0" collapsed="false">
      <c r="A141" s="41" t="s">
        <v>586</v>
      </c>
      <c r="B141" s="41" t="s">
        <v>443</v>
      </c>
      <c r="C141" s="41" t="s">
        <v>171</v>
      </c>
      <c r="D141" s="42" t="str">
        <f aca="false">INDEX('Page và Ngách'!$B$5:$B$10,MATCH(C141,'Page và Ngách'!$A$5:$A$10,0))</f>
        <v>Contract marriage / Fake relationship</v>
      </c>
      <c r="E141" s="41" t="n">
        <v>12</v>
      </c>
      <c r="F141" s="43" t="n">
        <f aca="false">'Cài đặt'!$B$37+E141-1</f>
        <v>46346</v>
      </c>
      <c r="G141" s="41" t="s">
        <v>444</v>
      </c>
      <c r="H141" s="44" t="str">
        <f aca="false">IF(G141="S1",'Cài đặt'!$B$7,'Cài đặt'!$B$8)</f>
        <v>12:00</v>
      </c>
      <c r="I141" s="41" t="s">
        <v>111</v>
      </c>
      <c r="J141" s="41" t="s">
        <v>132</v>
      </c>
      <c r="K141" s="41" t="s">
        <v>445</v>
      </c>
      <c r="L141" s="42" t="str">
        <f aca="false">C141&amp;"_"&amp;B141&amp;"_"&amp;IF(I141="Reel","R",IF(I141="Carousel","C","I"))&amp;"_"&amp;J141&amp;"_"&amp;IF(K141="AI tự động","AI","HU")&amp;"_"&amp;RIGHT(A141,3)</f>
        <v>P3_EXP1_I_A_AI_023</v>
      </c>
      <c r="M141" s="45"/>
      <c r="N141" s="45"/>
      <c r="O141" s="46"/>
      <c r="P141" s="46"/>
      <c r="Q141" s="46"/>
      <c r="R141" s="47"/>
      <c r="S141" s="45"/>
      <c r="T141" s="45"/>
      <c r="U141" s="48" t="str">
        <f aca="false">IF(O141&gt;0,P141/O141,"")</f>
        <v/>
      </c>
      <c r="V141" s="49" t="str">
        <f aca="false">IF(P141&gt;0,Q141/P141,"")</f>
        <v/>
      </c>
      <c r="W141" s="50" t="n">
        <f aca="false">IF(R141&lt;&gt;"",R141,Q141*'Cài đặt'!$B$12)</f>
        <v>0</v>
      </c>
      <c r="X141" s="50" t="str">
        <f aca="false">IF(O141&gt;0,W141/O141*1000,"")</f>
        <v/>
      </c>
      <c r="Y141" s="51" t="n">
        <f aca="false">IF(T141&lt;&gt;"",T141,INDEX('Cài đặt'!$B$20:$C$22,MATCH(I141,'Cài đặt'!$A$20:$A$22,0),IF(K141="AI tự động",1,2)))</f>
        <v>2</v>
      </c>
    </row>
    <row r="142" customFormat="false" ht="15" hidden="false" customHeight="false" outlineLevel="0" collapsed="false">
      <c r="A142" s="41" t="s">
        <v>587</v>
      </c>
      <c r="B142" s="41" t="s">
        <v>443</v>
      </c>
      <c r="C142" s="41" t="s">
        <v>171</v>
      </c>
      <c r="D142" s="42" t="str">
        <f aca="false">INDEX('Page và Ngách'!$B$5:$B$10,MATCH(C142,'Page và Ngách'!$A$5:$A$10,0))</f>
        <v>Contract marriage / Fake relationship</v>
      </c>
      <c r="E142" s="41" t="n">
        <v>12</v>
      </c>
      <c r="F142" s="43" t="n">
        <f aca="false">'Cài đặt'!$B$37+E142-1</f>
        <v>46346</v>
      </c>
      <c r="G142" s="41" t="s">
        <v>451</v>
      </c>
      <c r="H142" s="44" t="str">
        <f aca="false">IF(G142="S1",'Cài đặt'!$B$7,'Cài đặt'!$B$8)</f>
        <v>20:00</v>
      </c>
      <c r="I142" s="41" t="s">
        <v>113</v>
      </c>
      <c r="J142" s="41" t="s">
        <v>132</v>
      </c>
      <c r="K142" s="41" t="s">
        <v>445</v>
      </c>
      <c r="L142" s="42" t="str">
        <f aca="false">C142&amp;"_"&amp;B142&amp;"_"&amp;IF(I142="Reel","R",IF(I142="Carousel","C","I"))&amp;"_"&amp;J142&amp;"_"&amp;IF(K142="AI tự động","AI","HU")&amp;"_"&amp;RIGHT(A142,3)</f>
        <v>P3_EXP1_C_A_AI_024</v>
      </c>
      <c r="M142" s="45"/>
      <c r="N142" s="45"/>
      <c r="O142" s="46"/>
      <c r="P142" s="46"/>
      <c r="Q142" s="46"/>
      <c r="R142" s="47"/>
      <c r="S142" s="45"/>
      <c r="T142" s="45"/>
      <c r="U142" s="48" t="str">
        <f aca="false">IF(O142&gt;0,P142/O142,"")</f>
        <v/>
      </c>
      <c r="V142" s="49" t="str">
        <f aca="false">IF(P142&gt;0,Q142/P142,"")</f>
        <v/>
      </c>
      <c r="W142" s="50" t="n">
        <f aca="false">IF(R142&lt;&gt;"",R142,Q142*'Cài đặt'!$B$12)</f>
        <v>0</v>
      </c>
      <c r="X142" s="50" t="str">
        <f aca="false">IF(O142&gt;0,W142/O142*1000,"")</f>
        <v/>
      </c>
      <c r="Y142" s="51" t="n">
        <f aca="false">IF(T142&lt;&gt;"",T142,INDEX('Cài đặt'!$B$20:$C$22,MATCH(I142,'Cài đặt'!$A$20:$A$22,0),IF(K142="AI tự động",1,2)))</f>
        <v>4</v>
      </c>
    </row>
    <row r="143" customFormat="false" ht="15" hidden="false" customHeight="false" outlineLevel="0" collapsed="false">
      <c r="A143" s="41" t="s">
        <v>588</v>
      </c>
      <c r="B143" s="41" t="s">
        <v>443</v>
      </c>
      <c r="C143" s="41" t="s">
        <v>178</v>
      </c>
      <c r="D143" s="42" t="str">
        <f aca="false">INDEX('Page và Ngách'!$B$5:$B$10,MATCH(C143,'Page và Ngách'!$A$5:$A$10,0))</f>
        <v>Revenge / Betrayal ("you'll regret it")</v>
      </c>
      <c r="E143" s="41" t="n">
        <v>12</v>
      </c>
      <c r="F143" s="43" t="n">
        <f aca="false">'Cài đặt'!$B$37+E143-1</f>
        <v>46346</v>
      </c>
      <c r="G143" s="41" t="s">
        <v>444</v>
      </c>
      <c r="H143" s="44" t="str">
        <f aca="false">IF(G143="S1",'Cài đặt'!$B$7,'Cài đặt'!$B$8)</f>
        <v>12:00</v>
      </c>
      <c r="I143" s="41" t="s">
        <v>113</v>
      </c>
      <c r="J143" s="41" t="s">
        <v>132</v>
      </c>
      <c r="K143" s="41" t="s">
        <v>445</v>
      </c>
      <c r="L143" s="42" t="str">
        <f aca="false">C143&amp;"_"&amp;B143&amp;"_"&amp;IF(I143="Reel","R",IF(I143="Carousel","C","I"))&amp;"_"&amp;J143&amp;"_"&amp;IF(K143="AI tự động","AI","HU")&amp;"_"&amp;RIGHT(A143,3)</f>
        <v>P4_EXP1_C_A_AI_023</v>
      </c>
      <c r="M143" s="45"/>
      <c r="N143" s="45"/>
      <c r="O143" s="46"/>
      <c r="P143" s="46"/>
      <c r="Q143" s="46"/>
      <c r="R143" s="47"/>
      <c r="S143" s="45"/>
      <c r="T143" s="45"/>
      <c r="U143" s="48" t="str">
        <f aca="false">IF(O143&gt;0,P143/O143,"")</f>
        <v/>
      </c>
      <c r="V143" s="49" t="str">
        <f aca="false">IF(P143&gt;0,Q143/P143,"")</f>
        <v/>
      </c>
      <c r="W143" s="50" t="n">
        <f aca="false">IF(R143&lt;&gt;"",R143,Q143*'Cài đặt'!$B$12)</f>
        <v>0</v>
      </c>
      <c r="X143" s="50" t="str">
        <f aca="false">IF(O143&gt;0,W143/O143*1000,"")</f>
        <v/>
      </c>
      <c r="Y143" s="51" t="n">
        <f aca="false">IF(T143&lt;&gt;"",T143,INDEX('Cài đặt'!$B$20:$C$22,MATCH(I143,'Cài đặt'!$A$20:$A$22,0),IF(K143="AI tự động",1,2)))</f>
        <v>4</v>
      </c>
    </row>
    <row r="144" customFormat="false" ht="15" hidden="false" customHeight="false" outlineLevel="0" collapsed="false">
      <c r="A144" s="41" t="s">
        <v>589</v>
      </c>
      <c r="B144" s="41" t="s">
        <v>443</v>
      </c>
      <c r="C144" s="41" t="s">
        <v>178</v>
      </c>
      <c r="D144" s="42" t="str">
        <f aca="false">INDEX('Page và Ngách'!$B$5:$B$10,MATCH(C144,'Page và Ngách'!$A$5:$A$10,0))</f>
        <v>Revenge / Betrayal ("you'll regret it")</v>
      </c>
      <c r="E144" s="41" t="n">
        <v>12</v>
      </c>
      <c r="F144" s="43" t="n">
        <f aca="false">'Cài đặt'!$B$37+E144-1</f>
        <v>46346</v>
      </c>
      <c r="G144" s="41" t="s">
        <v>451</v>
      </c>
      <c r="H144" s="44" t="str">
        <f aca="false">IF(G144="S1",'Cài đặt'!$B$7,'Cài đặt'!$B$8)</f>
        <v>20:00</v>
      </c>
      <c r="I144" s="41" t="s">
        <v>115</v>
      </c>
      <c r="J144" s="41" t="s">
        <v>132</v>
      </c>
      <c r="K144" s="41" t="s">
        <v>445</v>
      </c>
      <c r="L144" s="42" t="str">
        <f aca="false">C144&amp;"_"&amp;B144&amp;"_"&amp;IF(I144="Reel","R",IF(I144="Carousel","C","I"))&amp;"_"&amp;J144&amp;"_"&amp;IF(K144="AI tự động","AI","HU")&amp;"_"&amp;RIGHT(A144,3)</f>
        <v>P4_EXP1_R_A_AI_024</v>
      </c>
      <c r="M144" s="45"/>
      <c r="N144" s="45"/>
      <c r="O144" s="46"/>
      <c r="P144" s="46"/>
      <c r="Q144" s="46"/>
      <c r="R144" s="47"/>
      <c r="S144" s="45"/>
      <c r="T144" s="45"/>
      <c r="U144" s="48" t="str">
        <f aca="false">IF(O144&gt;0,P144/O144,"")</f>
        <v/>
      </c>
      <c r="V144" s="49" t="str">
        <f aca="false">IF(P144&gt;0,Q144/P144,"")</f>
        <v/>
      </c>
      <c r="W144" s="50" t="n">
        <f aca="false">IF(R144&lt;&gt;"",R144,Q144*'Cài đặt'!$B$12)</f>
        <v>0</v>
      </c>
      <c r="X144" s="50" t="str">
        <f aca="false">IF(O144&gt;0,W144/O144*1000,"")</f>
        <v/>
      </c>
      <c r="Y144" s="51" t="n">
        <f aca="false">IF(T144&lt;&gt;"",T144,INDEX('Cài đặt'!$B$20:$C$22,MATCH(I144,'Cài đặt'!$A$20:$A$22,0),IF(K144="AI tự động",1,2)))</f>
        <v>8</v>
      </c>
    </row>
    <row r="145" customFormat="false" ht="15" hidden="false" customHeight="false" outlineLevel="0" collapsed="false">
      <c r="A145" s="41" t="s">
        <v>590</v>
      </c>
      <c r="B145" s="41" t="s">
        <v>443</v>
      </c>
      <c r="C145" s="41" t="s">
        <v>185</v>
      </c>
      <c r="D145" s="42" t="str">
        <f aca="false">INDEX('Page và Ngách'!$B$5:$B$10,MATCH(C145,'Page và Ngách'!$A$5:$A$10,0))</f>
        <v>Mafia / Dark romance (teaser PG-13)</v>
      </c>
      <c r="E145" s="41" t="n">
        <v>12</v>
      </c>
      <c r="F145" s="43" t="n">
        <f aca="false">'Cài đặt'!$B$37+E145-1</f>
        <v>46346</v>
      </c>
      <c r="G145" s="41" t="s">
        <v>444</v>
      </c>
      <c r="H145" s="44" t="str">
        <f aca="false">IF(G145="S1",'Cài đặt'!$B$7,'Cài đặt'!$B$8)</f>
        <v>12:00</v>
      </c>
      <c r="I145" s="41" t="s">
        <v>115</v>
      </c>
      <c r="J145" s="41" t="s">
        <v>132</v>
      </c>
      <c r="K145" s="41" t="s">
        <v>445</v>
      </c>
      <c r="L145" s="42" t="str">
        <f aca="false">C145&amp;"_"&amp;B145&amp;"_"&amp;IF(I145="Reel","R",IF(I145="Carousel","C","I"))&amp;"_"&amp;J145&amp;"_"&amp;IF(K145="AI tự động","AI","HU")&amp;"_"&amp;RIGHT(A145,3)</f>
        <v>P5_EXP1_R_A_AI_023</v>
      </c>
      <c r="M145" s="45"/>
      <c r="N145" s="45"/>
      <c r="O145" s="46"/>
      <c r="P145" s="46"/>
      <c r="Q145" s="46"/>
      <c r="R145" s="47"/>
      <c r="S145" s="45"/>
      <c r="T145" s="45"/>
      <c r="U145" s="48" t="str">
        <f aca="false">IF(O145&gt;0,P145/O145,"")</f>
        <v/>
      </c>
      <c r="V145" s="49" t="str">
        <f aca="false">IF(P145&gt;0,Q145/P145,"")</f>
        <v/>
      </c>
      <c r="W145" s="50" t="n">
        <f aca="false">IF(R145&lt;&gt;"",R145,Q145*'Cài đặt'!$B$12)</f>
        <v>0</v>
      </c>
      <c r="X145" s="50" t="str">
        <f aca="false">IF(O145&gt;0,W145/O145*1000,"")</f>
        <v/>
      </c>
      <c r="Y145" s="51" t="n">
        <f aca="false">IF(T145&lt;&gt;"",T145,INDEX('Cài đặt'!$B$20:$C$22,MATCH(I145,'Cài đặt'!$A$20:$A$22,0),IF(K145="AI tự động",1,2)))</f>
        <v>8</v>
      </c>
    </row>
    <row r="146" customFormat="false" ht="15" hidden="false" customHeight="false" outlineLevel="0" collapsed="false">
      <c r="A146" s="41" t="s">
        <v>591</v>
      </c>
      <c r="B146" s="41" t="s">
        <v>443</v>
      </c>
      <c r="C146" s="41" t="s">
        <v>185</v>
      </c>
      <c r="D146" s="42" t="str">
        <f aca="false">INDEX('Page và Ngách'!$B$5:$B$10,MATCH(C146,'Page và Ngách'!$A$5:$A$10,0))</f>
        <v>Mafia / Dark romance (teaser PG-13)</v>
      </c>
      <c r="E146" s="41" t="n">
        <v>12</v>
      </c>
      <c r="F146" s="43" t="n">
        <f aca="false">'Cài đặt'!$B$37+E146-1</f>
        <v>46346</v>
      </c>
      <c r="G146" s="41" t="s">
        <v>451</v>
      </c>
      <c r="H146" s="44" t="str">
        <f aca="false">IF(G146="S1",'Cài đặt'!$B$7,'Cài đặt'!$B$8)</f>
        <v>20:00</v>
      </c>
      <c r="I146" s="41" t="s">
        <v>111</v>
      </c>
      <c r="J146" s="41" t="s">
        <v>132</v>
      </c>
      <c r="K146" s="41" t="s">
        <v>445</v>
      </c>
      <c r="L146" s="42" t="str">
        <f aca="false">C146&amp;"_"&amp;B146&amp;"_"&amp;IF(I146="Reel","R",IF(I146="Carousel","C","I"))&amp;"_"&amp;J146&amp;"_"&amp;IF(K146="AI tự động","AI","HU")&amp;"_"&amp;RIGHT(A146,3)</f>
        <v>P5_EXP1_I_A_AI_024</v>
      </c>
      <c r="M146" s="45"/>
      <c r="N146" s="45"/>
      <c r="O146" s="46"/>
      <c r="P146" s="46"/>
      <c r="Q146" s="46"/>
      <c r="R146" s="47"/>
      <c r="S146" s="45"/>
      <c r="T146" s="45"/>
      <c r="U146" s="48" t="str">
        <f aca="false">IF(O146&gt;0,P146/O146,"")</f>
        <v/>
      </c>
      <c r="V146" s="49" t="str">
        <f aca="false">IF(P146&gt;0,Q146/P146,"")</f>
        <v/>
      </c>
      <c r="W146" s="50" t="n">
        <f aca="false">IF(R146&lt;&gt;"",R146,Q146*'Cài đặt'!$B$12)</f>
        <v>0</v>
      </c>
      <c r="X146" s="50" t="str">
        <f aca="false">IF(O146&gt;0,W146/O146*1000,"")</f>
        <v/>
      </c>
      <c r="Y146" s="51" t="n">
        <f aca="false">IF(T146&lt;&gt;"",T146,INDEX('Cài đặt'!$B$20:$C$22,MATCH(I146,'Cài đặt'!$A$20:$A$22,0),IF(K146="AI tự động",1,2)))</f>
        <v>2</v>
      </c>
    </row>
    <row r="147" customFormat="false" ht="15" hidden="false" customHeight="false" outlineLevel="0" collapsed="false">
      <c r="A147" s="41" t="s">
        <v>592</v>
      </c>
      <c r="B147" s="41" t="s">
        <v>443</v>
      </c>
      <c r="C147" s="41" t="s">
        <v>193</v>
      </c>
      <c r="D147" s="42" t="str">
        <f aca="false">INDEX('Page và Ngách'!$B$5:$B$10,MATCH(C147,'Page và Ngách'!$A$5:$A$10,0))</f>
        <v>Second chance / Secret baby</v>
      </c>
      <c r="E147" s="41" t="n">
        <v>12</v>
      </c>
      <c r="F147" s="43" t="n">
        <f aca="false">'Cài đặt'!$B$37+E147-1</f>
        <v>46346</v>
      </c>
      <c r="G147" s="41" t="s">
        <v>444</v>
      </c>
      <c r="H147" s="44" t="str">
        <f aca="false">IF(G147="S1",'Cài đặt'!$B$7,'Cài đặt'!$B$8)</f>
        <v>12:00</v>
      </c>
      <c r="I147" s="41" t="s">
        <v>111</v>
      </c>
      <c r="J147" s="41" t="s">
        <v>132</v>
      </c>
      <c r="K147" s="41" t="s">
        <v>445</v>
      </c>
      <c r="L147" s="42" t="str">
        <f aca="false">C147&amp;"_"&amp;B147&amp;"_"&amp;IF(I147="Reel","R",IF(I147="Carousel","C","I"))&amp;"_"&amp;J147&amp;"_"&amp;IF(K147="AI tự động","AI","HU")&amp;"_"&amp;RIGHT(A147,3)</f>
        <v>P6_EXP1_I_A_AI_023</v>
      </c>
      <c r="M147" s="45"/>
      <c r="N147" s="45"/>
      <c r="O147" s="46"/>
      <c r="P147" s="46"/>
      <c r="Q147" s="46"/>
      <c r="R147" s="47"/>
      <c r="S147" s="45"/>
      <c r="T147" s="45"/>
      <c r="U147" s="48" t="str">
        <f aca="false">IF(O147&gt;0,P147/O147,"")</f>
        <v/>
      </c>
      <c r="V147" s="49" t="str">
        <f aca="false">IF(P147&gt;0,Q147/P147,"")</f>
        <v/>
      </c>
      <c r="W147" s="50" t="n">
        <f aca="false">IF(R147&lt;&gt;"",R147,Q147*'Cài đặt'!$B$12)</f>
        <v>0</v>
      </c>
      <c r="X147" s="50" t="str">
        <f aca="false">IF(O147&gt;0,W147/O147*1000,"")</f>
        <v/>
      </c>
      <c r="Y147" s="51" t="n">
        <f aca="false">IF(T147&lt;&gt;"",T147,INDEX('Cài đặt'!$B$20:$C$22,MATCH(I147,'Cài đặt'!$A$20:$A$22,0),IF(K147="AI tự động",1,2)))</f>
        <v>2</v>
      </c>
    </row>
    <row r="148" customFormat="false" ht="15" hidden="false" customHeight="false" outlineLevel="0" collapsed="false">
      <c r="A148" s="41" t="s">
        <v>593</v>
      </c>
      <c r="B148" s="41" t="s">
        <v>443</v>
      </c>
      <c r="C148" s="41" t="s">
        <v>193</v>
      </c>
      <c r="D148" s="42" t="str">
        <f aca="false">INDEX('Page và Ngách'!$B$5:$B$10,MATCH(C148,'Page và Ngách'!$A$5:$A$10,0))</f>
        <v>Second chance / Secret baby</v>
      </c>
      <c r="E148" s="41" t="n">
        <v>12</v>
      </c>
      <c r="F148" s="43" t="n">
        <f aca="false">'Cài đặt'!$B$37+E148-1</f>
        <v>46346</v>
      </c>
      <c r="G148" s="41" t="s">
        <v>451</v>
      </c>
      <c r="H148" s="44" t="str">
        <f aca="false">IF(G148="S1",'Cài đặt'!$B$7,'Cài đặt'!$B$8)</f>
        <v>20:00</v>
      </c>
      <c r="I148" s="41" t="s">
        <v>113</v>
      </c>
      <c r="J148" s="41" t="s">
        <v>132</v>
      </c>
      <c r="K148" s="41" t="s">
        <v>445</v>
      </c>
      <c r="L148" s="42" t="str">
        <f aca="false">C148&amp;"_"&amp;B148&amp;"_"&amp;IF(I148="Reel","R",IF(I148="Carousel","C","I"))&amp;"_"&amp;J148&amp;"_"&amp;IF(K148="AI tự động","AI","HU")&amp;"_"&amp;RIGHT(A148,3)</f>
        <v>P6_EXP1_C_A_AI_024</v>
      </c>
      <c r="M148" s="45"/>
      <c r="N148" s="45"/>
      <c r="O148" s="46"/>
      <c r="P148" s="46"/>
      <c r="Q148" s="46"/>
      <c r="R148" s="47"/>
      <c r="S148" s="45"/>
      <c r="T148" s="45"/>
      <c r="U148" s="48" t="str">
        <f aca="false">IF(O148&gt;0,P148/O148,"")</f>
        <v/>
      </c>
      <c r="V148" s="49" t="str">
        <f aca="false">IF(P148&gt;0,Q148/P148,"")</f>
        <v/>
      </c>
      <c r="W148" s="50" t="n">
        <f aca="false">IF(R148&lt;&gt;"",R148,Q148*'Cài đặt'!$B$12)</f>
        <v>0</v>
      </c>
      <c r="X148" s="50" t="str">
        <f aca="false">IF(O148&gt;0,W148/O148*1000,"")</f>
        <v/>
      </c>
      <c r="Y148" s="51" t="n">
        <f aca="false">IF(T148&lt;&gt;"",T148,INDEX('Cài đặt'!$B$20:$C$22,MATCH(I148,'Cài đặt'!$A$20:$A$22,0),IF(K148="AI tự động",1,2)))</f>
        <v>4</v>
      </c>
    </row>
    <row r="149" customFormat="false" ht="15" hidden="false" customHeight="false" outlineLevel="0" collapsed="false">
      <c r="A149" s="41" t="s">
        <v>594</v>
      </c>
      <c r="B149" s="41" t="s">
        <v>443</v>
      </c>
      <c r="C149" s="41" t="s">
        <v>154</v>
      </c>
      <c r="D149" s="42" t="str">
        <f aca="false">INDEX('Page và Ngách'!$B$5:$B$10,MATCH(C149,'Page và Ngách'!$A$5:$A$10,0))</f>
        <v>Werewolf / Rejected mate</v>
      </c>
      <c r="E149" s="41" t="n">
        <v>13</v>
      </c>
      <c r="F149" s="43" t="n">
        <f aca="false">'Cài đặt'!$B$37+E149-1</f>
        <v>46347</v>
      </c>
      <c r="G149" s="41" t="s">
        <v>444</v>
      </c>
      <c r="H149" s="44" t="str">
        <f aca="false">IF(G149="S1",'Cài đặt'!$B$7,'Cài đặt'!$B$8)</f>
        <v>12:00</v>
      </c>
      <c r="I149" s="41" t="s">
        <v>111</v>
      </c>
      <c r="J149" s="41" t="s">
        <v>132</v>
      </c>
      <c r="K149" s="41" t="s">
        <v>445</v>
      </c>
      <c r="L149" s="42" t="str">
        <f aca="false">C149&amp;"_"&amp;B149&amp;"_"&amp;IF(I149="Reel","R",IF(I149="Carousel","C","I"))&amp;"_"&amp;J149&amp;"_"&amp;IF(K149="AI tự động","AI","HU")&amp;"_"&amp;RIGHT(A149,3)</f>
        <v>P1_EXP1_I_A_AI_025</v>
      </c>
      <c r="M149" s="45"/>
      <c r="N149" s="45"/>
      <c r="O149" s="46"/>
      <c r="P149" s="46"/>
      <c r="Q149" s="46"/>
      <c r="R149" s="47"/>
      <c r="S149" s="45"/>
      <c r="T149" s="45"/>
      <c r="U149" s="48" t="str">
        <f aca="false">IF(O149&gt;0,P149/O149,"")</f>
        <v/>
      </c>
      <c r="V149" s="49" t="str">
        <f aca="false">IF(P149&gt;0,Q149/P149,"")</f>
        <v/>
      </c>
      <c r="W149" s="50" t="n">
        <f aca="false">IF(R149&lt;&gt;"",R149,Q149*'Cài đặt'!$B$12)</f>
        <v>0</v>
      </c>
      <c r="X149" s="50" t="str">
        <f aca="false">IF(O149&gt;0,W149/O149*1000,"")</f>
        <v/>
      </c>
      <c r="Y149" s="51" t="n">
        <f aca="false">IF(T149&lt;&gt;"",T149,INDEX('Cài đặt'!$B$20:$C$22,MATCH(I149,'Cài đặt'!$A$20:$A$22,0),IF(K149="AI tự động",1,2)))</f>
        <v>2</v>
      </c>
    </row>
    <row r="150" customFormat="false" ht="15" hidden="false" customHeight="false" outlineLevel="0" collapsed="false">
      <c r="A150" s="41" t="s">
        <v>595</v>
      </c>
      <c r="B150" s="41" t="s">
        <v>443</v>
      </c>
      <c r="C150" s="41" t="s">
        <v>154</v>
      </c>
      <c r="D150" s="42" t="str">
        <f aca="false">INDEX('Page và Ngách'!$B$5:$B$10,MATCH(C150,'Page và Ngách'!$A$5:$A$10,0))</f>
        <v>Werewolf / Rejected mate</v>
      </c>
      <c r="E150" s="41" t="n">
        <v>13</v>
      </c>
      <c r="F150" s="43" t="n">
        <f aca="false">'Cài đặt'!$B$37+E150-1</f>
        <v>46347</v>
      </c>
      <c r="G150" s="41" t="s">
        <v>451</v>
      </c>
      <c r="H150" s="44" t="str">
        <f aca="false">IF(G150="S1",'Cài đặt'!$B$7,'Cài đặt'!$B$8)</f>
        <v>20:00</v>
      </c>
      <c r="I150" s="41" t="s">
        <v>113</v>
      </c>
      <c r="J150" s="41" t="s">
        <v>132</v>
      </c>
      <c r="K150" s="41" t="s">
        <v>445</v>
      </c>
      <c r="L150" s="42" t="str">
        <f aca="false">C150&amp;"_"&amp;B150&amp;"_"&amp;IF(I150="Reel","R",IF(I150="Carousel","C","I"))&amp;"_"&amp;J150&amp;"_"&amp;IF(K150="AI tự động","AI","HU")&amp;"_"&amp;RIGHT(A150,3)</f>
        <v>P1_EXP1_C_A_AI_026</v>
      </c>
      <c r="M150" s="45"/>
      <c r="N150" s="45"/>
      <c r="O150" s="46"/>
      <c r="P150" s="46"/>
      <c r="Q150" s="46"/>
      <c r="R150" s="47"/>
      <c r="S150" s="45"/>
      <c r="T150" s="45"/>
      <c r="U150" s="48" t="str">
        <f aca="false">IF(O150&gt;0,P150/O150,"")</f>
        <v/>
      </c>
      <c r="V150" s="49" t="str">
        <f aca="false">IF(P150&gt;0,Q150/P150,"")</f>
        <v/>
      </c>
      <c r="W150" s="50" t="n">
        <f aca="false">IF(R150&lt;&gt;"",R150,Q150*'Cài đặt'!$B$12)</f>
        <v>0</v>
      </c>
      <c r="X150" s="50" t="str">
        <f aca="false">IF(O150&gt;0,W150/O150*1000,"")</f>
        <v/>
      </c>
      <c r="Y150" s="51" t="n">
        <f aca="false">IF(T150&lt;&gt;"",T150,INDEX('Cài đặt'!$B$20:$C$22,MATCH(I150,'Cài đặt'!$A$20:$A$22,0),IF(K150="AI tự động",1,2)))</f>
        <v>4</v>
      </c>
    </row>
    <row r="151" customFormat="false" ht="15" hidden="false" customHeight="false" outlineLevel="0" collapsed="false">
      <c r="A151" s="41" t="s">
        <v>596</v>
      </c>
      <c r="B151" s="41" t="s">
        <v>443</v>
      </c>
      <c r="C151" s="41" t="s">
        <v>163</v>
      </c>
      <c r="D151" s="42" t="str">
        <f aca="false">INDEX('Page và Ngách'!$B$5:$B$10,MATCH(C151,'Page và Ngách'!$A$5:$A$10,0))</f>
        <v>Secret billionaire / CEO</v>
      </c>
      <c r="E151" s="41" t="n">
        <v>13</v>
      </c>
      <c r="F151" s="43" t="n">
        <f aca="false">'Cài đặt'!$B$37+E151-1</f>
        <v>46347</v>
      </c>
      <c r="G151" s="41" t="s">
        <v>444</v>
      </c>
      <c r="H151" s="44" t="str">
        <f aca="false">IF(G151="S1",'Cài đặt'!$B$7,'Cài đặt'!$B$8)</f>
        <v>12:00</v>
      </c>
      <c r="I151" s="41" t="s">
        <v>113</v>
      </c>
      <c r="J151" s="41" t="s">
        <v>132</v>
      </c>
      <c r="K151" s="41" t="s">
        <v>445</v>
      </c>
      <c r="L151" s="42" t="str">
        <f aca="false">C151&amp;"_"&amp;B151&amp;"_"&amp;IF(I151="Reel","R",IF(I151="Carousel","C","I"))&amp;"_"&amp;J151&amp;"_"&amp;IF(K151="AI tự động","AI","HU")&amp;"_"&amp;RIGHT(A151,3)</f>
        <v>P2_EXP1_C_A_AI_025</v>
      </c>
      <c r="M151" s="45"/>
      <c r="N151" s="45"/>
      <c r="O151" s="46"/>
      <c r="P151" s="46"/>
      <c r="Q151" s="46"/>
      <c r="R151" s="47"/>
      <c r="S151" s="45"/>
      <c r="T151" s="45"/>
      <c r="U151" s="48" t="str">
        <f aca="false">IF(O151&gt;0,P151/O151,"")</f>
        <v/>
      </c>
      <c r="V151" s="49" t="str">
        <f aca="false">IF(P151&gt;0,Q151/P151,"")</f>
        <v/>
      </c>
      <c r="W151" s="50" t="n">
        <f aca="false">IF(R151&lt;&gt;"",R151,Q151*'Cài đặt'!$B$12)</f>
        <v>0</v>
      </c>
      <c r="X151" s="50" t="str">
        <f aca="false">IF(O151&gt;0,W151/O151*1000,"")</f>
        <v/>
      </c>
      <c r="Y151" s="51" t="n">
        <f aca="false">IF(T151&lt;&gt;"",T151,INDEX('Cài đặt'!$B$20:$C$22,MATCH(I151,'Cài đặt'!$A$20:$A$22,0),IF(K151="AI tự động",1,2)))</f>
        <v>4</v>
      </c>
    </row>
    <row r="152" customFormat="false" ht="15" hidden="false" customHeight="false" outlineLevel="0" collapsed="false">
      <c r="A152" s="41" t="s">
        <v>597</v>
      </c>
      <c r="B152" s="41" t="s">
        <v>443</v>
      </c>
      <c r="C152" s="41" t="s">
        <v>163</v>
      </c>
      <c r="D152" s="42" t="str">
        <f aca="false">INDEX('Page và Ngách'!$B$5:$B$10,MATCH(C152,'Page và Ngách'!$A$5:$A$10,0))</f>
        <v>Secret billionaire / CEO</v>
      </c>
      <c r="E152" s="41" t="n">
        <v>13</v>
      </c>
      <c r="F152" s="43" t="n">
        <f aca="false">'Cài đặt'!$B$37+E152-1</f>
        <v>46347</v>
      </c>
      <c r="G152" s="41" t="s">
        <v>451</v>
      </c>
      <c r="H152" s="44" t="str">
        <f aca="false">IF(G152="S1",'Cài đặt'!$B$7,'Cài đặt'!$B$8)</f>
        <v>20:00</v>
      </c>
      <c r="I152" s="41" t="s">
        <v>115</v>
      </c>
      <c r="J152" s="41" t="s">
        <v>132</v>
      </c>
      <c r="K152" s="41" t="s">
        <v>445</v>
      </c>
      <c r="L152" s="42" t="str">
        <f aca="false">C152&amp;"_"&amp;B152&amp;"_"&amp;IF(I152="Reel","R",IF(I152="Carousel","C","I"))&amp;"_"&amp;J152&amp;"_"&amp;IF(K152="AI tự động","AI","HU")&amp;"_"&amp;RIGHT(A152,3)</f>
        <v>P2_EXP1_R_A_AI_026</v>
      </c>
      <c r="M152" s="45"/>
      <c r="N152" s="45"/>
      <c r="O152" s="46"/>
      <c r="P152" s="46"/>
      <c r="Q152" s="46"/>
      <c r="R152" s="47"/>
      <c r="S152" s="45"/>
      <c r="T152" s="45"/>
      <c r="U152" s="48" t="str">
        <f aca="false">IF(O152&gt;0,P152/O152,"")</f>
        <v/>
      </c>
      <c r="V152" s="49" t="str">
        <f aca="false">IF(P152&gt;0,Q152/P152,"")</f>
        <v/>
      </c>
      <c r="W152" s="50" t="n">
        <f aca="false">IF(R152&lt;&gt;"",R152,Q152*'Cài đặt'!$B$12)</f>
        <v>0</v>
      </c>
      <c r="X152" s="50" t="str">
        <f aca="false">IF(O152&gt;0,W152/O152*1000,"")</f>
        <v/>
      </c>
      <c r="Y152" s="51" t="n">
        <f aca="false">IF(T152&lt;&gt;"",T152,INDEX('Cài đặt'!$B$20:$C$22,MATCH(I152,'Cài đặt'!$A$20:$A$22,0),IF(K152="AI tự động",1,2)))</f>
        <v>8</v>
      </c>
    </row>
    <row r="153" customFormat="false" ht="15" hidden="false" customHeight="false" outlineLevel="0" collapsed="false">
      <c r="A153" s="41" t="s">
        <v>598</v>
      </c>
      <c r="B153" s="41" t="s">
        <v>443</v>
      </c>
      <c r="C153" s="41" t="s">
        <v>171</v>
      </c>
      <c r="D153" s="42" t="str">
        <f aca="false">INDEX('Page và Ngách'!$B$5:$B$10,MATCH(C153,'Page và Ngách'!$A$5:$A$10,0))</f>
        <v>Contract marriage / Fake relationship</v>
      </c>
      <c r="E153" s="41" t="n">
        <v>13</v>
      </c>
      <c r="F153" s="43" t="n">
        <f aca="false">'Cài đặt'!$B$37+E153-1</f>
        <v>46347</v>
      </c>
      <c r="G153" s="41" t="s">
        <v>444</v>
      </c>
      <c r="H153" s="44" t="str">
        <f aca="false">IF(G153="S1",'Cài đặt'!$B$7,'Cài đặt'!$B$8)</f>
        <v>12:00</v>
      </c>
      <c r="I153" s="41" t="s">
        <v>115</v>
      </c>
      <c r="J153" s="41" t="s">
        <v>132</v>
      </c>
      <c r="K153" s="41" t="s">
        <v>445</v>
      </c>
      <c r="L153" s="42" t="str">
        <f aca="false">C153&amp;"_"&amp;B153&amp;"_"&amp;IF(I153="Reel","R",IF(I153="Carousel","C","I"))&amp;"_"&amp;J153&amp;"_"&amp;IF(K153="AI tự động","AI","HU")&amp;"_"&amp;RIGHT(A153,3)</f>
        <v>P3_EXP1_R_A_AI_025</v>
      </c>
      <c r="M153" s="45"/>
      <c r="N153" s="45"/>
      <c r="O153" s="46"/>
      <c r="P153" s="46"/>
      <c r="Q153" s="46"/>
      <c r="R153" s="47"/>
      <c r="S153" s="45"/>
      <c r="T153" s="45"/>
      <c r="U153" s="48" t="str">
        <f aca="false">IF(O153&gt;0,P153/O153,"")</f>
        <v/>
      </c>
      <c r="V153" s="49" t="str">
        <f aca="false">IF(P153&gt;0,Q153/P153,"")</f>
        <v/>
      </c>
      <c r="W153" s="50" t="n">
        <f aca="false">IF(R153&lt;&gt;"",R153,Q153*'Cài đặt'!$B$12)</f>
        <v>0</v>
      </c>
      <c r="X153" s="50" t="str">
        <f aca="false">IF(O153&gt;0,W153/O153*1000,"")</f>
        <v/>
      </c>
      <c r="Y153" s="51" t="n">
        <f aca="false">IF(T153&lt;&gt;"",T153,INDEX('Cài đặt'!$B$20:$C$22,MATCH(I153,'Cài đặt'!$A$20:$A$22,0),IF(K153="AI tự động",1,2)))</f>
        <v>8</v>
      </c>
    </row>
    <row r="154" customFormat="false" ht="15" hidden="false" customHeight="false" outlineLevel="0" collapsed="false">
      <c r="A154" s="41" t="s">
        <v>599</v>
      </c>
      <c r="B154" s="41" t="s">
        <v>443</v>
      </c>
      <c r="C154" s="41" t="s">
        <v>171</v>
      </c>
      <c r="D154" s="42" t="str">
        <f aca="false">INDEX('Page và Ngách'!$B$5:$B$10,MATCH(C154,'Page và Ngách'!$A$5:$A$10,0))</f>
        <v>Contract marriage / Fake relationship</v>
      </c>
      <c r="E154" s="41" t="n">
        <v>13</v>
      </c>
      <c r="F154" s="43" t="n">
        <f aca="false">'Cài đặt'!$B$37+E154-1</f>
        <v>46347</v>
      </c>
      <c r="G154" s="41" t="s">
        <v>451</v>
      </c>
      <c r="H154" s="44" t="str">
        <f aca="false">IF(G154="S1",'Cài đặt'!$B$7,'Cài đặt'!$B$8)</f>
        <v>20:00</v>
      </c>
      <c r="I154" s="41" t="s">
        <v>111</v>
      </c>
      <c r="J154" s="41" t="s">
        <v>132</v>
      </c>
      <c r="K154" s="41" t="s">
        <v>445</v>
      </c>
      <c r="L154" s="42" t="str">
        <f aca="false">C154&amp;"_"&amp;B154&amp;"_"&amp;IF(I154="Reel","R",IF(I154="Carousel","C","I"))&amp;"_"&amp;J154&amp;"_"&amp;IF(K154="AI tự động","AI","HU")&amp;"_"&amp;RIGHT(A154,3)</f>
        <v>P3_EXP1_I_A_AI_026</v>
      </c>
      <c r="M154" s="45"/>
      <c r="N154" s="45"/>
      <c r="O154" s="46"/>
      <c r="P154" s="46"/>
      <c r="Q154" s="46"/>
      <c r="R154" s="47"/>
      <c r="S154" s="45"/>
      <c r="T154" s="45"/>
      <c r="U154" s="48" t="str">
        <f aca="false">IF(O154&gt;0,P154/O154,"")</f>
        <v/>
      </c>
      <c r="V154" s="49" t="str">
        <f aca="false">IF(P154&gt;0,Q154/P154,"")</f>
        <v/>
      </c>
      <c r="W154" s="50" t="n">
        <f aca="false">IF(R154&lt;&gt;"",R154,Q154*'Cài đặt'!$B$12)</f>
        <v>0</v>
      </c>
      <c r="X154" s="50" t="str">
        <f aca="false">IF(O154&gt;0,W154/O154*1000,"")</f>
        <v/>
      </c>
      <c r="Y154" s="51" t="n">
        <f aca="false">IF(T154&lt;&gt;"",T154,INDEX('Cài đặt'!$B$20:$C$22,MATCH(I154,'Cài đặt'!$A$20:$A$22,0),IF(K154="AI tự động",1,2)))</f>
        <v>2</v>
      </c>
    </row>
    <row r="155" customFormat="false" ht="15" hidden="false" customHeight="false" outlineLevel="0" collapsed="false">
      <c r="A155" s="41" t="s">
        <v>600</v>
      </c>
      <c r="B155" s="41" t="s">
        <v>443</v>
      </c>
      <c r="C155" s="41" t="s">
        <v>178</v>
      </c>
      <c r="D155" s="42" t="str">
        <f aca="false">INDEX('Page và Ngách'!$B$5:$B$10,MATCH(C155,'Page và Ngách'!$A$5:$A$10,0))</f>
        <v>Revenge / Betrayal ("you'll regret it")</v>
      </c>
      <c r="E155" s="41" t="n">
        <v>13</v>
      </c>
      <c r="F155" s="43" t="n">
        <f aca="false">'Cài đặt'!$B$37+E155-1</f>
        <v>46347</v>
      </c>
      <c r="G155" s="41" t="s">
        <v>444</v>
      </c>
      <c r="H155" s="44" t="str">
        <f aca="false">IF(G155="S1",'Cài đặt'!$B$7,'Cài đặt'!$B$8)</f>
        <v>12:00</v>
      </c>
      <c r="I155" s="41" t="s">
        <v>111</v>
      </c>
      <c r="J155" s="41" t="s">
        <v>132</v>
      </c>
      <c r="K155" s="41" t="s">
        <v>445</v>
      </c>
      <c r="L155" s="42" t="str">
        <f aca="false">C155&amp;"_"&amp;B155&amp;"_"&amp;IF(I155="Reel","R",IF(I155="Carousel","C","I"))&amp;"_"&amp;J155&amp;"_"&amp;IF(K155="AI tự động","AI","HU")&amp;"_"&amp;RIGHT(A155,3)</f>
        <v>P4_EXP1_I_A_AI_025</v>
      </c>
      <c r="M155" s="45"/>
      <c r="N155" s="45"/>
      <c r="O155" s="46"/>
      <c r="P155" s="46"/>
      <c r="Q155" s="46"/>
      <c r="R155" s="47"/>
      <c r="S155" s="45"/>
      <c r="T155" s="45"/>
      <c r="U155" s="48" t="str">
        <f aca="false">IF(O155&gt;0,P155/O155,"")</f>
        <v/>
      </c>
      <c r="V155" s="49" t="str">
        <f aca="false">IF(P155&gt;0,Q155/P155,"")</f>
        <v/>
      </c>
      <c r="W155" s="50" t="n">
        <f aca="false">IF(R155&lt;&gt;"",R155,Q155*'Cài đặt'!$B$12)</f>
        <v>0</v>
      </c>
      <c r="X155" s="50" t="str">
        <f aca="false">IF(O155&gt;0,W155/O155*1000,"")</f>
        <v/>
      </c>
      <c r="Y155" s="51" t="n">
        <f aca="false">IF(T155&lt;&gt;"",T155,INDEX('Cài đặt'!$B$20:$C$22,MATCH(I155,'Cài đặt'!$A$20:$A$22,0),IF(K155="AI tự động",1,2)))</f>
        <v>2</v>
      </c>
    </row>
    <row r="156" customFormat="false" ht="15" hidden="false" customHeight="false" outlineLevel="0" collapsed="false">
      <c r="A156" s="41" t="s">
        <v>601</v>
      </c>
      <c r="B156" s="41" t="s">
        <v>443</v>
      </c>
      <c r="C156" s="41" t="s">
        <v>178</v>
      </c>
      <c r="D156" s="42" t="str">
        <f aca="false">INDEX('Page và Ngách'!$B$5:$B$10,MATCH(C156,'Page và Ngách'!$A$5:$A$10,0))</f>
        <v>Revenge / Betrayal ("you'll regret it")</v>
      </c>
      <c r="E156" s="41" t="n">
        <v>13</v>
      </c>
      <c r="F156" s="43" t="n">
        <f aca="false">'Cài đặt'!$B$37+E156-1</f>
        <v>46347</v>
      </c>
      <c r="G156" s="41" t="s">
        <v>451</v>
      </c>
      <c r="H156" s="44" t="str">
        <f aca="false">IF(G156="S1",'Cài đặt'!$B$7,'Cài đặt'!$B$8)</f>
        <v>20:00</v>
      </c>
      <c r="I156" s="41" t="s">
        <v>113</v>
      </c>
      <c r="J156" s="41" t="s">
        <v>132</v>
      </c>
      <c r="K156" s="41" t="s">
        <v>445</v>
      </c>
      <c r="L156" s="42" t="str">
        <f aca="false">C156&amp;"_"&amp;B156&amp;"_"&amp;IF(I156="Reel","R",IF(I156="Carousel","C","I"))&amp;"_"&amp;J156&amp;"_"&amp;IF(K156="AI tự động","AI","HU")&amp;"_"&amp;RIGHT(A156,3)</f>
        <v>P4_EXP1_C_A_AI_026</v>
      </c>
      <c r="M156" s="45"/>
      <c r="N156" s="45"/>
      <c r="O156" s="46"/>
      <c r="P156" s="46"/>
      <c r="Q156" s="46"/>
      <c r="R156" s="47"/>
      <c r="S156" s="45"/>
      <c r="T156" s="45"/>
      <c r="U156" s="48" t="str">
        <f aca="false">IF(O156&gt;0,P156/O156,"")</f>
        <v/>
      </c>
      <c r="V156" s="49" t="str">
        <f aca="false">IF(P156&gt;0,Q156/P156,"")</f>
        <v/>
      </c>
      <c r="W156" s="50" t="n">
        <f aca="false">IF(R156&lt;&gt;"",R156,Q156*'Cài đặt'!$B$12)</f>
        <v>0</v>
      </c>
      <c r="X156" s="50" t="str">
        <f aca="false">IF(O156&gt;0,W156/O156*1000,"")</f>
        <v/>
      </c>
      <c r="Y156" s="51" t="n">
        <f aca="false">IF(T156&lt;&gt;"",T156,INDEX('Cài đặt'!$B$20:$C$22,MATCH(I156,'Cài đặt'!$A$20:$A$22,0),IF(K156="AI tự động",1,2)))</f>
        <v>4</v>
      </c>
    </row>
    <row r="157" customFormat="false" ht="15" hidden="false" customHeight="false" outlineLevel="0" collapsed="false">
      <c r="A157" s="41" t="s">
        <v>602</v>
      </c>
      <c r="B157" s="41" t="s">
        <v>443</v>
      </c>
      <c r="C157" s="41" t="s">
        <v>185</v>
      </c>
      <c r="D157" s="42" t="str">
        <f aca="false">INDEX('Page và Ngách'!$B$5:$B$10,MATCH(C157,'Page và Ngách'!$A$5:$A$10,0))</f>
        <v>Mafia / Dark romance (teaser PG-13)</v>
      </c>
      <c r="E157" s="41" t="n">
        <v>13</v>
      </c>
      <c r="F157" s="43" t="n">
        <f aca="false">'Cài đặt'!$B$37+E157-1</f>
        <v>46347</v>
      </c>
      <c r="G157" s="41" t="s">
        <v>444</v>
      </c>
      <c r="H157" s="44" t="str">
        <f aca="false">IF(G157="S1",'Cài đặt'!$B$7,'Cài đặt'!$B$8)</f>
        <v>12:00</v>
      </c>
      <c r="I157" s="41" t="s">
        <v>113</v>
      </c>
      <c r="J157" s="41" t="s">
        <v>132</v>
      </c>
      <c r="K157" s="41" t="s">
        <v>445</v>
      </c>
      <c r="L157" s="42" t="str">
        <f aca="false">C157&amp;"_"&amp;B157&amp;"_"&amp;IF(I157="Reel","R",IF(I157="Carousel","C","I"))&amp;"_"&amp;J157&amp;"_"&amp;IF(K157="AI tự động","AI","HU")&amp;"_"&amp;RIGHT(A157,3)</f>
        <v>P5_EXP1_C_A_AI_025</v>
      </c>
      <c r="M157" s="45"/>
      <c r="N157" s="45"/>
      <c r="O157" s="46"/>
      <c r="P157" s="46"/>
      <c r="Q157" s="46"/>
      <c r="R157" s="47"/>
      <c r="S157" s="45"/>
      <c r="T157" s="45"/>
      <c r="U157" s="48" t="str">
        <f aca="false">IF(O157&gt;0,P157/O157,"")</f>
        <v/>
      </c>
      <c r="V157" s="49" t="str">
        <f aca="false">IF(P157&gt;0,Q157/P157,"")</f>
        <v/>
      </c>
      <c r="W157" s="50" t="n">
        <f aca="false">IF(R157&lt;&gt;"",R157,Q157*'Cài đặt'!$B$12)</f>
        <v>0</v>
      </c>
      <c r="X157" s="50" t="str">
        <f aca="false">IF(O157&gt;0,W157/O157*1000,"")</f>
        <v/>
      </c>
      <c r="Y157" s="51" t="n">
        <f aca="false">IF(T157&lt;&gt;"",T157,INDEX('Cài đặt'!$B$20:$C$22,MATCH(I157,'Cài đặt'!$A$20:$A$22,0),IF(K157="AI tự động",1,2)))</f>
        <v>4</v>
      </c>
    </row>
    <row r="158" customFormat="false" ht="15" hidden="false" customHeight="false" outlineLevel="0" collapsed="false">
      <c r="A158" s="41" t="s">
        <v>603</v>
      </c>
      <c r="B158" s="41" t="s">
        <v>443</v>
      </c>
      <c r="C158" s="41" t="s">
        <v>185</v>
      </c>
      <c r="D158" s="42" t="str">
        <f aca="false">INDEX('Page và Ngách'!$B$5:$B$10,MATCH(C158,'Page và Ngách'!$A$5:$A$10,0))</f>
        <v>Mafia / Dark romance (teaser PG-13)</v>
      </c>
      <c r="E158" s="41" t="n">
        <v>13</v>
      </c>
      <c r="F158" s="43" t="n">
        <f aca="false">'Cài đặt'!$B$37+E158-1</f>
        <v>46347</v>
      </c>
      <c r="G158" s="41" t="s">
        <v>451</v>
      </c>
      <c r="H158" s="44" t="str">
        <f aca="false">IF(G158="S1",'Cài đặt'!$B$7,'Cài đặt'!$B$8)</f>
        <v>20:00</v>
      </c>
      <c r="I158" s="41" t="s">
        <v>115</v>
      </c>
      <c r="J158" s="41" t="s">
        <v>132</v>
      </c>
      <c r="K158" s="41" t="s">
        <v>445</v>
      </c>
      <c r="L158" s="42" t="str">
        <f aca="false">C158&amp;"_"&amp;B158&amp;"_"&amp;IF(I158="Reel","R",IF(I158="Carousel","C","I"))&amp;"_"&amp;J158&amp;"_"&amp;IF(K158="AI tự động","AI","HU")&amp;"_"&amp;RIGHT(A158,3)</f>
        <v>P5_EXP1_R_A_AI_026</v>
      </c>
      <c r="M158" s="45"/>
      <c r="N158" s="45"/>
      <c r="O158" s="46"/>
      <c r="P158" s="46"/>
      <c r="Q158" s="46"/>
      <c r="R158" s="47"/>
      <c r="S158" s="45"/>
      <c r="T158" s="45"/>
      <c r="U158" s="48" t="str">
        <f aca="false">IF(O158&gt;0,P158/O158,"")</f>
        <v/>
      </c>
      <c r="V158" s="49" t="str">
        <f aca="false">IF(P158&gt;0,Q158/P158,"")</f>
        <v/>
      </c>
      <c r="W158" s="50" t="n">
        <f aca="false">IF(R158&lt;&gt;"",R158,Q158*'Cài đặt'!$B$12)</f>
        <v>0</v>
      </c>
      <c r="X158" s="50" t="str">
        <f aca="false">IF(O158&gt;0,W158/O158*1000,"")</f>
        <v/>
      </c>
      <c r="Y158" s="51" t="n">
        <f aca="false">IF(T158&lt;&gt;"",T158,INDEX('Cài đặt'!$B$20:$C$22,MATCH(I158,'Cài đặt'!$A$20:$A$22,0),IF(K158="AI tự động",1,2)))</f>
        <v>8</v>
      </c>
    </row>
    <row r="159" customFormat="false" ht="15" hidden="false" customHeight="false" outlineLevel="0" collapsed="false">
      <c r="A159" s="41" t="s">
        <v>604</v>
      </c>
      <c r="B159" s="41" t="s">
        <v>443</v>
      </c>
      <c r="C159" s="41" t="s">
        <v>193</v>
      </c>
      <c r="D159" s="42" t="str">
        <f aca="false">INDEX('Page và Ngách'!$B$5:$B$10,MATCH(C159,'Page và Ngách'!$A$5:$A$10,0))</f>
        <v>Second chance / Secret baby</v>
      </c>
      <c r="E159" s="41" t="n">
        <v>13</v>
      </c>
      <c r="F159" s="43" t="n">
        <f aca="false">'Cài đặt'!$B$37+E159-1</f>
        <v>46347</v>
      </c>
      <c r="G159" s="41" t="s">
        <v>444</v>
      </c>
      <c r="H159" s="44" t="str">
        <f aca="false">IF(G159="S1",'Cài đặt'!$B$7,'Cài đặt'!$B$8)</f>
        <v>12:00</v>
      </c>
      <c r="I159" s="41" t="s">
        <v>115</v>
      </c>
      <c r="J159" s="41" t="s">
        <v>132</v>
      </c>
      <c r="K159" s="41" t="s">
        <v>445</v>
      </c>
      <c r="L159" s="42" t="str">
        <f aca="false">C159&amp;"_"&amp;B159&amp;"_"&amp;IF(I159="Reel","R",IF(I159="Carousel","C","I"))&amp;"_"&amp;J159&amp;"_"&amp;IF(K159="AI tự động","AI","HU")&amp;"_"&amp;RIGHT(A159,3)</f>
        <v>P6_EXP1_R_A_AI_025</v>
      </c>
      <c r="M159" s="45"/>
      <c r="N159" s="45"/>
      <c r="O159" s="46"/>
      <c r="P159" s="46"/>
      <c r="Q159" s="46"/>
      <c r="R159" s="47"/>
      <c r="S159" s="45"/>
      <c r="T159" s="45"/>
      <c r="U159" s="48" t="str">
        <f aca="false">IF(O159&gt;0,P159/O159,"")</f>
        <v/>
      </c>
      <c r="V159" s="49" t="str">
        <f aca="false">IF(P159&gt;0,Q159/P159,"")</f>
        <v/>
      </c>
      <c r="W159" s="50" t="n">
        <f aca="false">IF(R159&lt;&gt;"",R159,Q159*'Cài đặt'!$B$12)</f>
        <v>0</v>
      </c>
      <c r="X159" s="50" t="str">
        <f aca="false">IF(O159&gt;0,W159/O159*1000,"")</f>
        <v/>
      </c>
      <c r="Y159" s="51" t="n">
        <f aca="false">IF(T159&lt;&gt;"",T159,INDEX('Cài đặt'!$B$20:$C$22,MATCH(I159,'Cài đặt'!$A$20:$A$22,0),IF(K159="AI tự động",1,2)))</f>
        <v>8</v>
      </c>
    </row>
    <row r="160" customFormat="false" ht="15" hidden="false" customHeight="false" outlineLevel="0" collapsed="false">
      <c r="A160" s="41" t="s">
        <v>605</v>
      </c>
      <c r="B160" s="41" t="s">
        <v>443</v>
      </c>
      <c r="C160" s="41" t="s">
        <v>193</v>
      </c>
      <c r="D160" s="42" t="str">
        <f aca="false">INDEX('Page và Ngách'!$B$5:$B$10,MATCH(C160,'Page và Ngách'!$A$5:$A$10,0))</f>
        <v>Second chance / Secret baby</v>
      </c>
      <c r="E160" s="41" t="n">
        <v>13</v>
      </c>
      <c r="F160" s="43" t="n">
        <f aca="false">'Cài đặt'!$B$37+E160-1</f>
        <v>46347</v>
      </c>
      <c r="G160" s="41" t="s">
        <v>451</v>
      </c>
      <c r="H160" s="44" t="str">
        <f aca="false">IF(G160="S1",'Cài đặt'!$B$7,'Cài đặt'!$B$8)</f>
        <v>20:00</v>
      </c>
      <c r="I160" s="41" t="s">
        <v>111</v>
      </c>
      <c r="J160" s="41" t="s">
        <v>132</v>
      </c>
      <c r="K160" s="41" t="s">
        <v>445</v>
      </c>
      <c r="L160" s="42" t="str">
        <f aca="false">C160&amp;"_"&amp;B160&amp;"_"&amp;IF(I160="Reel","R",IF(I160="Carousel","C","I"))&amp;"_"&amp;J160&amp;"_"&amp;IF(K160="AI tự động","AI","HU")&amp;"_"&amp;RIGHT(A160,3)</f>
        <v>P6_EXP1_I_A_AI_026</v>
      </c>
      <c r="M160" s="45"/>
      <c r="N160" s="45"/>
      <c r="O160" s="46"/>
      <c r="P160" s="46"/>
      <c r="Q160" s="46"/>
      <c r="R160" s="47"/>
      <c r="S160" s="45"/>
      <c r="T160" s="45"/>
      <c r="U160" s="48" t="str">
        <f aca="false">IF(O160&gt;0,P160/O160,"")</f>
        <v/>
      </c>
      <c r="V160" s="49" t="str">
        <f aca="false">IF(P160&gt;0,Q160/P160,"")</f>
        <v/>
      </c>
      <c r="W160" s="50" t="n">
        <f aca="false">IF(R160&lt;&gt;"",R160,Q160*'Cài đặt'!$B$12)</f>
        <v>0</v>
      </c>
      <c r="X160" s="50" t="str">
        <f aca="false">IF(O160&gt;0,W160/O160*1000,"")</f>
        <v/>
      </c>
      <c r="Y160" s="51" t="n">
        <f aca="false">IF(T160&lt;&gt;"",T160,INDEX('Cài đặt'!$B$20:$C$22,MATCH(I160,'Cài đặt'!$A$20:$A$22,0),IF(K160="AI tự động",1,2)))</f>
        <v>2</v>
      </c>
    </row>
    <row r="161" customFormat="false" ht="15" hidden="false" customHeight="false" outlineLevel="0" collapsed="false">
      <c r="A161" s="41" t="s">
        <v>606</v>
      </c>
      <c r="B161" s="41" t="s">
        <v>443</v>
      </c>
      <c r="C161" s="41" t="s">
        <v>154</v>
      </c>
      <c r="D161" s="42" t="str">
        <f aca="false">INDEX('Page và Ngách'!$B$5:$B$10,MATCH(C161,'Page và Ngách'!$A$5:$A$10,0))</f>
        <v>Werewolf / Rejected mate</v>
      </c>
      <c r="E161" s="41" t="n">
        <v>14</v>
      </c>
      <c r="F161" s="43" t="n">
        <f aca="false">'Cài đặt'!$B$37+E161-1</f>
        <v>46348</v>
      </c>
      <c r="G161" s="41" t="s">
        <v>444</v>
      </c>
      <c r="H161" s="44" t="str">
        <f aca="false">IF(G161="S1",'Cài đặt'!$B$7,'Cài đặt'!$B$8)</f>
        <v>12:00</v>
      </c>
      <c r="I161" s="41" t="s">
        <v>115</v>
      </c>
      <c r="J161" s="41" t="s">
        <v>132</v>
      </c>
      <c r="K161" s="41" t="s">
        <v>445</v>
      </c>
      <c r="L161" s="42" t="str">
        <f aca="false">C161&amp;"_"&amp;B161&amp;"_"&amp;IF(I161="Reel","R",IF(I161="Carousel","C","I"))&amp;"_"&amp;J161&amp;"_"&amp;IF(K161="AI tự động","AI","HU")&amp;"_"&amp;RIGHT(A161,3)</f>
        <v>P1_EXP1_R_A_AI_027</v>
      </c>
      <c r="M161" s="45"/>
      <c r="N161" s="45"/>
      <c r="O161" s="46"/>
      <c r="P161" s="46"/>
      <c r="Q161" s="46"/>
      <c r="R161" s="47"/>
      <c r="S161" s="45"/>
      <c r="T161" s="45"/>
      <c r="U161" s="48" t="str">
        <f aca="false">IF(O161&gt;0,P161/O161,"")</f>
        <v/>
      </c>
      <c r="V161" s="49" t="str">
        <f aca="false">IF(P161&gt;0,Q161/P161,"")</f>
        <v/>
      </c>
      <c r="W161" s="50" t="n">
        <f aca="false">IF(R161&lt;&gt;"",R161,Q161*'Cài đặt'!$B$12)</f>
        <v>0</v>
      </c>
      <c r="X161" s="50" t="str">
        <f aca="false">IF(O161&gt;0,W161/O161*1000,"")</f>
        <v/>
      </c>
      <c r="Y161" s="51" t="n">
        <f aca="false">IF(T161&lt;&gt;"",T161,INDEX('Cài đặt'!$B$20:$C$22,MATCH(I161,'Cài đặt'!$A$20:$A$22,0),IF(K161="AI tự động",1,2)))</f>
        <v>8</v>
      </c>
    </row>
    <row r="162" customFormat="false" ht="15" hidden="false" customHeight="false" outlineLevel="0" collapsed="false">
      <c r="A162" s="41" t="s">
        <v>607</v>
      </c>
      <c r="B162" s="41" t="s">
        <v>443</v>
      </c>
      <c r="C162" s="41" t="s">
        <v>154</v>
      </c>
      <c r="D162" s="42" t="str">
        <f aca="false">INDEX('Page và Ngách'!$B$5:$B$10,MATCH(C162,'Page và Ngách'!$A$5:$A$10,0))</f>
        <v>Werewolf / Rejected mate</v>
      </c>
      <c r="E162" s="41" t="n">
        <v>14</v>
      </c>
      <c r="F162" s="43" t="n">
        <f aca="false">'Cài đặt'!$B$37+E162-1</f>
        <v>46348</v>
      </c>
      <c r="G162" s="41" t="s">
        <v>451</v>
      </c>
      <c r="H162" s="44" t="str">
        <f aca="false">IF(G162="S1",'Cài đặt'!$B$7,'Cài đặt'!$B$8)</f>
        <v>20:00</v>
      </c>
      <c r="I162" s="41" t="s">
        <v>111</v>
      </c>
      <c r="J162" s="41" t="s">
        <v>132</v>
      </c>
      <c r="K162" s="41" t="s">
        <v>445</v>
      </c>
      <c r="L162" s="42" t="str">
        <f aca="false">C162&amp;"_"&amp;B162&amp;"_"&amp;IF(I162="Reel","R",IF(I162="Carousel","C","I"))&amp;"_"&amp;J162&amp;"_"&amp;IF(K162="AI tự động","AI","HU")&amp;"_"&amp;RIGHT(A162,3)</f>
        <v>P1_EXP1_I_A_AI_028</v>
      </c>
      <c r="M162" s="45"/>
      <c r="N162" s="45"/>
      <c r="O162" s="46"/>
      <c r="P162" s="46"/>
      <c r="Q162" s="46"/>
      <c r="R162" s="47"/>
      <c r="S162" s="45"/>
      <c r="T162" s="45"/>
      <c r="U162" s="48" t="str">
        <f aca="false">IF(O162&gt;0,P162/O162,"")</f>
        <v/>
      </c>
      <c r="V162" s="49" t="str">
        <f aca="false">IF(P162&gt;0,Q162/P162,"")</f>
        <v/>
      </c>
      <c r="W162" s="50" t="n">
        <f aca="false">IF(R162&lt;&gt;"",R162,Q162*'Cài đặt'!$B$12)</f>
        <v>0</v>
      </c>
      <c r="X162" s="50" t="str">
        <f aca="false">IF(O162&gt;0,W162/O162*1000,"")</f>
        <v/>
      </c>
      <c r="Y162" s="51" t="n">
        <f aca="false">IF(T162&lt;&gt;"",T162,INDEX('Cài đặt'!$B$20:$C$22,MATCH(I162,'Cài đặt'!$A$20:$A$22,0),IF(K162="AI tự động",1,2)))</f>
        <v>2</v>
      </c>
    </row>
    <row r="163" customFormat="false" ht="15" hidden="false" customHeight="false" outlineLevel="0" collapsed="false">
      <c r="A163" s="41" t="s">
        <v>608</v>
      </c>
      <c r="B163" s="41" t="s">
        <v>443</v>
      </c>
      <c r="C163" s="41" t="s">
        <v>163</v>
      </c>
      <c r="D163" s="42" t="str">
        <f aca="false">INDEX('Page và Ngách'!$B$5:$B$10,MATCH(C163,'Page và Ngách'!$A$5:$A$10,0))</f>
        <v>Secret billionaire / CEO</v>
      </c>
      <c r="E163" s="41" t="n">
        <v>14</v>
      </c>
      <c r="F163" s="43" t="n">
        <f aca="false">'Cài đặt'!$B$37+E163-1</f>
        <v>46348</v>
      </c>
      <c r="G163" s="41" t="s">
        <v>444</v>
      </c>
      <c r="H163" s="44" t="str">
        <f aca="false">IF(G163="S1",'Cài đặt'!$B$7,'Cài đặt'!$B$8)</f>
        <v>12:00</v>
      </c>
      <c r="I163" s="41" t="s">
        <v>111</v>
      </c>
      <c r="J163" s="41" t="s">
        <v>132</v>
      </c>
      <c r="K163" s="41" t="s">
        <v>445</v>
      </c>
      <c r="L163" s="42" t="str">
        <f aca="false">C163&amp;"_"&amp;B163&amp;"_"&amp;IF(I163="Reel","R",IF(I163="Carousel","C","I"))&amp;"_"&amp;J163&amp;"_"&amp;IF(K163="AI tự động","AI","HU")&amp;"_"&amp;RIGHT(A163,3)</f>
        <v>P2_EXP1_I_A_AI_027</v>
      </c>
      <c r="M163" s="45"/>
      <c r="N163" s="45"/>
      <c r="O163" s="46"/>
      <c r="P163" s="46"/>
      <c r="Q163" s="46"/>
      <c r="R163" s="47"/>
      <c r="S163" s="45"/>
      <c r="T163" s="45"/>
      <c r="U163" s="48" t="str">
        <f aca="false">IF(O163&gt;0,P163/O163,"")</f>
        <v/>
      </c>
      <c r="V163" s="49" t="str">
        <f aca="false">IF(P163&gt;0,Q163/P163,"")</f>
        <v/>
      </c>
      <c r="W163" s="50" t="n">
        <f aca="false">IF(R163&lt;&gt;"",R163,Q163*'Cài đặt'!$B$12)</f>
        <v>0</v>
      </c>
      <c r="X163" s="50" t="str">
        <f aca="false">IF(O163&gt;0,W163/O163*1000,"")</f>
        <v/>
      </c>
      <c r="Y163" s="51" t="n">
        <f aca="false">IF(T163&lt;&gt;"",T163,INDEX('Cài đặt'!$B$20:$C$22,MATCH(I163,'Cài đặt'!$A$20:$A$22,0),IF(K163="AI tự động",1,2)))</f>
        <v>2</v>
      </c>
    </row>
    <row r="164" customFormat="false" ht="15" hidden="false" customHeight="false" outlineLevel="0" collapsed="false">
      <c r="A164" s="41" t="s">
        <v>609</v>
      </c>
      <c r="B164" s="41" t="s">
        <v>443</v>
      </c>
      <c r="C164" s="41" t="s">
        <v>163</v>
      </c>
      <c r="D164" s="42" t="str">
        <f aca="false">INDEX('Page và Ngách'!$B$5:$B$10,MATCH(C164,'Page và Ngách'!$A$5:$A$10,0))</f>
        <v>Secret billionaire / CEO</v>
      </c>
      <c r="E164" s="41" t="n">
        <v>14</v>
      </c>
      <c r="F164" s="43" t="n">
        <f aca="false">'Cài đặt'!$B$37+E164-1</f>
        <v>46348</v>
      </c>
      <c r="G164" s="41" t="s">
        <v>451</v>
      </c>
      <c r="H164" s="44" t="str">
        <f aca="false">IF(G164="S1",'Cài đặt'!$B$7,'Cài đặt'!$B$8)</f>
        <v>20:00</v>
      </c>
      <c r="I164" s="41" t="s">
        <v>113</v>
      </c>
      <c r="J164" s="41" t="s">
        <v>132</v>
      </c>
      <c r="K164" s="41" t="s">
        <v>445</v>
      </c>
      <c r="L164" s="42" t="str">
        <f aca="false">C164&amp;"_"&amp;B164&amp;"_"&amp;IF(I164="Reel","R",IF(I164="Carousel","C","I"))&amp;"_"&amp;J164&amp;"_"&amp;IF(K164="AI tự động","AI","HU")&amp;"_"&amp;RIGHT(A164,3)</f>
        <v>P2_EXP1_C_A_AI_028</v>
      </c>
      <c r="M164" s="45"/>
      <c r="N164" s="45"/>
      <c r="O164" s="46"/>
      <c r="P164" s="46"/>
      <c r="Q164" s="46"/>
      <c r="R164" s="47"/>
      <c r="S164" s="45"/>
      <c r="T164" s="45"/>
      <c r="U164" s="48" t="str">
        <f aca="false">IF(O164&gt;0,P164/O164,"")</f>
        <v/>
      </c>
      <c r="V164" s="49" t="str">
        <f aca="false">IF(P164&gt;0,Q164/P164,"")</f>
        <v/>
      </c>
      <c r="W164" s="50" t="n">
        <f aca="false">IF(R164&lt;&gt;"",R164,Q164*'Cài đặt'!$B$12)</f>
        <v>0</v>
      </c>
      <c r="X164" s="50" t="str">
        <f aca="false">IF(O164&gt;0,W164/O164*1000,"")</f>
        <v/>
      </c>
      <c r="Y164" s="51" t="n">
        <f aca="false">IF(T164&lt;&gt;"",T164,INDEX('Cài đặt'!$B$20:$C$22,MATCH(I164,'Cài đặt'!$A$20:$A$22,0),IF(K164="AI tự động",1,2)))</f>
        <v>4</v>
      </c>
    </row>
    <row r="165" customFormat="false" ht="15" hidden="false" customHeight="false" outlineLevel="0" collapsed="false">
      <c r="A165" s="41" t="s">
        <v>610</v>
      </c>
      <c r="B165" s="41" t="s">
        <v>443</v>
      </c>
      <c r="C165" s="41" t="s">
        <v>171</v>
      </c>
      <c r="D165" s="42" t="str">
        <f aca="false">INDEX('Page và Ngách'!$B$5:$B$10,MATCH(C165,'Page và Ngách'!$A$5:$A$10,0))</f>
        <v>Contract marriage / Fake relationship</v>
      </c>
      <c r="E165" s="41" t="n">
        <v>14</v>
      </c>
      <c r="F165" s="43" t="n">
        <f aca="false">'Cài đặt'!$B$37+E165-1</f>
        <v>46348</v>
      </c>
      <c r="G165" s="41" t="s">
        <v>444</v>
      </c>
      <c r="H165" s="44" t="str">
        <f aca="false">IF(G165="S1",'Cài đặt'!$B$7,'Cài đặt'!$B$8)</f>
        <v>12:00</v>
      </c>
      <c r="I165" s="41" t="s">
        <v>113</v>
      </c>
      <c r="J165" s="41" t="s">
        <v>132</v>
      </c>
      <c r="K165" s="41" t="s">
        <v>445</v>
      </c>
      <c r="L165" s="42" t="str">
        <f aca="false">C165&amp;"_"&amp;B165&amp;"_"&amp;IF(I165="Reel","R",IF(I165="Carousel","C","I"))&amp;"_"&amp;J165&amp;"_"&amp;IF(K165="AI tự động","AI","HU")&amp;"_"&amp;RIGHT(A165,3)</f>
        <v>P3_EXP1_C_A_AI_027</v>
      </c>
      <c r="M165" s="45"/>
      <c r="N165" s="45"/>
      <c r="O165" s="46"/>
      <c r="P165" s="46"/>
      <c r="Q165" s="46"/>
      <c r="R165" s="47"/>
      <c r="S165" s="45"/>
      <c r="T165" s="45"/>
      <c r="U165" s="48" t="str">
        <f aca="false">IF(O165&gt;0,P165/O165,"")</f>
        <v/>
      </c>
      <c r="V165" s="49" t="str">
        <f aca="false">IF(P165&gt;0,Q165/P165,"")</f>
        <v/>
      </c>
      <c r="W165" s="50" t="n">
        <f aca="false">IF(R165&lt;&gt;"",R165,Q165*'Cài đặt'!$B$12)</f>
        <v>0</v>
      </c>
      <c r="X165" s="50" t="str">
        <f aca="false">IF(O165&gt;0,W165/O165*1000,"")</f>
        <v/>
      </c>
      <c r="Y165" s="51" t="n">
        <f aca="false">IF(T165&lt;&gt;"",T165,INDEX('Cài đặt'!$B$20:$C$22,MATCH(I165,'Cài đặt'!$A$20:$A$22,0),IF(K165="AI tự động",1,2)))</f>
        <v>4</v>
      </c>
    </row>
    <row r="166" customFormat="false" ht="15" hidden="false" customHeight="false" outlineLevel="0" collapsed="false">
      <c r="A166" s="41" t="s">
        <v>611</v>
      </c>
      <c r="B166" s="41" t="s">
        <v>443</v>
      </c>
      <c r="C166" s="41" t="s">
        <v>171</v>
      </c>
      <c r="D166" s="42" t="str">
        <f aca="false">INDEX('Page và Ngách'!$B$5:$B$10,MATCH(C166,'Page và Ngách'!$A$5:$A$10,0))</f>
        <v>Contract marriage / Fake relationship</v>
      </c>
      <c r="E166" s="41" t="n">
        <v>14</v>
      </c>
      <c r="F166" s="43" t="n">
        <f aca="false">'Cài đặt'!$B$37+E166-1</f>
        <v>46348</v>
      </c>
      <c r="G166" s="41" t="s">
        <v>451</v>
      </c>
      <c r="H166" s="44" t="str">
        <f aca="false">IF(G166="S1",'Cài đặt'!$B$7,'Cài đặt'!$B$8)</f>
        <v>20:00</v>
      </c>
      <c r="I166" s="41" t="s">
        <v>115</v>
      </c>
      <c r="J166" s="41" t="s">
        <v>132</v>
      </c>
      <c r="K166" s="41" t="s">
        <v>445</v>
      </c>
      <c r="L166" s="42" t="str">
        <f aca="false">C166&amp;"_"&amp;B166&amp;"_"&amp;IF(I166="Reel","R",IF(I166="Carousel","C","I"))&amp;"_"&amp;J166&amp;"_"&amp;IF(K166="AI tự động","AI","HU")&amp;"_"&amp;RIGHT(A166,3)</f>
        <v>P3_EXP1_R_A_AI_028</v>
      </c>
      <c r="M166" s="45"/>
      <c r="N166" s="45"/>
      <c r="O166" s="46"/>
      <c r="P166" s="46"/>
      <c r="Q166" s="46"/>
      <c r="R166" s="47"/>
      <c r="S166" s="45"/>
      <c r="T166" s="45"/>
      <c r="U166" s="48" t="str">
        <f aca="false">IF(O166&gt;0,P166/O166,"")</f>
        <v/>
      </c>
      <c r="V166" s="49" t="str">
        <f aca="false">IF(P166&gt;0,Q166/P166,"")</f>
        <v/>
      </c>
      <c r="W166" s="50" t="n">
        <f aca="false">IF(R166&lt;&gt;"",R166,Q166*'Cài đặt'!$B$12)</f>
        <v>0</v>
      </c>
      <c r="X166" s="50" t="str">
        <f aca="false">IF(O166&gt;0,W166/O166*1000,"")</f>
        <v/>
      </c>
      <c r="Y166" s="51" t="n">
        <f aca="false">IF(T166&lt;&gt;"",T166,INDEX('Cài đặt'!$B$20:$C$22,MATCH(I166,'Cài đặt'!$A$20:$A$22,0),IF(K166="AI tự động",1,2)))</f>
        <v>8</v>
      </c>
    </row>
    <row r="167" customFormat="false" ht="15" hidden="false" customHeight="false" outlineLevel="0" collapsed="false">
      <c r="A167" s="41" t="s">
        <v>612</v>
      </c>
      <c r="B167" s="41" t="s">
        <v>443</v>
      </c>
      <c r="C167" s="41" t="s">
        <v>178</v>
      </c>
      <c r="D167" s="42" t="str">
        <f aca="false">INDEX('Page và Ngách'!$B$5:$B$10,MATCH(C167,'Page và Ngách'!$A$5:$A$10,0))</f>
        <v>Revenge / Betrayal ("you'll regret it")</v>
      </c>
      <c r="E167" s="41" t="n">
        <v>14</v>
      </c>
      <c r="F167" s="43" t="n">
        <f aca="false">'Cài đặt'!$B$37+E167-1</f>
        <v>46348</v>
      </c>
      <c r="G167" s="41" t="s">
        <v>444</v>
      </c>
      <c r="H167" s="44" t="str">
        <f aca="false">IF(G167="S1",'Cài đặt'!$B$7,'Cài đặt'!$B$8)</f>
        <v>12:00</v>
      </c>
      <c r="I167" s="41" t="s">
        <v>115</v>
      </c>
      <c r="J167" s="41" t="s">
        <v>132</v>
      </c>
      <c r="K167" s="41" t="s">
        <v>445</v>
      </c>
      <c r="L167" s="42" t="str">
        <f aca="false">C167&amp;"_"&amp;B167&amp;"_"&amp;IF(I167="Reel","R",IF(I167="Carousel","C","I"))&amp;"_"&amp;J167&amp;"_"&amp;IF(K167="AI tự động","AI","HU")&amp;"_"&amp;RIGHT(A167,3)</f>
        <v>P4_EXP1_R_A_AI_027</v>
      </c>
      <c r="M167" s="45"/>
      <c r="N167" s="45"/>
      <c r="O167" s="46"/>
      <c r="P167" s="46"/>
      <c r="Q167" s="46"/>
      <c r="R167" s="47"/>
      <c r="S167" s="45"/>
      <c r="T167" s="45"/>
      <c r="U167" s="48" t="str">
        <f aca="false">IF(O167&gt;0,P167/O167,"")</f>
        <v/>
      </c>
      <c r="V167" s="49" t="str">
        <f aca="false">IF(P167&gt;0,Q167/P167,"")</f>
        <v/>
      </c>
      <c r="W167" s="50" t="n">
        <f aca="false">IF(R167&lt;&gt;"",R167,Q167*'Cài đặt'!$B$12)</f>
        <v>0</v>
      </c>
      <c r="X167" s="50" t="str">
        <f aca="false">IF(O167&gt;0,W167/O167*1000,"")</f>
        <v/>
      </c>
      <c r="Y167" s="51" t="n">
        <f aca="false">IF(T167&lt;&gt;"",T167,INDEX('Cài đặt'!$B$20:$C$22,MATCH(I167,'Cài đặt'!$A$20:$A$22,0),IF(K167="AI tự động",1,2)))</f>
        <v>8</v>
      </c>
    </row>
    <row r="168" customFormat="false" ht="15" hidden="false" customHeight="false" outlineLevel="0" collapsed="false">
      <c r="A168" s="41" t="s">
        <v>613</v>
      </c>
      <c r="B168" s="41" t="s">
        <v>443</v>
      </c>
      <c r="C168" s="41" t="s">
        <v>178</v>
      </c>
      <c r="D168" s="42" t="str">
        <f aca="false">INDEX('Page và Ngách'!$B$5:$B$10,MATCH(C168,'Page và Ngách'!$A$5:$A$10,0))</f>
        <v>Revenge / Betrayal ("you'll regret it")</v>
      </c>
      <c r="E168" s="41" t="n">
        <v>14</v>
      </c>
      <c r="F168" s="43" t="n">
        <f aca="false">'Cài đặt'!$B$37+E168-1</f>
        <v>46348</v>
      </c>
      <c r="G168" s="41" t="s">
        <v>451</v>
      </c>
      <c r="H168" s="44" t="str">
        <f aca="false">IF(G168="S1",'Cài đặt'!$B$7,'Cài đặt'!$B$8)</f>
        <v>20:00</v>
      </c>
      <c r="I168" s="41" t="s">
        <v>111</v>
      </c>
      <c r="J168" s="41" t="s">
        <v>132</v>
      </c>
      <c r="K168" s="41" t="s">
        <v>445</v>
      </c>
      <c r="L168" s="42" t="str">
        <f aca="false">C168&amp;"_"&amp;B168&amp;"_"&amp;IF(I168="Reel","R",IF(I168="Carousel","C","I"))&amp;"_"&amp;J168&amp;"_"&amp;IF(K168="AI tự động","AI","HU")&amp;"_"&amp;RIGHT(A168,3)</f>
        <v>P4_EXP1_I_A_AI_028</v>
      </c>
      <c r="M168" s="45"/>
      <c r="N168" s="45"/>
      <c r="O168" s="46"/>
      <c r="P168" s="46"/>
      <c r="Q168" s="46"/>
      <c r="R168" s="47"/>
      <c r="S168" s="45"/>
      <c r="T168" s="45"/>
      <c r="U168" s="48" t="str">
        <f aca="false">IF(O168&gt;0,P168/O168,"")</f>
        <v/>
      </c>
      <c r="V168" s="49" t="str">
        <f aca="false">IF(P168&gt;0,Q168/P168,"")</f>
        <v/>
      </c>
      <c r="W168" s="50" t="n">
        <f aca="false">IF(R168&lt;&gt;"",R168,Q168*'Cài đặt'!$B$12)</f>
        <v>0</v>
      </c>
      <c r="X168" s="50" t="str">
        <f aca="false">IF(O168&gt;0,W168/O168*1000,"")</f>
        <v/>
      </c>
      <c r="Y168" s="51" t="n">
        <f aca="false">IF(T168&lt;&gt;"",T168,INDEX('Cài đặt'!$B$20:$C$22,MATCH(I168,'Cài đặt'!$A$20:$A$22,0),IF(K168="AI tự động",1,2)))</f>
        <v>2</v>
      </c>
    </row>
    <row r="169" customFormat="false" ht="15" hidden="false" customHeight="false" outlineLevel="0" collapsed="false">
      <c r="A169" s="41" t="s">
        <v>614</v>
      </c>
      <c r="B169" s="41" t="s">
        <v>443</v>
      </c>
      <c r="C169" s="41" t="s">
        <v>185</v>
      </c>
      <c r="D169" s="42" t="str">
        <f aca="false">INDEX('Page và Ngách'!$B$5:$B$10,MATCH(C169,'Page và Ngách'!$A$5:$A$10,0))</f>
        <v>Mafia / Dark romance (teaser PG-13)</v>
      </c>
      <c r="E169" s="41" t="n">
        <v>14</v>
      </c>
      <c r="F169" s="43" t="n">
        <f aca="false">'Cài đặt'!$B$37+E169-1</f>
        <v>46348</v>
      </c>
      <c r="G169" s="41" t="s">
        <v>444</v>
      </c>
      <c r="H169" s="44" t="str">
        <f aca="false">IF(G169="S1",'Cài đặt'!$B$7,'Cài đặt'!$B$8)</f>
        <v>12:00</v>
      </c>
      <c r="I169" s="41" t="s">
        <v>111</v>
      </c>
      <c r="J169" s="41" t="s">
        <v>132</v>
      </c>
      <c r="K169" s="41" t="s">
        <v>445</v>
      </c>
      <c r="L169" s="42" t="str">
        <f aca="false">C169&amp;"_"&amp;B169&amp;"_"&amp;IF(I169="Reel","R",IF(I169="Carousel","C","I"))&amp;"_"&amp;J169&amp;"_"&amp;IF(K169="AI tự động","AI","HU")&amp;"_"&amp;RIGHT(A169,3)</f>
        <v>P5_EXP1_I_A_AI_027</v>
      </c>
      <c r="M169" s="45"/>
      <c r="N169" s="45"/>
      <c r="O169" s="46"/>
      <c r="P169" s="46"/>
      <c r="Q169" s="46"/>
      <c r="R169" s="47"/>
      <c r="S169" s="45"/>
      <c r="T169" s="45"/>
      <c r="U169" s="48" t="str">
        <f aca="false">IF(O169&gt;0,P169/O169,"")</f>
        <v/>
      </c>
      <c r="V169" s="49" t="str">
        <f aca="false">IF(P169&gt;0,Q169/P169,"")</f>
        <v/>
      </c>
      <c r="W169" s="50" t="n">
        <f aca="false">IF(R169&lt;&gt;"",R169,Q169*'Cài đặt'!$B$12)</f>
        <v>0</v>
      </c>
      <c r="X169" s="50" t="str">
        <f aca="false">IF(O169&gt;0,W169/O169*1000,"")</f>
        <v/>
      </c>
      <c r="Y169" s="51" t="n">
        <f aca="false">IF(T169&lt;&gt;"",T169,INDEX('Cài đặt'!$B$20:$C$22,MATCH(I169,'Cài đặt'!$A$20:$A$22,0),IF(K169="AI tự động",1,2)))</f>
        <v>2</v>
      </c>
    </row>
    <row r="170" customFormat="false" ht="15" hidden="false" customHeight="false" outlineLevel="0" collapsed="false">
      <c r="A170" s="41" t="s">
        <v>615</v>
      </c>
      <c r="B170" s="41" t="s">
        <v>443</v>
      </c>
      <c r="C170" s="41" t="s">
        <v>185</v>
      </c>
      <c r="D170" s="42" t="str">
        <f aca="false">INDEX('Page và Ngách'!$B$5:$B$10,MATCH(C170,'Page và Ngách'!$A$5:$A$10,0))</f>
        <v>Mafia / Dark romance (teaser PG-13)</v>
      </c>
      <c r="E170" s="41" t="n">
        <v>14</v>
      </c>
      <c r="F170" s="43" t="n">
        <f aca="false">'Cài đặt'!$B$37+E170-1</f>
        <v>46348</v>
      </c>
      <c r="G170" s="41" t="s">
        <v>451</v>
      </c>
      <c r="H170" s="44" t="str">
        <f aca="false">IF(G170="S1",'Cài đặt'!$B$7,'Cài đặt'!$B$8)</f>
        <v>20:00</v>
      </c>
      <c r="I170" s="41" t="s">
        <v>113</v>
      </c>
      <c r="J170" s="41" t="s">
        <v>132</v>
      </c>
      <c r="K170" s="41" t="s">
        <v>445</v>
      </c>
      <c r="L170" s="42" t="str">
        <f aca="false">C170&amp;"_"&amp;B170&amp;"_"&amp;IF(I170="Reel","R",IF(I170="Carousel","C","I"))&amp;"_"&amp;J170&amp;"_"&amp;IF(K170="AI tự động","AI","HU")&amp;"_"&amp;RIGHT(A170,3)</f>
        <v>P5_EXP1_C_A_AI_028</v>
      </c>
      <c r="M170" s="45"/>
      <c r="N170" s="45"/>
      <c r="O170" s="46"/>
      <c r="P170" s="46"/>
      <c r="Q170" s="46"/>
      <c r="R170" s="47"/>
      <c r="S170" s="45"/>
      <c r="T170" s="45"/>
      <c r="U170" s="48" t="str">
        <f aca="false">IF(O170&gt;0,P170/O170,"")</f>
        <v/>
      </c>
      <c r="V170" s="49" t="str">
        <f aca="false">IF(P170&gt;0,Q170/P170,"")</f>
        <v/>
      </c>
      <c r="W170" s="50" t="n">
        <f aca="false">IF(R170&lt;&gt;"",R170,Q170*'Cài đặt'!$B$12)</f>
        <v>0</v>
      </c>
      <c r="X170" s="50" t="str">
        <f aca="false">IF(O170&gt;0,W170/O170*1000,"")</f>
        <v/>
      </c>
      <c r="Y170" s="51" t="n">
        <f aca="false">IF(T170&lt;&gt;"",T170,INDEX('Cài đặt'!$B$20:$C$22,MATCH(I170,'Cài đặt'!$A$20:$A$22,0),IF(K170="AI tự động",1,2)))</f>
        <v>4</v>
      </c>
    </row>
    <row r="171" customFormat="false" ht="15" hidden="false" customHeight="false" outlineLevel="0" collapsed="false">
      <c r="A171" s="41" t="s">
        <v>616</v>
      </c>
      <c r="B171" s="41" t="s">
        <v>443</v>
      </c>
      <c r="C171" s="41" t="s">
        <v>193</v>
      </c>
      <c r="D171" s="42" t="str">
        <f aca="false">INDEX('Page và Ngách'!$B$5:$B$10,MATCH(C171,'Page và Ngách'!$A$5:$A$10,0))</f>
        <v>Second chance / Secret baby</v>
      </c>
      <c r="E171" s="41" t="n">
        <v>14</v>
      </c>
      <c r="F171" s="43" t="n">
        <f aca="false">'Cài đặt'!$B$37+E171-1</f>
        <v>46348</v>
      </c>
      <c r="G171" s="41" t="s">
        <v>444</v>
      </c>
      <c r="H171" s="44" t="str">
        <f aca="false">IF(G171="S1",'Cài đặt'!$B$7,'Cài đặt'!$B$8)</f>
        <v>12:00</v>
      </c>
      <c r="I171" s="41" t="s">
        <v>113</v>
      </c>
      <c r="J171" s="41" t="s">
        <v>132</v>
      </c>
      <c r="K171" s="41" t="s">
        <v>445</v>
      </c>
      <c r="L171" s="42" t="str">
        <f aca="false">C171&amp;"_"&amp;B171&amp;"_"&amp;IF(I171="Reel","R",IF(I171="Carousel","C","I"))&amp;"_"&amp;J171&amp;"_"&amp;IF(K171="AI tự động","AI","HU")&amp;"_"&amp;RIGHT(A171,3)</f>
        <v>P6_EXP1_C_A_AI_027</v>
      </c>
      <c r="M171" s="45"/>
      <c r="N171" s="45"/>
      <c r="O171" s="46"/>
      <c r="P171" s="46"/>
      <c r="Q171" s="46"/>
      <c r="R171" s="47"/>
      <c r="S171" s="45"/>
      <c r="T171" s="45"/>
      <c r="U171" s="48" t="str">
        <f aca="false">IF(O171&gt;0,P171/O171,"")</f>
        <v/>
      </c>
      <c r="V171" s="49" t="str">
        <f aca="false">IF(P171&gt;0,Q171/P171,"")</f>
        <v/>
      </c>
      <c r="W171" s="50" t="n">
        <f aca="false">IF(R171&lt;&gt;"",R171,Q171*'Cài đặt'!$B$12)</f>
        <v>0</v>
      </c>
      <c r="X171" s="50" t="str">
        <f aca="false">IF(O171&gt;0,W171/O171*1000,"")</f>
        <v/>
      </c>
      <c r="Y171" s="51" t="n">
        <f aca="false">IF(T171&lt;&gt;"",T171,INDEX('Cài đặt'!$B$20:$C$22,MATCH(I171,'Cài đặt'!$A$20:$A$22,0),IF(K171="AI tự động",1,2)))</f>
        <v>4</v>
      </c>
    </row>
    <row r="172" customFormat="false" ht="15" hidden="false" customHeight="false" outlineLevel="0" collapsed="false">
      <c r="A172" s="41" t="s">
        <v>617</v>
      </c>
      <c r="B172" s="41" t="s">
        <v>443</v>
      </c>
      <c r="C172" s="41" t="s">
        <v>193</v>
      </c>
      <c r="D172" s="42" t="str">
        <f aca="false">INDEX('Page và Ngách'!$B$5:$B$10,MATCH(C172,'Page và Ngách'!$A$5:$A$10,0))</f>
        <v>Second chance / Secret baby</v>
      </c>
      <c r="E172" s="41" t="n">
        <v>14</v>
      </c>
      <c r="F172" s="43" t="n">
        <f aca="false">'Cài đặt'!$B$37+E172-1</f>
        <v>46348</v>
      </c>
      <c r="G172" s="41" t="s">
        <v>451</v>
      </c>
      <c r="H172" s="44" t="str">
        <f aca="false">IF(G172="S1",'Cài đặt'!$B$7,'Cài đặt'!$B$8)</f>
        <v>20:00</v>
      </c>
      <c r="I172" s="41" t="s">
        <v>115</v>
      </c>
      <c r="J172" s="41" t="s">
        <v>132</v>
      </c>
      <c r="K172" s="41" t="s">
        <v>445</v>
      </c>
      <c r="L172" s="42" t="str">
        <f aca="false">C172&amp;"_"&amp;B172&amp;"_"&amp;IF(I172="Reel","R",IF(I172="Carousel","C","I"))&amp;"_"&amp;J172&amp;"_"&amp;IF(K172="AI tự động","AI","HU")&amp;"_"&amp;RIGHT(A172,3)</f>
        <v>P6_EXP1_R_A_AI_028</v>
      </c>
      <c r="M172" s="45"/>
      <c r="N172" s="45"/>
      <c r="O172" s="46"/>
      <c r="P172" s="46"/>
      <c r="Q172" s="46"/>
      <c r="R172" s="47"/>
      <c r="S172" s="45"/>
      <c r="T172" s="45"/>
      <c r="U172" s="48" t="str">
        <f aca="false">IF(O172&gt;0,P172/O172,"")</f>
        <v/>
      </c>
      <c r="V172" s="49" t="str">
        <f aca="false">IF(P172&gt;0,Q172/P172,"")</f>
        <v/>
      </c>
      <c r="W172" s="50" t="n">
        <f aca="false">IF(R172&lt;&gt;"",R172,Q172*'Cài đặt'!$B$12)</f>
        <v>0</v>
      </c>
      <c r="X172" s="50" t="str">
        <f aca="false">IF(O172&gt;0,W172/O172*1000,"")</f>
        <v/>
      </c>
      <c r="Y172" s="51" t="n">
        <f aca="false">IF(T172&lt;&gt;"",T172,INDEX('Cài đặt'!$B$20:$C$22,MATCH(I172,'Cài đặt'!$A$20:$A$22,0),IF(K172="AI tự động",1,2)))</f>
        <v>8</v>
      </c>
    </row>
    <row r="173" customFormat="false" ht="15" hidden="false" customHeight="false" outlineLevel="0" collapsed="false">
      <c r="A173" s="41" t="s">
        <v>618</v>
      </c>
      <c r="B173" s="41" t="s">
        <v>443</v>
      </c>
      <c r="C173" s="41" t="s">
        <v>154</v>
      </c>
      <c r="D173" s="42" t="str">
        <f aca="false">INDEX('Page và Ngách'!$B$5:$B$10,MATCH(C173,'Page và Ngách'!$A$5:$A$10,0))</f>
        <v>Werewolf / Rejected mate</v>
      </c>
      <c r="E173" s="41" t="n">
        <v>15</v>
      </c>
      <c r="F173" s="43" t="n">
        <f aca="false">'Cài đặt'!$B$37+E173-1</f>
        <v>46349</v>
      </c>
      <c r="G173" s="41" t="s">
        <v>444</v>
      </c>
      <c r="H173" s="44" t="str">
        <f aca="false">IF(G173="S1",'Cài đặt'!$B$7,'Cài đặt'!$B$8)</f>
        <v>12:00</v>
      </c>
      <c r="I173" s="41" t="s">
        <v>113</v>
      </c>
      <c r="J173" s="41" t="s">
        <v>132</v>
      </c>
      <c r="K173" s="41" t="s">
        <v>445</v>
      </c>
      <c r="L173" s="42" t="str">
        <f aca="false">C173&amp;"_"&amp;B173&amp;"_"&amp;IF(I173="Reel","R",IF(I173="Carousel","C","I"))&amp;"_"&amp;J173&amp;"_"&amp;IF(K173="AI tự động","AI","HU")&amp;"_"&amp;RIGHT(A173,3)</f>
        <v>P1_EXP1_C_A_AI_029</v>
      </c>
      <c r="M173" s="45"/>
      <c r="N173" s="45"/>
      <c r="O173" s="46"/>
      <c r="P173" s="46"/>
      <c r="Q173" s="46"/>
      <c r="R173" s="47"/>
      <c r="S173" s="45"/>
      <c r="T173" s="45"/>
      <c r="U173" s="48" t="str">
        <f aca="false">IF(O173&gt;0,P173/O173,"")</f>
        <v/>
      </c>
      <c r="V173" s="49" t="str">
        <f aca="false">IF(P173&gt;0,Q173/P173,"")</f>
        <v/>
      </c>
      <c r="W173" s="50" t="n">
        <f aca="false">IF(R173&lt;&gt;"",R173,Q173*'Cài đặt'!$B$12)</f>
        <v>0</v>
      </c>
      <c r="X173" s="50" t="str">
        <f aca="false">IF(O173&gt;0,W173/O173*1000,"")</f>
        <v/>
      </c>
      <c r="Y173" s="51" t="n">
        <f aca="false">IF(T173&lt;&gt;"",T173,INDEX('Cài đặt'!$B$20:$C$22,MATCH(I173,'Cài đặt'!$A$20:$A$22,0),IF(K173="AI tự động",1,2)))</f>
        <v>4</v>
      </c>
    </row>
    <row r="174" customFormat="false" ht="15" hidden="false" customHeight="false" outlineLevel="0" collapsed="false">
      <c r="A174" s="41" t="s">
        <v>619</v>
      </c>
      <c r="B174" s="41" t="s">
        <v>443</v>
      </c>
      <c r="C174" s="41" t="s">
        <v>154</v>
      </c>
      <c r="D174" s="42" t="str">
        <f aca="false">INDEX('Page và Ngách'!$B$5:$B$10,MATCH(C174,'Page và Ngách'!$A$5:$A$10,0))</f>
        <v>Werewolf / Rejected mate</v>
      </c>
      <c r="E174" s="41" t="n">
        <v>15</v>
      </c>
      <c r="F174" s="43" t="n">
        <f aca="false">'Cài đặt'!$B$37+E174-1</f>
        <v>46349</v>
      </c>
      <c r="G174" s="41" t="s">
        <v>451</v>
      </c>
      <c r="H174" s="44" t="str">
        <f aca="false">IF(G174="S1",'Cài đặt'!$B$7,'Cài đặt'!$B$8)</f>
        <v>20:00</v>
      </c>
      <c r="I174" s="41" t="s">
        <v>115</v>
      </c>
      <c r="J174" s="41" t="s">
        <v>132</v>
      </c>
      <c r="K174" s="41" t="s">
        <v>445</v>
      </c>
      <c r="L174" s="42" t="str">
        <f aca="false">C174&amp;"_"&amp;B174&amp;"_"&amp;IF(I174="Reel","R",IF(I174="Carousel","C","I"))&amp;"_"&amp;J174&amp;"_"&amp;IF(K174="AI tự động","AI","HU")&amp;"_"&amp;RIGHT(A174,3)</f>
        <v>P1_EXP1_R_A_AI_030</v>
      </c>
      <c r="M174" s="45"/>
      <c r="N174" s="45"/>
      <c r="O174" s="46"/>
      <c r="P174" s="46"/>
      <c r="Q174" s="46"/>
      <c r="R174" s="47"/>
      <c r="S174" s="45"/>
      <c r="T174" s="45"/>
      <c r="U174" s="48" t="str">
        <f aca="false">IF(O174&gt;0,P174/O174,"")</f>
        <v/>
      </c>
      <c r="V174" s="49" t="str">
        <f aca="false">IF(P174&gt;0,Q174/P174,"")</f>
        <v/>
      </c>
      <c r="W174" s="50" t="n">
        <f aca="false">IF(R174&lt;&gt;"",R174,Q174*'Cài đặt'!$B$12)</f>
        <v>0</v>
      </c>
      <c r="X174" s="50" t="str">
        <f aca="false">IF(O174&gt;0,W174/O174*1000,"")</f>
        <v/>
      </c>
      <c r="Y174" s="51" t="n">
        <f aca="false">IF(T174&lt;&gt;"",T174,INDEX('Cài đặt'!$B$20:$C$22,MATCH(I174,'Cài đặt'!$A$20:$A$22,0),IF(K174="AI tự động",1,2)))</f>
        <v>8</v>
      </c>
    </row>
    <row r="175" customFormat="false" ht="15" hidden="false" customHeight="false" outlineLevel="0" collapsed="false">
      <c r="A175" s="41" t="s">
        <v>620</v>
      </c>
      <c r="B175" s="41" t="s">
        <v>443</v>
      </c>
      <c r="C175" s="41" t="s">
        <v>163</v>
      </c>
      <c r="D175" s="42" t="str">
        <f aca="false">INDEX('Page và Ngách'!$B$5:$B$10,MATCH(C175,'Page và Ngách'!$A$5:$A$10,0))</f>
        <v>Secret billionaire / CEO</v>
      </c>
      <c r="E175" s="41" t="n">
        <v>15</v>
      </c>
      <c r="F175" s="43" t="n">
        <f aca="false">'Cài đặt'!$B$37+E175-1</f>
        <v>46349</v>
      </c>
      <c r="G175" s="41" t="s">
        <v>444</v>
      </c>
      <c r="H175" s="44" t="str">
        <f aca="false">IF(G175="S1",'Cài đặt'!$B$7,'Cài đặt'!$B$8)</f>
        <v>12:00</v>
      </c>
      <c r="I175" s="41" t="s">
        <v>115</v>
      </c>
      <c r="J175" s="41" t="s">
        <v>132</v>
      </c>
      <c r="K175" s="41" t="s">
        <v>445</v>
      </c>
      <c r="L175" s="42" t="str">
        <f aca="false">C175&amp;"_"&amp;B175&amp;"_"&amp;IF(I175="Reel","R",IF(I175="Carousel","C","I"))&amp;"_"&amp;J175&amp;"_"&amp;IF(K175="AI tự động","AI","HU")&amp;"_"&amp;RIGHT(A175,3)</f>
        <v>P2_EXP1_R_A_AI_029</v>
      </c>
      <c r="M175" s="45"/>
      <c r="N175" s="45"/>
      <c r="O175" s="46"/>
      <c r="P175" s="46"/>
      <c r="Q175" s="46"/>
      <c r="R175" s="47"/>
      <c r="S175" s="45"/>
      <c r="T175" s="45"/>
      <c r="U175" s="48" t="str">
        <f aca="false">IF(O175&gt;0,P175/O175,"")</f>
        <v/>
      </c>
      <c r="V175" s="49" t="str">
        <f aca="false">IF(P175&gt;0,Q175/P175,"")</f>
        <v/>
      </c>
      <c r="W175" s="50" t="n">
        <f aca="false">IF(R175&lt;&gt;"",R175,Q175*'Cài đặt'!$B$12)</f>
        <v>0</v>
      </c>
      <c r="X175" s="50" t="str">
        <f aca="false">IF(O175&gt;0,W175/O175*1000,"")</f>
        <v/>
      </c>
      <c r="Y175" s="51" t="n">
        <f aca="false">IF(T175&lt;&gt;"",T175,INDEX('Cài đặt'!$B$20:$C$22,MATCH(I175,'Cài đặt'!$A$20:$A$22,0),IF(K175="AI tự động",1,2)))</f>
        <v>8</v>
      </c>
    </row>
    <row r="176" customFormat="false" ht="15" hidden="false" customHeight="false" outlineLevel="0" collapsed="false">
      <c r="A176" s="41" t="s">
        <v>621</v>
      </c>
      <c r="B176" s="41" t="s">
        <v>443</v>
      </c>
      <c r="C176" s="41" t="s">
        <v>163</v>
      </c>
      <c r="D176" s="42" t="str">
        <f aca="false">INDEX('Page và Ngách'!$B$5:$B$10,MATCH(C176,'Page và Ngách'!$A$5:$A$10,0))</f>
        <v>Secret billionaire / CEO</v>
      </c>
      <c r="E176" s="41" t="n">
        <v>15</v>
      </c>
      <c r="F176" s="43" t="n">
        <f aca="false">'Cài đặt'!$B$37+E176-1</f>
        <v>46349</v>
      </c>
      <c r="G176" s="41" t="s">
        <v>451</v>
      </c>
      <c r="H176" s="44" t="str">
        <f aca="false">IF(G176="S1",'Cài đặt'!$B$7,'Cài đặt'!$B$8)</f>
        <v>20:00</v>
      </c>
      <c r="I176" s="41" t="s">
        <v>111</v>
      </c>
      <c r="J176" s="41" t="s">
        <v>132</v>
      </c>
      <c r="K176" s="41" t="s">
        <v>445</v>
      </c>
      <c r="L176" s="42" t="str">
        <f aca="false">C176&amp;"_"&amp;B176&amp;"_"&amp;IF(I176="Reel","R",IF(I176="Carousel","C","I"))&amp;"_"&amp;J176&amp;"_"&amp;IF(K176="AI tự động","AI","HU")&amp;"_"&amp;RIGHT(A176,3)</f>
        <v>P2_EXP1_I_A_AI_030</v>
      </c>
      <c r="M176" s="45"/>
      <c r="N176" s="45"/>
      <c r="O176" s="46"/>
      <c r="P176" s="46"/>
      <c r="Q176" s="46"/>
      <c r="R176" s="47"/>
      <c r="S176" s="45"/>
      <c r="T176" s="45"/>
      <c r="U176" s="48" t="str">
        <f aca="false">IF(O176&gt;0,P176/O176,"")</f>
        <v/>
      </c>
      <c r="V176" s="49" t="str">
        <f aca="false">IF(P176&gt;0,Q176/P176,"")</f>
        <v/>
      </c>
      <c r="W176" s="50" t="n">
        <f aca="false">IF(R176&lt;&gt;"",R176,Q176*'Cài đặt'!$B$12)</f>
        <v>0</v>
      </c>
      <c r="X176" s="50" t="str">
        <f aca="false">IF(O176&gt;0,W176/O176*1000,"")</f>
        <v/>
      </c>
      <c r="Y176" s="51" t="n">
        <f aca="false">IF(T176&lt;&gt;"",T176,INDEX('Cài đặt'!$B$20:$C$22,MATCH(I176,'Cài đặt'!$A$20:$A$22,0),IF(K176="AI tự động",1,2)))</f>
        <v>2</v>
      </c>
    </row>
    <row r="177" customFormat="false" ht="15" hidden="false" customHeight="false" outlineLevel="0" collapsed="false">
      <c r="A177" s="41" t="s">
        <v>622</v>
      </c>
      <c r="B177" s="41" t="s">
        <v>443</v>
      </c>
      <c r="C177" s="41" t="s">
        <v>171</v>
      </c>
      <c r="D177" s="42" t="str">
        <f aca="false">INDEX('Page và Ngách'!$B$5:$B$10,MATCH(C177,'Page và Ngách'!$A$5:$A$10,0))</f>
        <v>Contract marriage / Fake relationship</v>
      </c>
      <c r="E177" s="41" t="n">
        <v>15</v>
      </c>
      <c r="F177" s="43" t="n">
        <f aca="false">'Cài đặt'!$B$37+E177-1</f>
        <v>46349</v>
      </c>
      <c r="G177" s="41" t="s">
        <v>444</v>
      </c>
      <c r="H177" s="44" t="str">
        <f aca="false">IF(G177="S1",'Cài đặt'!$B$7,'Cài đặt'!$B$8)</f>
        <v>12:00</v>
      </c>
      <c r="I177" s="41" t="s">
        <v>111</v>
      </c>
      <c r="J177" s="41" t="s">
        <v>132</v>
      </c>
      <c r="K177" s="41" t="s">
        <v>445</v>
      </c>
      <c r="L177" s="42" t="str">
        <f aca="false">C177&amp;"_"&amp;B177&amp;"_"&amp;IF(I177="Reel","R",IF(I177="Carousel","C","I"))&amp;"_"&amp;J177&amp;"_"&amp;IF(K177="AI tự động","AI","HU")&amp;"_"&amp;RIGHT(A177,3)</f>
        <v>P3_EXP1_I_A_AI_029</v>
      </c>
      <c r="M177" s="45"/>
      <c r="N177" s="45"/>
      <c r="O177" s="46"/>
      <c r="P177" s="46"/>
      <c r="Q177" s="46"/>
      <c r="R177" s="47"/>
      <c r="S177" s="45"/>
      <c r="T177" s="45"/>
      <c r="U177" s="48" t="str">
        <f aca="false">IF(O177&gt;0,P177/O177,"")</f>
        <v/>
      </c>
      <c r="V177" s="49" t="str">
        <f aca="false">IF(P177&gt;0,Q177/P177,"")</f>
        <v/>
      </c>
      <c r="W177" s="50" t="n">
        <f aca="false">IF(R177&lt;&gt;"",R177,Q177*'Cài đặt'!$B$12)</f>
        <v>0</v>
      </c>
      <c r="X177" s="50" t="str">
        <f aca="false">IF(O177&gt;0,W177/O177*1000,"")</f>
        <v/>
      </c>
      <c r="Y177" s="51" t="n">
        <f aca="false">IF(T177&lt;&gt;"",T177,INDEX('Cài đặt'!$B$20:$C$22,MATCH(I177,'Cài đặt'!$A$20:$A$22,0),IF(K177="AI tự động",1,2)))</f>
        <v>2</v>
      </c>
    </row>
    <row r="178" customFormat="false" ht="15" hidden="false" customHeight="false" outlineLevel="0" collapsed="false">
      <c r="A178" s="41" t="s">
        <v>623</v>
      </c>
      <c r="B178" s="41" t="s">
        <v>443</v>
      </c>
      <c r="C178" s="41" t="s">
        <v>171</v>
      </c>
      <c r="D178" s="42" t="str">
        <f aca="false">INDEX('Page và Ngách'!$B$5:$B$10,MATCH(C178,'Page và Ngách'!$A$5:$A$10,0))</f>
        <v>Contract marriage / Fake relationship</v>
      </c>
      <c r="E178" s="41" t="n">
        <v>15</v>
      </c>
      <c r="F178" s="43" t="n">
        <f aca="false">'Cài đặt'!$B$37+E178-1</f>
        <v>46349</v>
      </c>
      <c r="G178" s="41" t="s">
        <v>451</v>
      </c>
      <c r="H178" s="44" t="str">
        <f aca="false">IF(G178="S1",'Cài đặt'!$B$7,'Cài đặt'!$B$8)</f>
        <v>20:00</v>
      </c>
      <c r="I178" s="41" t="s">
        <v>113</v>
      </c>
      <c r="J178" s="41" t="s">
        <v>132</v>
      </c>
      <c r="K178" s="41" t="s">
        <v>445</v>
      </c>
      <c r="L178" s="42" t="str">
        <f aca="false">C178&amp;"_"&amp;B178&amp;"_"&amp;IF(I178="Reel","R",IF(I178="Carousel","C","I"))&amp;"_"&amp;J178&amp;"_"&amp;IF(K178="AI tự động","AI","HU")&amp;"_"&amp;RIGHT(A178,3)</f>
        <v>P3_EXP1_C_A_AI_030</v>
      </c>
      <c r="M178" s="45"/>
      <c r="N178" s="45"/>
      <c r="O178" s="46"/>
      <c r="P178" s="46"/>
      <c r="Q178" s="46"/>
      <c r="R178" s="47"/>
      <c r="S178" s="45"/>
      <c r="T178" s="45"/>
      <c r="U178" s="48" t="str">
        <f aca="false">IF(O178&gt;0,P178/O178,"")</f>
        <v/>
      </c>
      <c r="V178" s="49" t="str">
        <f aca="false">IF(P178&gt;0,Q178/P178,"")</f>
        <v/>
      </c>
      <c r="W178" s="50" t="n">
        <f aca="false">IF(R178&lt;&gt;"",R178,Q178*'Cài đặt'!$B$12)</f>
        <v>0</v>
      </c>
      <c r="X178" s="50" t="str">
        <f aca="false">IF(O178&gt;0,W178/O178*1000,"")</f>
        <v/>
      </c>
      <c r="Y178" s="51" t="n">
        <f aca="false">IF(T178&lt;&gt;"",T178,INDEX('Cài đặt'!$B$20:$C$22,MATCH(I178,'Cài đặt'!$A$20:$A$22,0),IF(K178="AI tự động",1,2)))</f>
        <v>4</v>
      </c>
    </row>
    <row r="179" customFormat="false" ht="15" hidden="false" customHeight="false" outlineLevel="0" collapsed="false">
      <c r="A179" s="41" t="s">
        <v>624</v>
      </c>
      <c r="B179" s="41" t="s">
        <v>443</v>
      </c>
      <c r="C179" s="41" t="s">
        <v>178</v>
      </c>
      <c r="D179" s="42" t="str">
        <f aca="false">INDEX('Page và Ngách'!$B$5:$B$10,MATCH(C179,'Page và Ngách'!$A$5:$A$10,0))</f>
        <v>Revenge / Betrayal ("you'll regret it")</v>
      </c>
      <c r="E179" s="41" t="n">
        <v>15</v>
      </c>
      <c r="F179" s="43" t="n">
        <f aca="false">'Cài đặt'!$B$37+E179-1</f>
        <v>46349</v>
      </c>
      <c r="G179" s="41" t="s">
        <v>444</v>
      </c>
      <c r="H179" s="44" t="str">
        <f aca="false">IF(G179="S1",'Cài đặt'!$B$7,'Cài đặt'!$B$8)</f>
        <v>12:00</v>
      </c>
      <c r="I179" s="41" t="s">
        <v>113</v>
      </c>
      <c r="J179" s="41" t="s">
        <v>132</v>
      </c>
      <c r="K179" s="41" t="s">
        <v>445</v>
      </c>
      <c r="L179" s="42" t="str">
        <f aca="false">C179&amp;"_"&amp;B179&amp;"_"&amp;IF(I179="Reel","R",IF(I179="Carousel","C","I"))&amp;"_"&amp;J179&amp;"_"&amp;IF(K179="AI tự động","AI","HU")&amp;"_"&amp;RIGHT(A179,3)</f>
        <v>P4_EXP1_C_A_AI_029</v>
      </c>
      <c r="M179" s="45"/>
      <c r="N179" s="45"/>
      <c r="O179" s="46"/>
      <c r="P179" s="46"/>
      <c r="Q179" s="46"/>
      <c r="R179" s="47"/>
      <c r="S179" s="45"/>
      <c r="T179" s="45"/>
      <c r="U179" s="48" t="str">
        <f aca="false">IF(O179&gt;0,P179/O179,"")</f>
        <v/>
      </c>
      <c r="V179" s="49" t="str">
        <f aca="false">IF(P179&gt;0,Q179/P179,"")</f>
        <v/>
      </c>
      <c r="W179" s="50" t="n">
        <f aca="false">IF(R179&lt;&gt;"",R179,Q179*'Cài đặt'!$B$12)</f>
        <v>0</v>
      </c>
      <c r="X179" s="50" t="str">
        <f aca="false">IF(O179&gt;0,W179/O179*1000,"")</f>
        <v/>
      </c>
      <c r="Y179" s="51" t="n">
        <f aca="false">IF(T179&lt;&gt;"",T179,INDEX('Cài đặt'!$B$20:$C$22,MATCH(I179,'Cài đặt'!$A$20:$A$22,0),IF(K179="AI tự động",1,2)))</f>
        <v>4</v>
      </c>
    </row>
    <row r="180" customFormat="false" ht="15" hidden="false" customHeight="false" outlineLevel="0" collapsed="false">
      <c r="A180" s="41" t="s">
        <v>625</v>
      </c>
      <c r="B180" s="41" t="s">
        <v>443</v>
      </c>
      <c r="C180" s="41" t="s">
        <v>178</v>
      </c>
      <c r="D180" s="42" t="str">
        <f aca="false">INDEX('Page và Ngách'!$B$5:$B$10,MATCH(C180,'Page và Ngách'!$A$5:$A$10,0))</f>
        <v>Revenge / Betrayal ("you'll regret it")</v>
      </c>
      <c r="E180" s="41" t="n">
        <v>15</v>
      </c>
      <c r="F180" s="43" t="n">
        <f aca="false">'Cài đặt'!$B$37+E180-1</f>
        <v>46349</v>
      </c>
      <c r="G180" s="41" t="s">
        <v>451</v>
      </c>
      <c r="H180" s="44" t="str">
        <f aca="false">IF(G180="S1",'Cài đặt'!$B$7,'Cài đặt'!$B$8)</f>
        <v>20:00</v>
      </c>
      <c r="I180" s="41" t="s">
        <v>115</v>
      </c>
      <c r="J180" s="41" t="s">
        <v>132</v>
      </c>
      <c r="K180" s="41" t="s">
        <v>445</v>
      </c>
      <c r="L180" s="42" t="str">
        <f aca="false">C180&amp;"_"&amp;B180&amp;"_"&amp;IF(I180="Reel","R",IF(I180="Carousel","C","I"))&amp;"_"&amp;J180&amp;"_"&amp;IF(K180="AI tự động","AI","HU")&amp;"_"&amp;RIGHT(A180,3)</f>
        <v>P4_EXP1_R_A_AI_030</v>
      </c>
      <c r="M180" s="45"/>
      <c r="N180" s="45"/>
      <c r="O180" s="46"/>
      <c r="P180" s="46"/>
      <c r="Q180" s="46"/>
      <c r="R180" s="47"/>
      <c r="S180" s="45"/>
      <c r="T180" s="45"/>
      <c r="U180" s="48" t="str">
        <f aca="false">IF(O180&gt;0,P180/O180,"")</f>
        <v/>
      </c>
      <c r="V180" s="49" t="str">
        <f aca="false">IF(P180&gt;0,Q180/P180,"")</f>
        <v/>
      </c>
      <c r="W180" s="50" t="n">
        <f aca="false">IF(R180&lt;&gt;"",R180,Q180*'Cài đặt'!$B$12)</f>
        <v>0</v>
      </c>
      <c r="X180" s="50" t="str">
        <f aca="false">IF(O180&gt;0,W180/O180*1000,"")</f>
        <v/>
      </c>
      <c r="Y180" s="51" t="n">
        <f aca="false">IF(T180&lt;&gt;"",T180,INDEX('Cài đặt'!$B$20:$C$22,MATCH(I180,'Cài đặt'!$A$20:$A$22,0),IF(K180="AI tự động",1,2)))</f>
        <v>8</v>
      </c>
    </row>
    <row r="181" customFormat="false" ht="15" hidden="false" customHeight="false" outlineLevel="0" collapsed="false">
      <c r="A181" s="41" t="s">
        <v>626</v>
      </c>
      <c r="B181" s="41" t="s">
        <v>443</v>
      </c>
      <c r="C181" s="41" t="s">
        <v>185</v>
      </c>
      <c r="D181" s="42" t="str">
        <f aca="false">INDEX('Page và Ngách'!$B$5:$B$10,MATCH(C181,'Page và Ngách'!$A$5:$A$10,0))</f>
        <v>Mafia / Dark romance (teaser PG-13)</v>
      </c>
      <c r="E181" s="41" t="n">
        <v>15</v>
      </c>
      <c r="F181" s="43" t="n">
        <f aca="false">'Cài đặt'!$B$37+E181-1</f>
        <v>46349</v>
      </c>
      <c r="G181" s="41" t="s">
        <v>444</v>
      </c>
      <c r="H181" s="44" t="str">
        <f aca="false">IF(G181="S1",'Cài đặt'!$B$7,'Cài đặt'!$B$8)</f>
        <v>12:00</v>
      </c>
      <c r="I181" s="41" t="s">
        <v>115</v>
      </c>
      <c r="J181" s="41" t="s">
        <v>132</v>
      </c>
      <c r="K181" s="41" t="s">
        <v>445</v>
      </c>
      <c r="L181" s="42" t="str">
        <f aca="false">C181&amp;"_"&amp;B181&amp;"_"&amp;IF(I181="Reel","R",IF(I181="Carousel","C","I"))&amp;"_"&amp;J181&amp;"_"&amp;IF(K181="AI tự động","AI","HU")&amp;"_"&amp;RIGHT(A181,3)</f>
        <v>P5_EXP1_R_A_AI_029</v>
      </c>
      <c r="M181" s="45"/>
      <c r="N181" s="45"/>
      <c r="O181" s="46"/>
      <c r="P181" s="46"/>
      <c r="Q181" s="46"/>
      <c r="R181" s="47"/>
      <c r="S181" s="45"/>
      <c r="T181" s="45"/>
      <c r="U181" s="48" t="str">
        <f aca="false">IF(O181&gt;0,P181/O181,"")</f>
        <v/>
      </c>
      <c r="V181" s="49" t="str">
        <f aca="false">IF(P181&gt;0,Q181/P181,"")</f>
        <v/>
      </c>
      <c r="W181" s="50" t="n">
        <f aca="false">IF(R181&lt;&gt;"",R181,Q181*'Cài đặt'!$B$12)</f>
        <v>0</v>
      </c>
      <c r="X181" s="50" t="str">
        <f aca="false">IF(O181&gt;0,W181/O181*1000,"")</f>
        <v/>
      </c>
      <c r="Y181" s="51" t="n">
        <f aca="false">IF(T181&lt;&gt;"",T181,INDEX('Cài đặt'!$B$20:$C$22,MATCH(I181,'Cài đặt'!$A$20:$A$22,0),IF(K181="AI tự động",1,2)))</f>
        <v>8</v>
      </c>
    </row>
    <row r="182" customFormat="false" ht="15" hidden="false" customHeight="false" outlineLevel="0" collapsed="false">
      <c r="A182" s="41" t="s">
        <v>627</v>
      </c>
      <c r="B182" s="41" t="s">
        <v>443</v>
      </c>
      <c r="C182" s="41" t="s">
        <v>185</v>
      </c>
      <c r="D182" s="42" t="str">
        <f aca="false">INDEX('Page và Ngách'!$B$5:$B$10,MATCH(C182,'Page và Ngách'!$A$5:$A$10,0))</f>
        <v>Mafia / Dark romance (teaser PG-13)</v>
      </c>
      <c r="E182" s="41" t="n">
        <v>15</v>
      </c>
      <c r="F182" s="43" t="n">
        <f aca="false">'Cài đặt'!$B$37+E182-1</f>
        <v>46349</v>
      </c>
      <c r="G182" s="41" t="s">
        <v>451</v>
      </c>
      <c r="H182" s="44" t="str">
        <f aca="false">IF(G182="S1",'Cài đặt'!$B$7,'Cài đặt'!$B$8)</f>
        <v>20:00</v>
      </c>
      <c r="I182" s="41" t="s">
        <v>111</v>
      </c>
      <c r="J182" s="41" t="s">
        <v>132</v>
      </c>
      <c r="K182" s="41" t="s">
        <v>445</v>
      </c>
      <c r="L182" s="42" t="str">
        <f aca="false">C182&amp;"_"&amp;B182&amp;"_"&amp;IF(I182="Reel","R",IF(I182="Carousel","C","I"))&amp;"_"&amp;J182&amp;"_"&amp;IF(K182="AI tự động","AI","HU")&amp;"_"&amp;RIGHT(A182,3)</f>
        <v>P5_EXP1_I_A_AI_030</v>
      </c>
      <c r="M182" s="45"/>
      <c r="N182" s="45"/>
      <c r="O182" s="46"/>
      <c r="P182" s="46"/>
      <c r="Q182" s="46"/>
      <c r="R182" s="47"/>
      <c r="S182" s="45"/>
      <c r="T182" s="45"/>
      <c r="U182" s="48" t="str">
        <f aca="false">IF(O182&gt;0,P182/O182,"")</f>
        <v/>
      </c>
      <c r="V182" s="49" t="str">
        <f aca="false">IF(P182&gt;0,Q182/P182,"")</f>
        <v/>
      </c>
      <c r="W182" s="50" t="n">
        <f aca="false">IF(R182&lt;&gt;"",R182,Q182*'Cài đặt'!$B$12)</f>
        <v>0</v>
      </c>
      <c r="X182" s="50" t="str">
        <f aca="false">IF(O182&gt;0,W182/O182*1000,"")</f>
        <v/>
      </c>
      <c r="Y182" s="51" t="n">
        <f aca="false">IF(T182&lt;&gt;"",T182,INDEX('Cài đặt'!$B$20:$C$22,MATCH(I182,'Cài đặt'!$A$20:$A$22,0),IF(K182="AI tự động",1,2)))</f>
        <v>2</v>
      </c>
    </row>
    <row r="183" customFormat="false" ht="15" hidden="false" customHeight="false" outlineLevel="0" collapsed="false">
      <c r="A183" s="41" t="s">
        <v>628</v>
      </c>
      <c r="B183" s="41" t="s">
        <v>443</v>
      </c>
      <c r="C183" s="41" t="s">
        <v>193</v>
      </c>
      <c r="D183" s="42" t="str">
        <f aca="false">INDEX('Page và Ngách'!$B$5:$B$10,MATCH(C183,'Page và Ngách'!$A$5:$A$10,0))</f>
        <v>Second chance / Secret baby</v>
      </c>
      <c r="E183" s="41" t="n">
        <v>15</v>
      </c>
      <c r="F183" s="43" t="n">
        <f aca="false">'Cài đặt'!$B$37+E183-1</f>
        <v>46349</v>
      </c>
      <c r="G183" s="41" t="s">
        <v>444</v>
      </c>
      <c r="H183" s="44" t="str">
        <f aca="false">IF(G183="S1",'Cài đặt'!$B$7,'Cài đặt'!$B$8)</f>
        <v>12:00</v>
      </c>
      <c r="I183" s="41" t="s">
        <v>111</v>
      </c>
      <c r="J183" s="41" t="s">
        <v>132</v>
      </c>
      <c r="K183" s="41" t="s">
        <v>445</v>
      </c>
      <c r="L183" s="42" t="str">
        <f aca="false">C183&amp;"_"&amp;B183&amp;"_"&amp;IF(I183="Reel","R",IF(I183="Carousel","C","I"))&amp;"_"&amp;J183&amp;"_"&amp;IF(K183="AI tự động","AI","HU")&amp;"_"&amp;RIGHT(A183,3)</f>
        <v>P6_EXP1_I_A_AI_029</v>
      </c>
      <c r="M183" s="45"/>
      <c r="N183" s="45"/>
      <c r="O183" s="46"/>
      <c r="P183" s="46"/>
      <c r="Q183" s="46"/>
      <c r="R183" s="47"/>
      <c r="S183" s="45"/>
      <c r="T183" s="45"/>
      <c r="U183" s="48" t="str">
        <f aca="false">IF(O183&gt;0,P183/O183,"")</f>
        <v/>
      </c>
      <c r="V183" s="49" t="str">
        <f aca="false">IF(P183&gt;0,Q183/P183,"")</f>
        <v/>
      </c>
      <c r="W183" s="50" t="n">
        <f aca="false">IF(R183&lt;&gt;"",R183,Q183*'Cài đặt'!$B$12)</f>
        <v>0</v>
      </c>
      <c r="X183" s="50" t="str">
        <f aca="false">IF(O183&gt;0,W183/O183*1000,"")</f>
        <v/>
      </c>
      <c r="Y183" s="51" t="n">
        <f aca="false">IF(T183&lt;&gt;"",T183,INDEX('Cài đặt'!$B$20:$C$22,MATCH(I183,'Cài đặt'!$A$20:$A$22,0),IF(K183="AI tự động",1,2)))</f>
        <v>2</v>
      </c>
    </row>
    <row r="184" customFormat="false" ht="15" hidden="false" customHeight="false" outlineLevel="0" collapsed="false">
      <c r="A184" s="41" t="s">
        <v>629</v>
      </c>
      <c r="B184" s="41" t="s">
        <v>443</v>
      </c>
      <c r="C184" s="41" t="s">
        <v>193</v>
      </c>
      <c r="D184" s="42" t="str">
        <f aca="false">INDEX('Page và Ngách'!$B$5:$B$10,MATCH(C184,'Page và Ngách'!$A$5:$A$10,0))</f>
        <v>Second chance / Secret baby</v>
      </c>
      <c r="E184" s="41" t="n">
        <v>15</v>
      </c>
      <c r="F184" s="43" t="n">
        <f aca="false">'Cài đặt'!$B$37+E184-1</f>
        <v>46349</v>
      </c>
      <c r="G184" s="41" t="s">
        <v>451</v>
      </c>
      <c r="H184" s="44" t="str">
        <f aca="false">IF(G184="S1",'Cài đặt'!$B$7,'Cài đặt'!$B$8)</f>
        <v>20:00</v>
      </c>
      <c r="I184" s="41" t="s">
        <v>113</v>
      </c>
      <c r="J184" s="41" t="s">
        <v>132</v>
      </c>
      <c r="K184" s="41" t="s">
        <v>445</v>
      </c>
      <c r="L184" s="42" t="str">
        <f aca="false">C184&amp;"_"&amp;B184&amp;"_"&amp;IF(I184="Reel","R",IF(I184="Carousel","C","I"))&amp;"_"&amp;J184&amp;"_"&amp;IF(K184="AI tự động","AI","HU")&amp;"_"&amp;RIGHT(A184,3)</f>
        <v>P6_EXP1_C_A_AI_030</v>
      </c>
      <c r="M184" s="45"/>
      <c r="N184" s="45"/>
      <c r="O184" s="46"/>
      <c r="P184" s="46"/>
      <c r="Q184" s="46"/>
      <c r="R184" s="47"/>
      <c r="S184" s="45"/>
      <c r="T184" s="45"/>
      <c r="U184" s="48" t="str">
        <f aca="false">IF(O184&gt;0,P184/O184,"")</f>
        <v/>
      </c>
      <c r="V184" s="49" t="str">
        <f aca="false">IF(P184&gt;0,Q184/P184,"")</f>
        <v/>
      </c>
      <c r="W184" s="50" t="n">
        <f aca="false">IF(R184&lt;&gt;"",R184,Q184*'Cài đặt'!$B$12)</f>
        <v>0</v>
      </c>
      <c r="X184" s="50" t="str">
        <f aca="false">IF(O184&gt;0,W184/O184*1000,"")</f>
        <v/>
      </c>
      <c r="Y184" s="51" t="n">
        <f aca="false">IF(T184&lt;&gt;"",T184,INDEX('Cài đặt'!$B$20:$C$22,MATCH(I184,'Cài đặt'!$A$20:$A$22,0),IF(K184="AI tự động",1,2)))</f>
        <v>4</v>
      </c>
    </row>
    <row r="185" customFormat="false" ht="15" hidden="false" customHeight="false" outlineLevel="0" collapsed="false">
      <c r="A185" s="41" t="s">
        <v>630</v>
      </c>
      <c r="B185" s="41" t="s">
        <v>443</v>
      </c>
      <c r="C185" s="41" t="s">
        <v>154</v>
      </c>
      <c r="D185" s="42" t="str">
        <f aca="false">INDEX('Page và Ngách'!$B$5:$B$10,MATCH(C185,'Page và Ngách'!$A$5:$A$10,0))</f>
        <v>Werewolf / Rejected mate</v>
      </c>
      <c r="E185" s="41" t="n">
        <v>16</v>
      </c>
      <c r="F185" s="43" t="n">
        <f aca="false">'Cài đặt'!$B$37+E185-1</f>
        <v>46350</v>
      </c>
      <c r="G185" s="41" t="s">
        <v>444</v>
      </c>
      <c r="H185" s="44" t="str">
        <f aca="false">IF(G185="S1",'Cài đặt'!$B$7,'Cài đặt'!$B$8)</f>
        <v>12:00</v>
      </c>
      <c r="I185" s="41" t="s">
        <v>111</v>
      </c>
      <c r="J185" s="41" t="s">
        <v>132</v>
      </c>
      <c r="K185" s="41" t="s">
        <v>445</v>
      </c>
      <c r="L185" s="42" t="str">
        <f aca="false">C185&amp;"_"&amp;B185&amp;"_"&amp;IF(I185="Reel","R",IF(I185="Carousel","C","I"))&amp;"_"&amp;J185&amp;"_"&amp;IF(K185="AI tự động","AI","HU")&amp;"_"&amp;RIGHT(A185,3)</f>
        <v>P1_EXP1_I_A_AI_031</v>
      </c>
      <c r="M185" s="45"/>
      <c r="N185" s="45"/>
      <c r="O185" s="46"/>
      <c r="P185" s="46"/>
      <c r="Q185" s="46"/>
      <c r="R185" s="47"/>
      <c r="S185" s="45"/>
      <c r="T185" s="45"/>
      <c r="U185" s="48" t="str">
        <f aca="false">IF(O185&gt;0,P185/O185,"")</f>
        <v/>
      </c>
      <c r="V185" s="49" t="str">
        <f aca="false">IF(P185&gt;0,Q185/P185,"")</f>
        <v/>
      </c>
      <c r="W185" s="50" t="n">
        <f aca="false">IF(R185&lt;&gt;"",R185,Q185*'Cài đặt'!$B$12)</f>
        <v>0</v>
      </c>
      <c r="X185" s="50" t="str">
        <f aca="false">IF(O185&gt;0,W185/O185*1000,"")</f>
        <v/>
      </c>
      <c r="Y185" s="51" t="n">
        <f aca="false">IF(T185&lt;&gt;"",T185,INDEX('Cài đặt'!$B$20:$C$22,MATCH(I185,'Cài đặt'!$A$20:$A$22,0),IF(K185="AI tự động",1,2)))</f>
        <v>2</v>
      </c>
    </row>
    <row r="186" customFormat="false" ht="15" hidden="false" customHeight="false" outlineLevel="0" collapsed="false">
      <c r="A186" s="41" t="s">
        <v>631</v>
      </c>
      <c r="B186" s="41" t="s">
        <v>443</v>
      </c>
      <c r="C186" s="41" t="s">
        <v>154</v>
      </c>
      <c r="D186" s="42" t="str">
        <f aca="false">INDEX('Page và Ngách'!$B$5:$B$10,MATCH(C186,'Page và Ngách'!$A$5:$A$10,0))</f>
        <v>Werewolf / Rejected mate</v>
      </c>
      <c r="E186" s="41" t="n">
        <v>16</v>
      </c>
      <c r="F186" s="43" t="n">
        <f aca="false">'Cài đặt'!$B$37+E186-1</f>
        <v>46350</v>
      </c>
      <c r="G186" s="41" t="s">
        <v>451</v>
      </c>
      <c r="H186" s="44" t="str">
        <f aca="false">IF(G186="S1",'Cài đặt'!$B$7,'Cài đặt'!$B$8)</f>
        <v>20:00</v>
      </c>
      <c r="I186" s="41" t="s">
        <v>113</v>
      </c>
      <c r="J186" s="41" t="s">
        <v>132</v>
      </c>
      <c r="K186" s="41" t="s">
        <v>445</v>
      </c>
      <c r="L186" s="42" t="str">
        <f aca="false">C186&amp;"_"&amp;B186&amp;"_"&amp;IF(I186="Reel","R",IF(I186="Carousel","C","I"))&amp;"_"&amp;J186&amp;"_"&amp;IF(K186="AI tự động","AI","HU")&amp;"_"&amp;RIGHT(A186,3)</f>
        <v>P1_EXP1_C_A_AI_032</v>
      </c>
      <c r="M186" s="45"/>
      <c r="N186" s="45"/>
      <c r="O186" s="46"/>
      <c r="P186" s="46"/>
      <c r="Q186" s="46"/>
      <c r="R186" s="47"/>
      <c r="S186" s="45"/>
      <c r="T186" s="45"/>
      <c r="U186" s="48" t="str">
        <f aca="false">IF(O186&gt;0,P186/O186,"")</f>
        <v/>
      </c>
      <c r="V186" s="49" t="str">
        <f aca="false">IF(P186&gt;0,Q186/P186,"")</f>
        <v/>
      </c>
      <c r="W186" s="50" t="n">
        <f aca="false">IF(R186&lt;&gt;"",R186,Q186*'Cài đặt'!$B$12)</f>
        <v>0</v>
      </c>
      <c r="X186" s="50" t="str">
        <f aca="false">IF(O186&gt;0,W186/O186*1000,"")</f>
        <v/>
      </c>
      <c r="Y186" s="51" t="n">
        <f aca="false">IF(T186&lt;&gt;"",T186,INDEX('Cài đặt'!$B$20:$C$22,MATCH(I186,'Cài đặt'!$A$20:$A$22,0),IF(K186="AI tự động",1,2)))</f>
        <v>4</v>
      </c>
    </row>
    <row r="187" customFormat="false" ht="15" hidden="false" customHeight="false" outlineLevel="0" collapsed="false">
      <c r="A187" s="41" t="s">
        <v>632</v>
      </c>
      <c r="B187" s="41" t="s">
        <v>443</v>
      </c>
      <c r="C187" s="41" t="s">
        <v>163</v>
      </c>
      <c r="D187" s="42" t="str">
        <f aca="false">INDEX('Page và Ngách'!$B$5:$B$10,MATCH(C187,'Page và Ngách'!$A$5:$A$10,0))</f>
        <v>Secret billionaire / CEO</v>
      </c>
      <c r="E187" s="41" t="n">
        <v>16</v>
      </c>
      <c r="F187" s="43" t="n">
        <f aca="false">'Cài đặt'!$B$37+E187-1</f>
        <v>46350</v>
      </c>
      <c r="G187" s="41" t="s">
        <v>444</v>
      </c>
      <c r="H187" s="44" t="str">
        <f aca="false">IF(G187="S1",'Cài đặt'!$B$7,'Cài đặt'!$B$8)</f>
        <v>12:00</v>
      </c>
      <c r="I187" s="41" t="s">
        <v>113</v>
      </c>
      <c r="J187" s="41" t="s">
        <v>132</v>
      </c>
      <c r="K187" s="41" t="s">
        <v>445</v>
      </c>
      <c r="L187" s="42" t="str">
        <f aca="false">C187&amp;"_"&amp;B187&amp;"_"&amp;IF(I187="Reel","R",IF(I187="Carousel","C","I"))&amp;"_"&amp;J187&amp;"_"&amp;IF(K187="AI tự động","AI","HU")&amp;"_"&amp;RIGHT(A187,3)</f>
        <v>P2_EXP1_C_A_AI_031</v>
      </c>
      <c r="M187" s="45"/>
      <c r="N187" s="45"/>
      <c r="O187" s="46"/>
      <c r="P187" s="46"/>
      <c r="Q187" s="46"/>
      <c r="R187" s="47"/>
      <c r="S187" s="45"/>
      <c r="T187" s="45"/>
      <c r="U187" s="48" t="str">
        <f aca="false">IF(O187&gt;0,P187/O187,"")</f>
        <v/>
      </c>
      <c r="V187" s="49" t="str">
        <f aca="false">IF(P187&gt;0,Q187/P187,"")</f>
        <v/>
      </c>
      <c r="W187" s="50" t="n">
        <f aca="false">IF(R187&lt;&gt;"",R187,Q187*'Cài đặt'!$B$12)</f>
        <v>0</v>
      </c>
      <c r="X187" s="50" t="str">
        <f aca="false">IF(O187&gt;0,W187/O187*1000,"")</f>
        <v/>
      </c>
      <c r="Y187" s="51" t="n">
        <f aca="false">IF(T187&lt;&gt;"",T187,INDEX('Cài đặt'!$B$20:$C$22,MATCH(I187,'Cài đặt'!$A$20:$A$22,0),IF(K187="AI tự động",1,2)))</f>
        <v>4</v>
      </c>
    </row>
    <row r="188" customFormat="false" ht="15" hidden="false" customHeight="false" outlineLevel="0" collapsed="false">
      <c r="A188" s="41" t="s">
        <v>633</v>
      </c>
      <c r="B188" s="41" t="s">
        <v>443</v>
      </c>
      <c r="C188" s="41" t="s">
        <v>163</v>
      </c>
      <c r="D188" s="42" t="str">
        <f aca="false">INDEX('Page và Ngách'!$B$5:$B$10,MATCH(C188,'Page và Ngách'!$A$5:$A$10,0))</f>
        <v>Secret billionaire / CEO</v>
      </c>
      <c r="E188" s="41" t="n">
        <v>16</v>
      </c>
      <c r="F188" s="43" t="n">
        <f aca="false">'Cài đặt'!$B$37+E188-1</f>
        <v>46350</v>
      </c>
      <c r="G188" s="41" t="s">
        <v>451</v>
      </c>
      <c r="H188" s="44" t="str">
        <f aca="false">IF(G188="S1",'Cài đặt'!$B$7,'Cài đặt'!$B$8)</f>
        <v>20:00</v>
      </c>
      <c r="I188" s="41" t="s">
        <v>115</v>
      </c>
      <c r="J188" s="41" t="s">
        <v>132</v>
      </c>
      <c r="K188" s="41" t="s">
        <v>445</v>
      </c>
      <c r="L188" s="42" t="str">
        <f aca="false">C188&amp;"_"&amp;B188&amp;"_"&amp;IF(I188="Reel","R",IF(I188="Carousel","C","I"))&amp;"_"&amp;J188&amp;"_"&amp;IF(K188="AI tự động","AI","HU")&amp;"_"&amp;RIGHT(A188,3)</f>
        <v>P2_EXP1_R_A_AI_032</v>
      </c>
      <c r="M188" s="45"/>
      <c r="N188" s="45"/>
      <c r="O188" s="46"/>
      <c r="P188" s="46"/>
      <c r="Q188" s="46"/>
      <c r="R188" s="47"/>
      <c r="S188" s="45"/>
      <c r="T188" s="45"/>
      <c r="U188" s="48" t="str">
        <f aca="false">IF(O188&gt;0,P188/O188,"")</f>
        <v/>
      </c>
      <c r="V188" s="49" t="str">
        <f aca="false">IF(P188&gt;0,Q188/P188,"")</f>
        <v/>
      </c>
      <c r="W188" s="50" t="n">
        <f aca="false">IF(R188&lt;&gt;"",R188,Q188*'Cài đặt'!$B$12)</f>
        <v>0</v>
      </c>
      <c r="X188" s="50" t="str">
        <f aca="false">IF(O188&gt;0,W188/O188*1000,"")</f>
        <v/>
      </c>
      <c r="Y188" s="51" t="n">
        <f aca="false">IF(T188&lt;&gt;"",T188,INDEX('Cài đặt'!$B$20:$C$22,MATCH(I188,'Cài đặt'!$A$20:$A$22,0),IF(K188="AI tự động",1,2)))</f>
        <v>8</v>
      </c>
    </row>
    <row r="189" customFormat="false" ht="15" hidden="false" customHeight="false" outlineLevel="0" collapsed="false">
      <c r="A189" s="41" t="s">
        <v>634</v>
      </c>
      <c r="B189" s="41" t="s">
        <v>443</v>
      </c>
      <c r="C189" s="41" t="s">
        <v>171</v>
      </c>
      <c r="D189" s="42" t="str">
        <f aca="false">INDEX('Page và Ngách'!$B$5:$B$10,MATCH(C189,'Page và Ngách'!$A$5:$A$10,0))</f>
        <v>Contract marriage / Fake relationship</v>
      </c>
      <c r="E189" s="41" t="n">
        <v>16</v>
      </c>
      <c r="F189" s="43" t="n">
        <f aca="false">'Cài đặt'!$B$37+E189-1</f>
        <v>46350</v>
      </c>
      <c r="G189" s="41" t="s">
        <v>444</v>
      </c>
      <c r="H189" s="44" t="str">
        <f aca="false">IF(G189="S1",'Cài đặt'!$B$7,'Cài đặt'!$B$8)</f>
        <v>12:00</v>
      </c>
      <c r="I189" s="41" t="s">
        <v>115</v>
      </c>
      <c r="J189" s="41" t="s">
        <v>132</v>
      </c>
      <c r="K189" s="41" t="s">
        <v>445</v>
      </c>
      <c r="L189" s="42" t="str">
        <f aca="false">C189&amp;"_"&amp;B189&amp;"_"&amp;IF(I189="Reel","R",IF(I189="Carousel","C","I"))&amp;"_"&amp;J189&amp;"_"&amp;IF(K189="AI tự động","AI","HU")&amp;"_"&amp;RIGHT(A189,3)</f>
        <v>P3_EXP1_R_A_AI_031</v>
      </c>
      <c r="M189" s="45"/>
      <c r="N189" s="45"/>
      <c r="O189" s="46"/>
      <c r="P189" s="46"/>
      <c r="Q189" s="46"/>
      <c r="R189" s="47"/>
      <c r="S189" s="45"/>
      <c r="T189" s="45"/>
      <c r="U189" s="48" t="str">
        <f aca="false">IF(O189&gt;0,P189/O189,"")</f>
        <v/>
      </c>
      <c r="V189" s="49" t="str">
        <f aca="false">IF(P189&gt;0,Q189/P189,"")</f>
        <v/>
      </c>
      <c r="W189" s="50" t="n">
        <f aca="false">IF(R189&lt;&gt;"",R189,Q189*'Cài đặt'!$B$12)</f>
        <v>0</v>
      </c>
      <c r="X189" s="50" t="str">
        <f aca="false">IF(O189&gt;0,W189/O189*1000,"")</f>
        <v/>
      </c>
      <c r="Y189" s="51" t="n">
        <f aca="false">IF(T189&lt;&gt;"",T189,INDEX('Cài đặt'!$B$20:$C$22,MATCH(I189,'Cài đặt'!$A$20:$A$22,0),IF(K189="AI tự động",1,2)))</f>
        <v>8</v>
      </c>
    </row>
    <row r="190" customFormat="false" ht="15" hidden="false" customHeight="false" outlineLevel="0" collapsed="false">
      <c r="A190" s="41" t="s">
        <v>635</v>
      </c>
      <c r="B190" s="41" t="s">
        <v>443</v>
      </c>
      <c r="C190" s="41" t="s">
        <v>171</v>
      </c>
      <c r="D190" s="42" t="str">
        <f aca="false">INDEX('Page và Ngách'!$B$5:$B$10,MATCH(C190,'Page và Ngách'!$A$5:$A$10,0))</f>
        <v>Contract marriage / Fake relationship</v>
      </c>
      <c r="E190" s="41" t="n">
        <v>16</v>
      </c>
      <c r="F190" s="43" t="n">
        <f aca="false">'Cài đặt'!$B$37+E190-1</f>
        <v>46350</v>
      </c>
      <c r="G190" s="41" t="s">
        <v>451</v>
      </c>
      <c r="H190" s="44" t="str">
        <f aca="false">IF(G190="S1",'Cài đặt'!$B$7,'Cài đặt'!$B$8)</f>
        <v>20:00</v>
      </c>
      <c r="I190" s="41" t="s">
        <v>111</v>
      </c>
      <c r="J190" s="41" t="s">
        <v>132</v>
      </c>
      <c r="K190" s="41" t="s">
        <v>445</v>
      </c>
      <c r="L190" s="42" t="str">
        <f aca="false">C190&amp;"_"&amp;B190&amp;"_"&amp;IF(I190="Reel","R",IF(I190="Carousel","C","I"))&amp;"_"&amp;J190&amp;"_"&amp;IF(K190="AI tự động","AI","HU")&amp;"_"&amp;RIGHT(A190,3)</f>
        <v>P3_EXP1_I_A_AI_032</v>
      </c>
      <c r="M190" s="45"/>
      <c r="N190" s="45"/>
      <c r="O190" s="46"/>
      <c r="P190" s="46"/>
      <c r="Q190" s="46"/>
      <c r="R190" s="47"/>
      <c r="S190" s="45"/>
      <c r="T190" s="45"/>
      <c r="U190" s="48" t="str">
        <f aca="false">IF(O190&gt;0,P190/O190,"")</f>
        <v/>
      </c>
      <c r="V190" s="49" t="str">
        <f aca="false">IF(P190&gt;0,Q190/P190,"")</f>
        <v/>
      </c>
      <c r="W190" s="50" t="n">
        <f aca="false">IF(R190&lt;&gt;"",R190,Q190*'Cài đặt'!$B$12)</f>
        <v>0</v>
      </c>
      <c r="X190" s="50" t="str">
        <f aca="false">IF(O190&gt;0,W190/O190*1000,"")</f>
        <v/>
      </c>
      <c r="Y190" s="51" t="n">
        <f aca="false">IF(T190&lt;&gt;"",T190,INDEX('Cài đặt'!$B$20:$C$22,MATCH(I190,'Cài đặt'!$A$20:$A$22,0),IF(K190="AI tự động",1,2)))</f>
        <v>2</v>
      </c>
    </row>
    <row r="191" customFormat="false" ht="15" hidden="false" customHeight="false" outlineLevel="0" collapsed="false">
      <c r="A191" s="41" t="s">
        <v>636</v>
      </c>
      <c r="B191" s="41" t="s">
        <v>443</v>
      </c>
      <c r="C191" s="41" t="s">
        <v>178</v>
      </c>
      <c r="D191" s="42" t="str">
        <f aca="false">INDEX('Page và Ngách'!$B$5:$B$10,MATCH(C191,'Page và Ngách'!$A$5:$A$10,0))</f>
        <v>Revenge / Betrayal ("you'll regret it")</v>
      </c>
      <c r="E191" s="41" t="n">
        <v>16</v>
      </c>
      <c r="F191" s="43" t="n">
        <f aca="false">'Cài đặt'!$B$37+E191-1</f>
        <v>46350</v>
      </c>
      <c r="G191" s="41" t="s">
        <v>444</v>
      </c>
      <c r="H191" s="44" t="str">
        <f aca="false">IF(G191="S1",'Cài đặt'!$B$7,'Cài đặt'!$B$8)</f>
        <v>12:00</v>
      </c>
      <c r="I191" s="41" t="s">
        <v>111</v>
      </c>
      <c r="J191" s="41" t="s">
        <v>132</v>
      </c>
      <c r="K191" s="41" t="s">
        <v>445</v>
      </c>
      <c r="L191" s="42" t="str">
        <f aca="false">C191&amp;"_"&amp;B191&amp;"_"&amp;IF(I191="Reel","R",IF(I191="Carousel","C","I"))&amp;"_"&amp;J191&amp;"_"&amp;IF(K191="AI tự động","AI","HU")&amp;"_"&amp;RIGHT(A191,3)</f>
        <v>P4_EXP1_I_A_AI_031</v>
      </c>
      <c r="M191" s="45"/>
      <c r="N191" s="45"/>
      <c r="O191" s="46"/>
      <c r="P191" s="46"/>
      <c r="Q191" s="46"/>
      <c r="R191" s="47"/>
      <c r="S191" s="45"/>
      <c r="T191" s="45"/>
      <c r="U191" s="48" t="str">
        <f aca="false">IF(O191&gt;0,P191/O191,"")</f>
        <v/>
      </c>
      <c r="V191" s="49" t="str">
        <f aca="false">IF(P191&gt;0,Q191/P191,"")</f>
        <v/>
      </c>
      <c r="W191" s="50" t="n">
        <f aca="false">IF(R191&lt;&gt;"",R191,Q191*'Cài đặt'!$B$12)</f>
        <v>0</v>
      </c>
      <c r="X191" s="50" t="str">
        <f aca="false">IF(O191&gt;0,W191/O191*1000,"")</f>
        <v/>
      </c>
      <c r="Y191" s="51" t="n">
        <f aca="false">IF(T191&lt;&gt;"",T191,INDEX('Cài đặt'!$B$20:$C$22,MATCH(I191,'Cài đặt'!$A$20:$A$22,0),IF(K191="AI tự động",1,2)))</f>
        <v>2</v>
      </c>
    </row>
    <row r="192" customFormat="false" ht="15" hidden="false" customHeight="false" outlineLevel="0" collapsed="false">
      <c r="A192" s="41" t="s">
        <v>637</v>
      </c>
      <c r="B192" s="41" t="s">
        <v>443</v>
      </c>
      <c r="C192" s="41" t="s">
        <v>178</v>
      </c>
      <c r="D192" s="42" t="str">
        <f aca="false">INDEX('Page và Ngách'!$B$5:$B$10,MATCH(C192,'Page và Ngách'!$A$5:$A$10,0))</f>
        <v>Revenge / Betrayal ("you'll regret it")</v>
      </c>
      <c r="E192" s="41" t="n">
        <v>16</v>
      </c>
      <c r="F192" s="43" t="n">
        <f aca="false">'Cài đặt'!$B$37+E192-1</f>
        <v>46350</v>
      </c>
      <c r="G192" s="41" t="s">
        <v>451</v>
      </c>
      <c r="H192" s="44" t="str">
        <f aca="false">IF(G192="S1",'Cài đặt'!$B$7,'Cài đặt'!$B$8)</f>
        <v>20:00</v>
      </c>
      <c r="I192" s="41" t="s">
        <v>113</v>
      </c>
      <c r="J192" s="41" t="s">
        <v>132</v>
      </c>
      <c r="K192" s="41" t="s">
        <v>445</v>
      </c>
      <c r="L192" s="42" t="str">
        <f aca="false">C192&amp;"_"&amp;B192&amp;"_"&amp;IF(I192="Reel","R",IF(I192="Carousel","C","I"))&amp;"_"&amp;J192&amp;"_"&amp;IF(K192="AI tự động","AI","HU")&amp;"_"&amp;RIGHT(A192,3)</f>
        <v>P4_EXP1_C_A_AI_032</v>
      </c>
      <c r="M192" s="45"/>
      <c r="N192" s="45"/>
      <c r="O192" s="46"/>
      <c r="P192" s="46"/>
      <c r="Q192" s="46"/>
      <c r="R192" s="47"/>
      <c r="S192" s="45"/>
      <c r="T192" s="45"/>
      <c r="U192" s="48" t="str">
        <f aca="false">IF(O192&gt;0,P192/O192,"")</f>
        <v/>
      </c>
      <c r="V192" s="49" t="str">
        <f aca="false">IF(P192&gt;0,Q192/P192,"")</f>
        <v/>
      </c>
      <c r="W192" s="50" t="n">
        <f aca="false">IF(R192&lt;&gt;"",R192,Q192*'Cài đặt'!$B$12)</f>
        <v>0</v>
      </c>
      <c r="X192" s="50" t="str">
        <f aca="false">IF(O192&gt;0,W192/O192*1000,"")</f>
        <v/>
      </c>
      <c r="Y192" s="51" t="n">
        <f aca="false">IF(T192&lt;&gt;"",T192,INDEX('Cài đặt'!$B$20:$C$22,MATCH(I192,'Cài đặt'!$A$20:$A$22,0),IF(K192="AI tự động",1,2)))</f>
        <v>4</v>
      </c>
    </row>
    <row r="193" customFormat="false" ht="15" hidden="false" customHeight="false" outlineLevel="0" collapsed="false">
      <c r="A193" s="41" t="s">
        <v>638</v>
      </c>
      <c r="B193" s="41" t="s">
        <v>443</v>
      </c>
      <c r="C193" s="41" t="s">
        <v>185</v>
      </c>
      <c r="D193" s="42" t="str">
        <f aca="false">INDEX('Page và Ngách'!$B$5:$B$10,MATCH(C193,'Page và Ngách'!$A$5:$A$10,0))</f>
        <v>Mafia / Dark romance (teaser PG-13)</v>
      </c>
      <c r="E193" s="41" t="n">
        <v>16</v>
      </c>
      <c r="F193" s="43" t="n">
        <f aca="false">'Cài đặt'!$B$37+E193-1</f>
        <v>46350</v>
      </c>
      <c r="G193" s="41" t="s">
        <v>444</v>
      </c>
      <c r="H193" s="44" t="str">
        <f aca="false">IF(G193="S1",'Cài đặt'!$B$7,'Cài đặt'!$B$8)</f>
        <v>12:00</v>
      </c>
      <c r="I193" s="41" t="s">
        <v>113</v>
      </c>
      <c r="J193" s="41" t="s">
        <v>132</v>
      </c>
      <c r="K193" s="41" t="s">
        <v>445</v>
      </c>
      <c r="L193" s="42" t="str">
        <f aca="false">C193&amp;"_"&amp;B193&amp;"_"&amp;IF(I193="Reel","R",IF(I193="Carousel","C","I"))&amp;"_"&amp;J193&amp;"_"&amp;IF(K193="AI tự động","AI","HU")&amp;"_"&amp;RIGHT(A193,3)</f>
        <v>P5_EXP1_C_A_AI_031</v>
      </c>
      <c r="M193" s="45"/>
      <c r="N193" s="45"/>
      <c r="O193" s="46"/>
      <c r="P193" s="46"/>
      <c r="Q193" s="46"/>
      <c r="R193" s="47"/>
      <c r="S193" s="45"/>
      <c r="T193" s="45"/>
      <c r="U193" s="48" t="str">
        <f aca="false">IF(O193&gt;0,P193/O193,"")</f>
        <v/>
      </c>
      <c r="V193" s="49" t="str">
        <f aca="false">IF(P193&gt;0,Q193/P193,"")</f>
        <v/>
      </c>
      <c r="W193" s="50" t="n">
        <f aca="false">IF(R193&lt;&gt;"",R193,Q193*'Cài đặt'!$B$12)</f>
        <v>0</v>
      </c>
      <c r="X193" s="50" t="str">
        <f aca="false">IF(O193&gt;0,W193/O193*1000,"")</f>
        <v/>
      </c>
      <c r="Y193" s="51" t="n">
        <f aca="false">IF(T193&lt;&gt;"",T193,INDEX('Cài đặt'!$B$20:$C$22,MATCH(I193,'Cài đặt'!$A$20:$A$22,0),IF(K193="AI tự động",1,2)))</f>
        <v>4</v>
      </c>
    </row>
    <row r="194" customFormat="false" ht="15" hidden="false" customHeight="false" outlineLevel="0" collapsed="false">
      <c r="A194" s="41" t="s">
        <v>639</v>
      </c>
      <c r="B194" s="41" t="s">
        <v>443</v>
      </c>
      <c r="C194" s="41" t="s">
        <v>185</v>
      </c>
      <c r="D194" s="42" t="str">
        <f aca="false">INDEX('Page và Ngách'!$B$5:$B$10,MATCH(C194,'Page và Ngách'!$A$5:$A$10,0))</f>
        <v>Mafia / Dark romance (teaser PG-13)</v>
      </c>
      <c r="E194" s="41" t="n">
        <v>16</v>
      </c>
      <c r="F194" s="43" t="n">
        <f aca="false">'Cài đặt'!$B$37+E194-1</f>
        <v>46350</v>
      </c>
      <c r="G194" s="41" t="s">
        <v>451</v>
      </c>
      <c r="H194" s="44" t="str">
        <f aca="false">IF(G194="S1",'Cài đặt'!$B$7,'Cài đặt'!$B$8)</f>
        <v>20:00</v>
      </c>
      <c r="I194" s="41" t="s">
        <v>115</v>
      </c>
      <c r="J194" s="41" t="s">
        <v>132</v>
      </c>
      <c r="K194" s="41" t="s">
        <v>445</v>
      </c>
      <c r="L194" s="42" t="str">
        <f aca="false">C194&amp;"_"&amp;B194&amp;"_"&amp;IF(I194="Reel","R",IF(I194="Carousel","C","I"))&amp;"_"&amp;J194&amp;"_"&amp;IF(K194="AI tự động","AI","HU")&amp;"_"&amp;RIGHT(A194,3)</f>
        <v>P5_EXP1_R_A_AI_032</v>
      </c>
      <c r="M194" s="45"/>
      <c r="N194" s="45"/>
      <c r="O194" s="46"/>
      <c r="P194" s="46"/>
      <c r="Q194" s="46"/>
      <c r="R194" s="47"/>
      <c r="S194" s="45"/>
      <c r="T194" s="45"/>
      <c r="U194" s="48" t="str">
        <f aca="false">IF(O194&gt;0,P194/O194,"")</f>
        <v/>
      </c>
      <c r="V194" s="49" t="str">
        <f aca="false">IF(P194&gt;0,Q194/P194,"")</f>
        <v/>
      </c>
      <c r="W194" s="50" t="n">
        <f aca="false">IF(R194&lt;&gt;"",R194,Q194*'Cài đặt'!$B$12)</f>
        <v>0</v>
      </c>
      <c r="X194" s="50" t="str">
        <f aca="false">IF(O194&gt;0,W194/O194*1000,"")</f>
        <v/>
      </c>
      <c r="Y194" s="51" t="n">
        <f aca="false">IF(T194&lt;&gt;"",T194,INDEX('Cài đặt'!$B$20:$C$22,MATCH(I194,'Cài đặt'!$A$20:$A$22,0),IF(K194="AI tự động",1,2)))</f>
        <v>8</v>
      </c>
    </row>
    <row r="195" customFormat="false" ht="15" hidden="false" customHeight="false" outlineLevel="0" collapsed="false">
      <c r="A195" s="41" t="s">
        <v>640</v>
      </c>
      <c r="B195" s="41" t="s">
        <v>443</v>
      </c>
      <c r="C195" s="41" t="s">
        <v>193</v>
      </c>
      <c r="D195" s="42" t="str">
        <f aca="false">INDEX('Page và Ngách'!$B$5:$B$10,MATCH(C195,'Page và Ngách'!$A$5:$A$10,0))</f>
        <v>Second chance / Secret baby</v>
      </c>
      <c r="E195" s="41" t="n">
        <v>16</v>
      </c>
      <c r="F195" s="43" t="n">
        <f aca="false">'Cài đặt'!$B$37+E195-1</f>
        <v>46350</v>
      </c>
      <c r="G195" s="41" t="s">
        <v>444</v>
      </c>
      <c r="H195" s="44" t="str">
        <f aca="false">IF(G195="S1",'Cài đặt'!$B$7,'Cài đặt'!$B$8)</f>
        <v>12:00</v>
      </c>
      <c r="I195" s="41" t="s">
        <v>115</v>
      </c>
      <c r="J195" s="41" t="s">
        <v>132</v>
      </c>
      <c r="K195" s="41" t="s">
        <v>445</v>
      </c>
      <c r="L195" s="42" t="str">
        <f aca="false">C195&amp;"_"&amp;B195&amp;"_"&amp;IF(I195="Reel","R",IF(I195="Carousel","C","I"))&amp;"_"&amp;J195&amp;"_"&amp;IF(K195="AI tự động","AI","HU")&amp;"_"&amp;RIGHT(A195,3)</f>
        <v>P6_EXP1_R_A_AI_031</v>
      </c>
      <c r="M195" s="45"/>
      <c r="N195" s="45"/>
      <c r="O195" s="46"/>
      <c r="P195" s="46"/>
      <c r="Q195" s="46"/>
      <c r="R195" s="47"/>
      <c r="S195" s="45"/>
      <c r="T195" s="45"/>
      <c r="U195" s="48" t="str">
        <f aca="false">IF(O195&gt;0,P195/O195,"")</f>
        <v/>
      </c>
      <c r="V195" s="49" t="str">
        <f aca="false">IF(P195&gt;0,Q195/P195,"")</f>
        <v/>
      </c>
      <c r="W195" s="50" t="n">
        <f aca="false">IF(R195&lt;&gt;"",R195,Q195*'Cài đặt'!$B$12)</f>
        <v>0</v>
      </c>
      <c r="X195" s="50" t="str">
        <f aca="false">IF(O195&gt;0,W195/O195*1000,"")</f>
        <v/>
      </c>
      <c r="Y195" s="51" t="n">
        <f aca="false">IF(T195&lt;&gt;"",T195,INDEX('Cài đặt'!$B$20:$C$22,MATCH(I195,'Cài đặt'!$A$20:$A$22,0),IF(K195="AI tự động",1,2)))</f>
        <v>8</v>
      </c>
    </row>
    <row r="196" customFormat="false" ht="15" hidden="false" customHeight="false" outlineLevel="0" collapsed="false">
      <c r="A196" s="41" t="s">
        <v>641</v>
      </c>
      <c r="B196" s="41" t="s">
        <v>443</v>
      </c>
      <c r="C196" s="41" t="s">
        <v>193</v>
      </c>
      <c r="D196" s="42" t="str">
        <f aca="false">INDEX('Page và Ngách'!$B$5:$B$10,MATCH(C196,'Page và Ngách'!$A$5:$A$10,0))</f>
        <v>Second chance / Secret baby</v>
      </c>
      <c r="E196" s="41" t="n">
        <v>16</v>
      </c>
      <c r="F196" s="43" t="n">
        <f aca="false">'Cài đặt'!$B$37+E196-1</f>
        <v>46350</v>
      </c>
      <c r="G196" s="41" t="s">
        <v>451</v>
      </c>
      <c r="H196" s="44" t="str">
        <f aca="false">IF(G196="S1",'Cài đặt'!$B$7,'Cài đặt'!$B$8)</f>
        <v>20:00</v>
      </c>
      <c r="I196" s="41" t="s">
        <v>111</v>
      </c>
      <c r="J196" s="41" t="s">
        <v>132</v>
      </c>
      <c r="K196" s="41" t="s">
        <v>445</v>
      </c>
      <c r="L196" s="42" t="str">
        <f aca="false">C196&amp;"_"&amp;B196&amp;"_"&amp;IF(I196="Reel","R",IF(I196="Carousel","C","I"))&amp;"_"&amp;J196&amp;"_"&amp;IF(K196="AI tự động","AI","HU")&amp;"_"&amp;RIGHT(A196,3)</f>
        <v>P6_EXP1_I_A_AI_032</v>
      </c>
      <c r="M196" s="45"/>
      <c r="N196" s="45"/>
      <c r="O196" s="46"/>
      <c r="P196" s="46"/>
      <c r="Q196" s="46"/>
      <c r="R196" s="47"/>
      <c r="S196" s="45"/>
      <c r="T196" s="45"/>
      <c r="U196" s="48" t="str">
        <f aca="false">IF(O196&gt;0,P196/O196,"")</f>
        <v/>
      </c>
      <c r="V196" s="49" t="str">
        <f aca="false">IF(P196&gt;0,Q196/P196,"")</f>
        <v/>
      </c>
      <c r="W196" s="50" t="n">
        <f aca="false">IF(R196&lt;&gt;"",R196,Q196*'Cài đặt'!$B$12)</f>
        <v>0</v>
      </c>
      <c r="X196" s="50" t="str">
        <f aca="false">IF(O196&gt;0,W196/O196*1000,"")</f>
        <v/>
      </c>
      <c r="Y196" s="51" t="n">
        <f aca="false">IF(T196&lt;&gt;"",T196,INDEX('Cài đặt'!$B$20:$C$22,MATCH(I196,'Cài đặt'!$A$20:$A$22,0),IF(K196="AI tự động",1,2)))</f>
        <v>2</v>
      </c>
    </row>
    <row r="197" customFormat="false" ht="15" hidden="false" customHeight="false" outlineLevel="0" collapsed="false">
      <c r="A197" s="41" t="s">
        <v>642</v>
      </c>
      <c r="B197" s="41" t="s">
        <v>443</v>
      </c>
      <c r="C197" s="41" t="s">
        <v>154</v>
      </c>
      <c r="D197" s="42" t="str">
        <f aca="false">INDEX('Page và Ngách'!$B$5:$B$10,MATCH(C197,'Page và Ngách'!$A$5:$A$10,0))</f>
        <v>Werewolf / Rejected mate</v>
      </c>
      <c r="E197" s="41" t="n">
        <v>17</v>
      </c>
      <c r="F197" s="43" t="n">
        <f aca="false">'Cài đặt'!$B$37+E197-1</f>
        <v>46351</v>
      </c>
      <c r="G197" s="41" t="s">
        <v>444</v>
      </c>
      <c r="H197" s="44" t="str">
        <f aca="false">IF(G197="S1",'Cài đặt'!$B$7,'Cài đặt'!$B$8)</f>
        <v>12:00</v>
      </c>
      <c r="I197" s="41" t="s">
        <v>115</v>
      </c>
      <c r="J197" s="41" t="s">
        <v>132</v>
      </c>
      <c r="K197" s="41" t="s">
        <v>445</v>
      </c>
      <c r="L197" s="42" t="str">
        <f aca="false">C197&amp;"_"&amp;B197&amp;"_"&amp;IF(I197="Reel","R",IF(I197="Carousel","C","I"))&amp;"_"&amp;J197&amp;"_"&amp;IF(K197="AI tự động","AI","HU")&amp;"_"&amp;RIGHT(A197,3)</f>
        <v>P1_EXP1_R_A_AI_033</v>
      </c>
      <c r="M197" s="45"/>
      <c r="N197" s="45"/>
      <c r="O197" s="46"/>
      <c r="P197" s="46"/>
      <c r="Q197" s="46"/>
      <c r="R197" s="47"/>
      <c r="S197" s="45"/>
      <c r="T197" s="45"/>
      <c r="U197" s="48" t="str">
        <f aca="false">IF(O197&gt;0,P197/O197,"")</f>
        <v/>
      </c>
      <c r="V197" s="49" t="str">
        <f aca="false">IF(P197&gt;0,Q197/P197,"")</f>
        <v/>
      </c>
      <c r="W197" s="50" t="n">
        <f aca="false">IF(R197&lt;&gt;"",R197,Q197*'Cài đặt'!$B$12)</f>
        <v>0</v>
      </c>
      <c r="X197" s="50" t="str">
        <f aca="false">IF(O197&gt;0,W197/O197*1000,"")</f>
        <v/>
      </c>
      <c r="Y197" s="51" t="n">
        <f aca="false">IF(T197&lt;&gt;"",T197,INDEX('Cài đặt'!$B$20:$C$22,MATCH(I197,'Cài đặt'!$A$20:$A$22,0),IF(K197="AI tự động",1,2)))</f>
        <v>8</v>
      </c>
    </row>
    <row r="198" customFormat="false" ht="15" hidden="false" customHeight="false" outlineLevel="0" collapsed="false">
      <c r="A198" s="41" t="s">
        <v>643</v>
      </c>
      <c r="B198" s="41" t="s">
        <v>443</v>
      </c>
      <c r="C198" s="41" t="s">
        <v>154</v>
      </c>
      <c r="D198" s="42" t="str">
        <f aca="false">INDEX('Page và Ngách'!$B$5:$B$10,MATCH(C198,'Page và Ngách'!$A$5:$A$10,0))</f>
        <v>Werewolf / Rejected mate</v>
      </c>
      <c r="E198" s="41" t="n">
        <v>17</v>
      </c>
      <c r="F198" s="43" t="n">
        <f aca="false">'Cài đặt'!$B$37+E198-1</f>
        <v>46351</v>
      </c>
      <c r="G198" s="41" t="s">
        <v>451</v>
      </c>
      <c r="H198" s="44" t="str">
        <f aca="false">IF(G198="S1",'Cài đặt'!$B$7,'Cài đặt'!$B$8)</f>
        <v>20:00</v>
      </c>
      <c r="I198" s="41" t="s">
        <v>111</v>
      </c>
      <c r="J198" s="41" t="s">
        <v>132</v>
      </c>
      <c r="K198" s="41" t="s">
        <v>445</v>
      </c>
      <c r="L198" s="42" t="str">
        <f aca="false">C198&amp;"_"&amp;B198&amp;"_"&amp;IF(I198="Reel","R",IF(I198="Carousel","C","I"))&amp;"_"&amp;J198&amp;"_"&amp;IF(K198="AI tự động","AI","HU")&amp;"_"&amp;RIGHT(A198,3)</f>
        <v>P1_EXP1_I_A_AI_034</v>
      </c>
      <c r="M198" s="45"/>
      <c r="N198" s="45"/>
      <c r="O198" s="46"/>
      <c r="P198" s="46"/>
      <c r="Q198" s="46"/>
      <c r="R198" s="47"/>
      <c r="S198" s="45"/>
      <c r="T198" s="45"/>
      <c r="U198" s="48" t="str">
        <f aca="false">IF(O198&gt;0,P198/O198,"")</f>
        <v/>
      </c>
      <c r="V198" s="49" t="str">
        <f aca="false">IF(P198&gt;0,Q198/P198,"")</f>
        <v/>
      </c>
      <c r="W198" s="50" t="n">
        <f aca="false">IF(R198&lt;&gt;"",R198,Q198*'Cài đặt'!$B$12)</f>
        <v>0</v>
      </c>
      <c r="X198" s="50" t="str">
        <f aca="false">IF(O198&gt;0,W198/O198*1000,"")</f>
        <v/>
      </c>
      <c r="Y198" s="51" t="n">
        <f aca="false">IF(T198&lt;&gt;"",T198,INDEX('Cài đặt'!$B$20:$C$22,MATCH(I198,'Cài đặt'!$A$20:$A$22,0),IF(K198="AI tự động",1,2)))</f>
        <v>2</v>
      </c>
    </row>
    <row r="199" customFormat="false" ht="15" hidden="false" customHeight="false" outlineLevel="0" collapsed="false">
      <c r="A199" s="41" t="s">
        <v>644</v>
      </c>
      <c r="B199" s="41" t="s">
        <v>443</v>
      </c>
      <c r="C199" s="41" t="s">
        <v>163</v>
      </c>
      <c r="D199" s="42" t="str">
        <f aca="false">INDEX('Page và Ngách'!$B$5:$B$10,MATCH(C199,'Page và Ngách'!$A$5:$A$10,0))</f>
        <v>Secret billionaire / CEO</v>
      </c>
      <c r="E199" s="41" t="n">
        <v>17</v>
      </c>
      <c r="F199" s="43" t="n">
        <f aca="false">'Cài đặt'!$B$37+E199-1</f>
        <v>46351</v>
      </c>
      <c r="G199" s="41" t="s">
        <v>444</v>
      </c>
      <c r="H199" s="44" t="str">
        <f aca="false">IF(G199="S1",'Cài đặt'!$B$7,'Cài đặt'!$B$8)</f>
        <v>12:00</v>
      </c>
      <c r="I199" s="41" t="s">
        <v>111</v>
      </c>
      <c r="J199" s="41" t="s">
        <v>132</v>
      </c>
      <c r="K199" s="41" t="s">
        <v>445</v>
      </c>
      <c r="L199" s="42" t="str">
        <f aca="false">C199&amp;"_"&amp;B199&amp;"_"&amp;IF(I199="Reel","R",IF(I199="Carousel","C","I"))&amp;"_"&amp;J199&amp;"_"&amp;IF(K199="AI tự động","AI","HU")&amp;"_"&amp;RIGHT(A199,3)</f>
        <v>P2_EXP1_I_A_AI_033</v>
      </c>
      <c r="M199" s="45"/>
      <c r="N199" s="45"/>
      <c r="O199" s="46"/>
      <c r="P199" s="46"/>
      <c r="Q199" s="46"/>
      <c r="R199" s="47"/>
      <c r="S199" s="45"/>
      <c r="T199" s="45"/>
      <c r="U199" s="48" t="str">
        <f aca="false">IF(O199&gt;0,P199/O199,"")</f>
        <v/>
      </c>
      <c r="V199" s="49" t="str">
        <f aca="false">IF(P199&gt;0,Q199/P199,"")</f>
        <v/>
      </c>
      <c r="W199" s="50" t="n">
        <f aca="false">IF(R199&lt;&gt;"",R199,Q199*'Cài đặt'!$B$12)</f>
        <v>0</v>
      </c>
      <c r="X199" s="50" t="str">
        <f aca="false">IF(O199&gt;0,W199/O199*1000,"")</f>
        <v/>
      </c>
      <c r="Y199" s="51" t="n">
        <f aca="false">IF(T199&lt;&gt;"",T199,INDEX('Cài đặt'!$B$20:$C$22,MATCH(I199,'Cài đặt'!$A$20:$A$22,0),IF(K199="AI tự động",1,2)))</f>
        <v>2</v>
      </c>
    </row>
    <row r="200" customFormat="false" ht="15" hidden="false" customHeight="false" outlineLevel="0" collapsed="false">
      <c r="A200" s="41" t="s">
        <v>645</v>
      </c>
      <c r="B200" s="41" t="s">
        <v>443</v>
      </c>
      <c r="C200" s="41" t="s">
        <v>163</v>
      </c>
      <c r="D200" s="42" t="str">
        <f aca="false">INDEX('Page và Ngách'!$B$5:$B$10,MATCH(C200,'Page và Ngách'!$A$5:$A$10,0))</f>
        <v>Secret billionaire / CEO</v>
      </c>
      <c r="E200" s="41" t="n">
        <v>17</v>
      </c>
      <c r="F200" s="43" t="n">
        <f aca="false">'Cài đặt'!$B$37+E200-1</f>
        <v>46351</v>
      </c>
      <c r="G200" s="41" t="s">
        <v>451</v>
      </c>
      <c r="H200" s="44" t="str">
        <f aca="false">IF(G200="S1",'Cài đặt'!$B$7,'Cài đặt'!$B$8)</f>
        <v>20:00</v>
      </c>
      <c r="I200" s="41" t="s">
        <v>113</v>
      </c>
      <c r="J200" s="41" t="s">
        <v>132</v>
      </c>
      <c r="K200" s="41" t="s">
        <v>445</v>
      </c>
      <c r="L200" s="42" t="str">
        <f aca="false">C200&amp;"_"&amp;B200&amp;"_"&amp;IF(I200="Reel","R",IF(I200="Carousel","C","I"))&amp;"_"&amp;J200&amp;"_"&amp;IF(K200="AI tự động","AI","HU")&amp;"_"&amp;RIGHT(A200,3)</f>
        <v>P2_EXP1_C_A_AI_034</v>
      </c>
      <c r="M200" s="45"/>
      <c r="N200" s="45"/>
      <c r="O200" s="46"/>
      <c r="P200" s="46"/>
      <c r="Q200" s="46"/>
      <c r="R200" s="47"/>
      <c r="S200" s="45"/>
      <c r="T200" s="45"/>
      <c r="U200" s="48" t="str">
        <f aca="false">IF(O200&gt;0,P200/O200,"")</f>
        <v/>
      </c>
      <c r="V200" s="49" t="str">
        <f aca="false">IF(P200&gt;0,Q200/P200,"")</f>
        <v/>
      </c>
      <c r="W200" s="50" t="n">
        <f aca="false">IF(R200&lt;&gt;"",R200,Q200*'Cài đặt'!$B$12)</f>
        <v>0</v>
      </c>
      <c r="X200" s="50" t="str">
        <f aca="false">IF(O200&gt;0,W200/O200*1000,"")</f>
        <v/>
      </c>
      <c r="Y200" s="51" t="n">
        <f aca="false">IF(T200&lt;&gt;"",T200,INDEX('Cài đặt'!$B$20:$C$22,MATCH(I200,'Cài đặt'!$A$20:$A$22,0),IF(K200="AI tự động",1,2)))</f>
        <v>4</v>
      </c>
    </row>
    <row r="201" customFormat="false" ht="15" hidden="false" customHeight="false" outlineLevel="0" collapsed="false">
      <c r="A201" s="41" t="s">
        <v>646</v>
      </c>
      <c r="B201" s="41" t="s">
        <v>443</v>
      </c>
      <c r="C201" s="41" t="s">
        <v>171</v>
      </c>
      <c r="D201" s="42" t="str">
        <f aca="false">INDEX('Page và Ngách'!$B$5:$B$10,MATCH(C201,'Page và Ngách'!$A$5:$A$10,0))</f>
        <v>Contract marriage / Fake relationship</v>
      </c>
      <c r="E201" s="41" t="n">
        <v>17</v>
      </c>
      <c r="F201" s="43" t="n">
        <f aca="false">'Cài đặt'!$B$37+E201-1</f>
        <v>46351</v>
      </c>
      <c r="G201" s="41" t="s">
        <v>444</v>
      </c>
      <c r="H201" s="44" t="str">
        <f aca="false">IF(G201="S1",'Cài đặt'!$B$7,'Cài đặt'!$B$8)</f>
        <v>12:00</v>
      </c>
      <c r="I201" s="41" t="s">
        <v>113</v>
      </c>
      <c r="J201" s="41" t="s">
        <v>132</v>
      </c>
      <c r="K201" s="41" t="s">
        <v>445</v>
      </c>
      <c r="L201" s="42" t="str">
        <f aca="false">C201&amp;"_"&amp;B201&amp;"_"&amp;IF(I201="Reel","R",IF(I201="Carousel","C","I"))&amp;"_"&amp;J201&amp;"_"&amp;IF(K201="AI tự động","AI","HU")&amp;"_"&amp;RIGHT(A201,3)</f>
        <v>P3_EXP1_C_A_AI_033</v>
      </c>
      <c r="M201" s="45"/>
      <c r="N201" s="45"/>
      <c r="O201" s="46"/>
      <c r="P201" s="46"/>
      <c r="Q201" s="46"/>
      <c r="R201" s="47"/>
      <c r="S201" s="45"/>
      <c r="T201" s="45"/>
      <c r="U201" s="48" t="str">
        <f aca="false">IF(O201&gt;0,P201/O201,"")</f>
        <v/>
      </c>
      <c r="V201" s="49" t="str">
        <f aca="false">IF(P201&gt;0,Q201/P201,"")</f>
        <v/>
      </c>
      <c r="W201" s="50" t="n">
        <f aca="false">IF(R201&lt;&gt;"",R201,Q201*'Cài đặt'!$B$12)</f>
        <v>0</v>
      </c>
      <c r="X201" s="50" t="str">
        <f aca="false">IF(O201&gt;0,W201/O201*1000,"")</f>
        <v/>
      </c>
      <c r="Y201" s="51" t="n">
        <f aca="false">IF(T201&lt;&gt;"",T201,INDEX('Cài đặt'!$B$20:$C$22,MATCH(I201,'Cài đặt'!$A$20:$A$22,0),IF(K201="AI tự động",1,2)))</f>
        <v>4</v>
      </c>
    </row>
    <row r="202" customFormat="false" ht="15" hidden="false" customHeight="false" outlineLevel="0" collapsed="false">
      <c r="A202" s="41" t="s">
        <v>647</v>
      </c>
      <c r="B202" s="41" t="s">
        <v>443</v>
      </c>
      <c r="C202" s="41" t="s">
        <v>171</v>
      </c>
      <c r="D202" s="42" t="str">
        <f aca="false">INDEX('Page và Ngách'!$B$5:$B$10,MATCH(C202,'Page và Ngách'!$A$5:$A$10,0))</f>
        <v>Contract marriage / Fake relationship</v>
      </c>
      <c r="E202" s="41" t="n">
        <v>17</v>
      </c>
      <c r="F202" s="43" t="n">
        <f aca="false">'Cài đặt'!$B$37+E202-1</f>
        <v>46351</v>
      </c>
      <c r="G202" s="41" t="s">
        <v>451</v>
      </c>
      <c r="H202" s="44" t="str">
        <f aca="false">IF(G202="S1",'Cài đặt'!$B$7,'Cài đặt'!$B$8)</f>
        <v>20:00</v>
      </c>
      <c r="I202" s="41" t="s">
        <v>115</v>
      </c>
      <c r="J202" s="41" t="s">
        <v>132</v>
      </c>
      <c r="K202" s="41" t="s">
        <v>445</v>
      </c>
      <c r="L202" s="42" t="str">
        <f aca="false">C202&amp;"_"&amp;B202&amp;"_"&amp;IF(I202="Reel","R",IF(I202="Carousel","C","I"))&amp;"_"&amp;J202&amp;"_"&amp;IF(K202="AI tự động","AI","HU")&amp;"_"&amp;RIGHT(A202,3)</f>
        <v>P3_EXP1_R_A_AI_034</v>
      </c>
      <c r="M202" s="45"/>
      <c r="N202" s="45"/>
      <c r="O202" s="46"/>
      <c r="P202" s="46"/>
      <c r="Q202" s="46"/>
      <c r="R202" s="47"/>
      <c r="S202" s="45"/>
      <c r="T202" s="45"/>
      <c r="U202" s="48" t="str">
        <f aca="false">IF(O202&gt;0,P202/O202,"")</f>
        <v/>
      </c>
      <c r="V202" s="49" t="str">
        <f aca="false">IF(P202&gt;0,Q202/P202,"")</f>
        <v/>
      </c>
      <c r="W202" s="50" t="n">
        <f aca="false">IF(R202&lt;&gt;"",R202,Q202*'Cài đặt'!$B$12)</f>
        <v>0</v>
      </c>
      <c r="X202" s="50" t="str">
        <f aca="false">IF(O202&gt;0,W202/O202*1000,"")</f>
        <v/>
      </c>
      <c r="Y202" s="51" t="n">
        <f aca="false">IF(T202&lt;&gt;"",T202,INDEX('Cài đặt'!$B$20:$C$22,MATCH(I202,'Cài đặt'!$A$20:$A$22,0),IF(K202="AI tự động",1,2)))</f>
        <v>8</v>
      </c>
    </row>
    <row r="203" customFormat="false" ht="15" hidden="false" customHeight="false" outlineLevel="0" collapsed="false">
      <c r="A203" s="41" t="s">
        <v>648</v>
      </c>
      <c r="B203" s="41" t="s">
        <v>443</v>
      </c>
      <c r="C203" s="41" t="s">
        <v>178</v>
      </c>
      <c r="D203" s="42" t="str">
        <f aca="false">INDEX('Page và Ngách'!$B$5:$B$10,MATCH(C203,'Page và Ngách'!$A$5:$A$10,0))</f>
        <v>Revenge / Betrayal ("you'll regret it")</v>
      </c>
      <c r="E203" s="41" t="n">
        <v>17</v>
      </c>
      <c r="F203" s="43" t="n">
        <f aca="false">'Cài đặt'!$B$37+E203-1</f>
        <v>46351</v>
      </c>
      <c r="G203" s="41" t="s">
        <v>444</v>
      </c>
      <c r="H203" s="44" t="str">
        <f aca="false">IF(G203="S1",'Cài đặt'!$B$7,'Cài đặt'!$B$8)</f>
        <v>12:00</v>
      </c>
      <c r="I203" s="41" t="s">
        <v>115</v>
      </c>
      <c r="J203" s="41" t="s">
        <v>132</v>
      </c>
      <c r="K203" s="41" t="s">
        <v>445</v>
      </c>
      <c r="L203" s="42" t="str">
        <f aca="false">C203&amp;"_"&amp;B203&amp;"_"&amp;IF(I203="Reel","R",IF(I203="Carousel","C","I"))&amp;"_"&amp;J203&amp;"_"&amp;IF(K203="AI tự động","AI","HU")&amp;"_"&amp;RIGHT(A203,3)</f>
        <v>P4_EXP1_R_A_AI_033</v>
      </c>
      <c r="M203" s="45"/>
      <c r="N203" s="45"/>
      <c r="O203" s="46"/>
      <c r="P203" s="46"/>
      <c r="Q203" s="46"/>
      <c r="R203" s="47"/>
      <c r="S203" s="45"/>
      <c r="T203" s="45"/>
      <c r="U203" s="48" t="str">
        <f aca="false">IF(O203&gt;0,P203/O203,"")</f>
        <v/>
      </c>
      <c r="V203" s="49" t="str">
        <f aca="false">IF(P203&gt;0,Q203/P203,"")</f>
        <v/>
      </c>
      <c r="W203" s="50" t="n">
        <f aca="false">IF(R203&lt;&gt;"",R203,Q203*'Cài đặt'!$B$12)</f>
        <v>0</v>
      </c>
      <c r="X203" s="50" t="str">
        <f aca="false">IF(O203&gt;0,W203/O203*1000,"")</f>
        <v/>
      </c>
      <c r="Y203" s="51" t="n">
        <f aca="false">IF(T203&lt;&gt;"",T203,INDEX('Cài đặt'!$B$20:$C$22,MATCH(I203,'Cài đặt'!$A$20:$A$22,0),IF(K203="AI tự động",1,2)))</f>
        <v>8</v>
      </c>
    </row>
    <row r="204" customFormat="false" ht="15" hidden="false" customHeight="false" outlineLevel="0" collapsed="false">
      <c r="A204" s="41" t="s">
        <v>649</v>
      </c>
      <c r="B204" s="41" t="s">
        <v>443</v>
      </c>
      <c r="C204" s="41" t="s">
        <v>178</v>
      </c>
      <c r="D204" s="42" t="str">
        <f aca="false">INDEX('Page và Ngách'!$B$5:$B$10,MATCH(C204,'Page và Ngách'!$A$5:$A$10,0))</f>
        <v>Revenge / Betrayal ("you'll regret it")</v>
      </c>
      <c r="E204" s="41" t="n">
        <v>17</v>
      </c>
      <c r="F204" s="43" t="n">
        <f aca="false">'Cài đặt'!$B$37+E204-1</f>
        <v>46351</v>
      </c>
      <c r="G204" s="41" t="s">
        <v>451</v>
      </c>
      <c r="H204" s="44" t="str">
        <f aca="false">IF(G204="S1",'Cài đặt'!$B$7,'Cài đặt'!$B$8)</f>
        <v>20:00</v>
      </c>
      <c r="I204" s="41" t="s">
        <v>111</v>
      </c>
      <c r="J204" s="41" t="s">
        <v>132</v>
      </c>
      <c r="K204" s="41" t="s">
        <v>445</v>
      </c>
      <c r="L204" s="42" t="str">
        <f aca="false">C204&amp;"_"&amp;B204&amp;"_"&amp;IF(I204="Reel","R",IF(I204="Carousel","C","I"))&amp;"_"&amp;J204&amp;"_"&amp;IF(K204="AI tự động","AI","HU")&amp;"_"&amp;RIGHT(A204,3)</f>
        <v>P4_EXP1_I_A_AI_034</v>
      </c>
      <c r="M204" s="45"/>
      <c r="N204" s="45"/>
      <c r="O204" s="46"/>
      <c r="P204" s="46"/>
      <c r="Q204" s="46"/>
      <c r="R204" s="47"/>
      <c r="S204" s="45"/>
      <c r="T204" s="45"/>
      <c r="U204" s="48" t="str">
        <f aca="false">IF(O204&gt;0,P204/O204,"")</f>
        <v/>
      </c>
      <c r="V204" s="49" t="str">
        <f aca="false">IF(P204&gt;0,Q204/P204,"")</f>
        <v/>
      </c>
      <c r="W204" s="50" t="n">
        <f aca="false">IF(R204&lt;&gt;"",R204,Q204*'Cài đặt'!$B$12)</f>
        <v>0</v>
      </c>
      <c r="X204" s="50" t="str">
        <f aca="false">IF(O204&gt;0,W204/O204*1000,"")</f>
        <v/>
      </c>
      <c r="Y204" s="51" t="n">
        <f aca="false">IF(T204&lt;&gt;"",T204,INDEX('Cài đặt'!$B$20:$C$22,MATCH(I204,'Cài đặt'!$A$20:$A$22,0),IF(K204="AI tự động",1,2)))</f>
        <v>2</v>
      </c>
    </row>
    <row r="205" customFormat="false" ht="15" hidden="false" customHeight="false" outlineLevel="0" collapsed="false">
      <c r="A205" s="41" t="s">
        <v>650</v>
      </c>
      <c r="B205" s="41" t="s">
        <v>443</v>
      </c>
      <c r="C205" s="41" t="s">
        <v>185</v>
      </c>
      <c r="D205" s="42" t="str">
        <f aca="false">INDEX('Page và Ngách'!$B$5:$B$10,MATCH(C205,'Page và Ngách'!$A$5:$A$10,0))</f>
        <v>Mafia / Dark romance (teaser PG-13)</v>
      </c>
      <c r="E205" s="41" t="n">
        <v>17</v>
      </c>
      <c r="F205" s="43" t="n">
        <f aca="false">'Cài đặt'!$B$37+E205-1</f>
        <v>46351</v>
      </c>
      <c r="G205" s="41" t="s">
        <v>444</v>
      </c>
      <c r="H205" s="44" t="str">
        <f aca="false">IF(G205="S1",'Cài đặt'!$B$7,'Cài đặt'!$B$8)</f>
        <v>12:00</v>
      </c>
      <c r="I205" s="41" t="s">
        <v>111</v>
      </c>
      <c r="J205" s="41" t="s">
        <v>132</v>
      </c>
      <c r="K205" s="41" t="s">
        <v>445</v>
      </c>
      <c r="L205" s="42" t="str">
        <f aca="false">C205&amp;"_"&amp;B205&amp;"_"&amp;IF(I205="Reel","R",IF(I205="Carousel","C","I"))&amp;"_"&amp;J205&amp;"_"&amp;IF(K205="AI tự động","AI","HU")&amp;"_"&amp;RIGHT(A205,3)</f>
        <v>P5_EXP1_I_A_AI_033</v>
      </c>
      <c r="M205" s="45"/>
      <c r="N205" s="45"/>
      <c r="O205" s="46"/>
      <c r="P205" s="46"/>
      <c r="Q205" s="46"/>
      <c r="R205" s="47"/>
      <c r="S205" s="45"/>
      <c r="T205" s="45"/>
      <c r="U205" s="48" t="str">
        <f aca="false">IF(O205&gt;0,P205/O205,"")</f>
        <v/>
      </c>
      <c r="V205" s="49" t="str">
        <f aca="false">IF(P205&gt;0,Q205/P205,"")</f>
        <v/>
      </c>
      <c r="W205" s="50" t="n">
        <f aca="false">IF(R205&lt;&gt;"",R205,Q205*'Cài đặt'!$B$12)</f>
        <v>0</v>
      </c>
      <c r="X205" s="50" t="str">
        <f aca="false">IF(O205&gt;0,W205/O205*1000,"")</f>
        <v/>
      </c>
      <c r="Y205" s="51" t="n">
        <f aca="false">IF(T205&lt;&gt;"",T205,INDEX('Cài đặt'!$B$20:$C$22,MATCH(I205,'Cài đặt'!$A$20:$A$22,0),IF(K205="AI tự động",1,2)))</f>
        <v>2</v>
      </c>
    </row>
    <row r="206" customFormat="false" ht="15" hidden="false" customHeight="false" outlineLevel="0" collapsed="false">
      <c r="A206" s="41" t="s">
        <v>651</v>
      </c>
      <c r="B206" s="41" t="s">
        <v>443</v>
      </c>
      <c r="C206" s="41" t="s">
        <v>185</v>
      </c>
      <c r="D206" s="42" t="str">
        <f aca="false">INDEX('Page và Ngách'!$B$5:$B$10,MATCH(C206,'Page và Ngách'!$A$5:$A$10,0))</f>
        <v>Mafia / Dark romance (teaser PG-13)</v>
      </c>
      <c r="E206" s="41" t="n">
        <v>17</v>
      </c>
      <c r="F206" s="43" t="n">
        <f aca="false">'Cài đặt'!$B$37+E206-1</f>
        <v>46351</v>
      </c>
      <c r="G206" s="41" t="s">
        <v>451</v>
      </c>
      <c r="H206" s="44" t="str">
        <f aca="false">IF(G206="S1",'Cài đặt'!$B$7,'Cài đặt'!$B$8)</f>
        <v>20:00</v>
      </c>
      <c r="I206" s="41" t="s">
        <v>113</v>
      </c>
      <c r="J206" s="41" t="s">
        <v>132</v>
      </c>
      <c r="K206" s="41" t="s">
        <v>445</v>
      </c>
      <c r="L206" s="42" t="str">
        <f aca="false">C206&amp;"_"&amp;B206&amp;"_"&amp;IF(I206="Reel","R",IF(I206="Carousel","C","I"))&amp;"_"&amp;J206&amp;"_"&amp;IF(K206="AI tự động","AI","HU")&amp;"_"&amp;RIGHT(A206,3)</f>
        <v>P5_EXP1_C_A_AI_034</v>
      </c>
      <c r="M206" s="45"/>
      <c r="N206" s="45"/>
      <c r="O206" s="46"/>
      <c r="P206" s="46"/>
      <c r="Q206" s="46"/>
      <c r="R206" s="47"/>
      <c r="S206" s="45"/>
      <c r="T206" s="45"/>
      <c r="U206" s="48" t="str">
        <f aca="false">IF(O206&gt;0,P206/O206,"")</f>
        <v/>
      </c>
      <c r="V206" s="49" t="str">
        <f aca="false">IF(P206&gt;0,Q206/P206,"")</f>
        <v/>
      </c>
      <c r="W206" s="50" t="n">
        <f aca="false">IF(R206&lt;&gt;"",R206,Q206*'Cài đặt'!$B$12)</f>
        <v>0</v>
      </c>
      <c r="X206" s="50" t="str">
        <f aca="false">IF(O206&gt;0,W206/O206*1000,"")</f>
        <v/>
      </c>
      <c r="Y206" s="51" t="n">
        <f aca="false">IF(T206&lt;&gt;"",T206,INDEX('Cài đặt'!$B$20:$C$22,MATCH(I206,'Cài đặt'!$A$20:$A$22,0),IF(K206="AI tự động",1,2)))</f>
        <v>4</v>
      </c>
    </row>
    <row r="207" customFormat="false" ht="15" hidden="false" customHeight="false" outlineLevel="0" collapsed="false">
      <c r="A207" s="41" t="s">
        <v>652</v>
      </c>
      <c r="B207" s="41" t="s">
        <v>443</v>
      </c>
      <c r="C207" s="41" t="s">
        <v>193</v>
      </c>
      <c r="D207" s="42" t="str">
        <f aca="false">INDEX('Page và Ngách'!$B$5:$B$10,MATCH(C207,'Page và Ngách'!$A$5:$A$10,0))</f>
        <v>Second chance / Secret baby</v>
      </c>
      <c r="E207" s="41" t="n">
        <v>17</v>
      </c>
      <c r="F207" s="43" t="n">
        <f aca="false">'Cài đặt'!$B$37+E207-1</f>
        <v>46351</v>
      </c>
      <c r="G207" s="41" t="s">
        <v>444</v>
      </c>
      <c r="H207" s="44" t="str">
        <f aca="false">IF(G207="S1",'Cài đặt'!$B$7,'Cài đặt'!$B$8)</f>
        <v>12:00</v>
      </c>
      <c r="I207" s="41" t="s">
        <v>113</v>
      </c>
      <c r="J207" s="41" t="s">
        <v>132</v>
      </c>
      <c r="K207" s="41" t="s">
        <v>445</v>
      </c>
      <c r="L207" s="42" t="str">
        <f aca="false">C207&amp;"_"&amp;B207&amp;"_"&amp;IF(I207="Reel","R",IF(I207="Carousel","C","I"))&amp;"_"&amp;J207&amp;"_"&amp;IF(K207="AI tự động","AI","HU")&amp;"_"&amp;RIGHT(A207,3)</f>
        <v>P6_EXP1_C_A_AI_033</v>
      </c>
      <c r="M207" s="45"/>
      <c r="N207" s="45"/>
      <c r="O207" s="46"/>
      <c r="P207" s="46"/>
      <c r="Q207" s="46"/>
      <c r="R207" s="47"/>
      <c r="S207" s="45"/>
      <c r="T207" s="45"/>
      <c r="U207" s="48" t="str">
        <f aca="false">IF(O207&gt;0,P207/O207,"")</f>
        <v/>
      </c>
      <c r="V207" s="49" t="str">
        <f aca="false">IF(P207&gt;0,Q207/P207,"")</f>
        <v/>
      </c>
      <c r="W207" s="50" t="n">
        <f aca="false">IF(R207&lt;&gt;"",R207,Q207*'Cài đặt'!$B$12)</f>
        <v>0</v>
      </c>
      <c r="X207" s="50" t="str">
        <f aca="false">IF(O207&gt;0,W207/O207*1000,"")</f>
        <v/>
      </c>
      <c r="Y207" s="51" t="n">
        <f aca="false">IF(T207&lt;&gt;"",T207,INDEX('Cài đặt'!$B$20:$C$22,MATCH(I207,'Cài đặt'!$A$20:$A$22,0),IF(K207="AI tự động",1,2)))</f>
        <v>4</v>
      </c>
    </row>
    <row r="208" customFormat="false" ht="15" hidden="false" customHeight="false" outlineLevel="0" collapsed="false">
      <c r="A208" s="41" t="s">
        <v>653</v>
      </c>
      <c r="B208" s="41" t="s">
        <v>443</v>
      </c>
      <c r="C208" s="41" t="s">
        <v>193</v>
      </c>
      <c r="D208" s="42" t="str">
        <f aca="false">INDEX('Page và Ngách'!$B$5:$B$10,MATCH(C208,'Page và Ngách'!$A$5:$A$10,0))</f>
        <v>Second chance / Secret baby</v>
      </c>
      <c r="E208" s="41" t="n">
        <v>17</v>
      </c>
      <c r="F208" s="43" t="n">
        <f aca="false">'Cài đặt'!$B$37+E208-1</f>
        <v>46351</v>
      </c>
      <c r="G208" s="41" t="s">
        <v>451</v>
      </c>
      <c r="H208" s="44" t="str">
        <f aca="false">IF(G208="S1",'Cài đặt'!$B$7,'Cài đặt'!$B$8)</f>
        <v>20:00</v>
      </c>
      <c r="I208" s="41" t="s">
        <v>115</v>
      </c>
      <c r="J208" s="41" t="s">
        <v>132</v>
      </c>
      <c r="K208" s="41" t="s">
        <v>445</v>
      </c>
      <c r="L208" s="42" t="str">
        <f aca="false">C208&amp;"_"&amp;B208&amp;"_"&amp;IF(I208="Reel","R",IF(I208="Carousel","C","I"))&amp;"_"&amp;J208&amp;"_"&amp;IF(K208="AI tự động","AI","HU")&amp;"_"&amp;RIGHT(A208,3)</f>
        <v>P6_EXP1_R_A_AI_034</v>
      </c>
      <c r="M208" s="45"/>
      <c r="N208" s="45"/>
      <c r="O208" s="46"/>
      <c r="P208" s="46"/>
      <c r="Q208" s="46"/>
      <c r="R208" s="47"/>
      <c r="S208" s="45"/>
      <c r="T208" s="45"/>
      <c r="U208" s="48" t="str">
        <f aca="false">IF(O208&gt;0,P208/O208,"")</f>
        <v/>
      </c>
      <c r="V208" s="49" t="str">
        <f aca="false">IF(P208&gt;0,Q208/P208,"")</f>
        <v/>
      </c>
      <c r="W208" s="50" t="n">
        <f aca="false">IF(R208&lt;&gt;"",R208,Q208*'Cài đặt'!$B$12)</f>
        <v>0</v>
      </c>
      <c r="X208" s="50" t="str">
        <f aca="false">IF(O208&gt;0,W208/O208*1000,"")</f>
        <v/>
      </c>
      <c r="Y208" s="51" t="n">
        <f aca="false">IF(T208&lt;&gt;"",T208,INDEX('Cài đặt'!$B$20:$C$22,MATCH(I208,'Cài đặt'!$A$20:$A$22,0),IF(K208="AI tự động",1,2)))</f>
        <v>8</v>
      </c>
    </row>
    <row r="209" customFormat="false" ht="15" hidden="false" customHeight="false" outlineLevel="0" collapsed="false">
      <c r="A209" s="41" t="s">
        <v>654</v>
      </c>
      <c r="B209" s="41" t="s">
        <v>443</v>
      </c>
      <c r="C209" s="41" t="s">
        <v>154</v>
      </c>
      <c r="D209" s="42" t="str">
        <f aca="false">INDEX('Page và Ngách'!$B$5:$B$10,MATCH(C209,'Page và Ngách'!$A$5:$A$10,0))</f>
        <v>Werewolf / Rejected mate</v>
      </c>
      <c r="E209" s="41" t="n">
        <v>18</v>
      </c>
      <c r="F209" s="43" t="n">
        <f aca="false">'Cài đặt'!$B$37+E209-1</f>
        <v>46352</v>
      </c>
      <c r="G209" s="41" t="s">
        <v>444</v>
      </c>
      <c r="H209" s="44" t="str">
        <f aca="false">IF(G209="S1",'Cài đặt'!$B$7,'Cài đặt'!$B$8)</f>
        <v>12:00</v>
      </c>
      <c r="I209" s="41" t="s">
        <v>113</v>
      </c>
      <c r="J209" s="41" t="s">
        <v>132</v>
      </c>
      <c r="K209" s="41" t="s">
        <v>445</v>
      </c>
      <c r="L209" s="42" t="str">
        <f aca="false">C209&amp;"_"&amp;B209&amp;"_"&amp;IF(I209="Reel","R",IF(I209="Carousel","C","I"))&amp;"_"&amp;J209&amp;"_"&amp;IF(K209="AI tự động","AI","HU")&amp;"_"&amp;RIGHT(A209,3)</f>
        <v>P1_EXP1_C_A_AI_035</v>
      </c>
      <c r="M209" s="45"/>
      <c r="N209" s="45"/>
      <c r="O209" s="46"/>
      <c r="P209" s="46"/>
      <c r="Q209" s="46"/>
      <c r="R209" s="47"/>
      <c r="S209" s="45"/>
      <c r="T209" s="45"/>
      <c r="U209" s="48" t="str">
        <f aca="false">IF(O209&gt;0,P209/O209,"")</f>
        <v/>
      </c>
      <c r="V209" s="49" t="str">
        <f aca="false">IF(P209&gt;0,Q209/P209,"")</f>
        <v/>
      </c>
      <c r="W209" s="50" t="n">
        <f aca="false">IF(R209&lt;&gt;"",R209,Q209*'Cài đặt'!$B$12)</f>
        <v>0</v>
      </c>
      <c r="X209" s="50" t="str">
        <f aca="false">IF(O209&gt;0,W209/O209*1000,"")</f>
        <v/>
      </c>
      <c r="Y209" s="51" t="n">
        <f aca="false">IF(T209&lt;&gt;"",T209,INDEX('Cài đặt'!$B$20:$C$22,MATCH(I209,'Cài đặt'!$A$20:$A$22,0),IF(K209="AI tự động",1,2)))</f>
        <v>4</v>
      </c>
    </row>
    <row r="210" customFormat="false" ht="15" hidden="false" customHeight="false" outlineLevel="0" collapsed="false">
      <c r="A210" s="41" t="s">
        <v>655</v>
      </c>
      <c r="B210" s="41" t="s">
        <v>443</v>
      </c>
      <c r="C210" s="41" t="s">
        <v>154</v>
      </c>
      <c r="D210" s="42" t="str">
        <f aca="false">INDEX('Page và Ngách'!$B$5:$B$10,MATCH(C210,'Page và Ngách'!$A$5:$A$10,0))</f>
        <v>Werewolf / Rejected mate</v>
      </c>
      <c r="E210" s="41" t="n">
        <v>18</v>
      </c>
      <c r="F210" s="43" t="n">
        <f aca="false">'Cài đặt'!$B$37+E210-1</f>
        <v>46352</v>
      </c>
      <c r="G210" s="41" t="s">
        <v>451</v>
      </c>
      <c r="H210" s="44" t="str">
        <f aca="false">IF(G210="S1",'Cài đặt'!$B$7,'Cài đặt'!$B$8)</f>
        <v>20:00</v>
      </c>
      <c r="I210" s="41" t="s">
        <v>115</v>
      </c>
      <c r="J210" s="41" t="s">
        <v>132</v>
      </c>
      <c r="K210" s="41" t="s">
        <v>445</v>
      </c>
      <c r="L210" s="42" t="str">
        <f aca="false">C210&amp;"_"&amp;B210&amp;"_"&amp;IF(I210="Reel","R",IF(I210="Carousel","C","I"))&amp;"_"&amp;J210&amp;"_"&amp;IF(K210="AI tự động","AI","HU")&amp;"_"&amp;RIGHT(A210,3)</f>
        <v>P1_EXP1_R_A_AI_036</v>
      </c>
      <c r="M210" s="45"/>
      <c r="N210" s="45"/>
      <c r="O210" s="46"/>
      <c r="P210" s="46"/>
      <c r="Q210" s="46"/>
      <c r="R210" s="47"/>
      <c r="S210" s="45"/>
      <c r="T210" s="45"/>
      <c r="U210" s="48" t="str">
        <f aca="false">IF(O210&gt;0,P210/O210,"")</f>
        <v/>
      </c>
      <c r="V210" s="49" t="str">
        <f aca="false">IF(P210&gt;0,Q210/P210,"")</f>
        <v/>
      </c>
      <c r="W210" s="50" t="n">
        <f aca="false">IF(R210&lt;&gt;"",R210,Q210*'Cài đặt'!$B$12)</f>
        <v>0</v>
      </c>
      <c r="X210" s="50" t="str">
        <f aca="false">IF(O210&gt;0,W210/O210*1000,"")</f>
        <v/>
      </c>
      <c r="Y210" s="51" t="n">
        <f aca="false">IF(T210&lt;&gt;"",T210,INDEX('Cài đặt'!$B$20:$C$22,MATCH(I210,'Cài đặt'!$A$20:$A$22,0),IF(K210="AI tự động",1,2)))</f>
        <v>8</v>
      </c>
    </row>
    <row r="211" customFormat="false" ht="15" hidden="false" customHeight="false" outlineLevel="0" collapsed="false">
      <c r="A211" s="41" t="s">
        <v>656</v>
      </c>
      <c r="B211" s="41" t="s">
        <v>443</v>
      </c>
      <c r="C211" s="41" t="s">
        <v>163</v>
      </c>
      <c r="D211" s="42" t="str">
        <f aca="false">INDEX('Page và Ngách'!$B$5:$B$10,MATCH(C211,'Page và Ngách'!$A$5:$A$10,0))</f>
        <v>Secret billionaire / CEO</v>
      </c>
      <c r="E211" s="41" t="n">
        <v>18</v>
      </c>
      <c r="F211" s="43" t="n">
        <f aca="false">'Cài đặt'!$B$37+E211-1</f>
        <v>46352</v>
      </c>
      <c r="G211" s="41" t="s">
        <v>444</v>
      </c>
      <c r="H211" s="44" t="str">
        <f aca="false">IF(G211="S1",'Cài đặt'!$B$7,'Cài đặt'!$B$8)</f>
        <v>12:00</v>
      </c>
      <c r="I211" s="41" t="s">
        <v>115</v>
      </c>
      <c r="J211" s="41" t="s">
        <v>132</v>
      </c>
      <c r="K211" s="41" t="s">
        <v>445</v>
      </c>
      <c r="L211" s="42" t="str">
        <f aca="false">C211&amp;"_"&amp;B211&amp;"_"&amp;IF(I211="Reel","R",IF(I211="Carousel","C","I"))&amp;"_"&amp;J211&amp;"_"&amp;IF(K211="AI tự động","AI","HU")&amp;"_"&amp;RIGHT(A211,3)</f>
        <v>P2_EXP1_R_A_AI_035</v>
      </c>
      <c r="M211" s="45"/>
      <c r="N211" s="45"/>
      <c r="O211" s="46"/>
      <c r="P211" s="46"/>
      <c r="Q211" s="46"/>
      <c r="R211" s="47"/>
      <c r="S211" s="45"/>
      <c r="T211" s="45"/>
      <c r="U211" s="48" t="str">
        <f aca="false">IF(O211&gt;0,P211/O211,"")</f>
        <v/>
      </c>
      <c r="V211" s="49" t="str">
        <f aca="false">IF(P211&gt;0,Q211/P211,"")</f>
        <v/>
      </c>
      <c r="W211" s="50" t="n">
        <f aca="false">IF(R211&lt;&gt;"",R211,Q211*'Cài đặt'!$B$12)</f>
        <v>0</v>
      </c>
      <c r="X211" s="50" t="str">
        <f aca="false">IF(O211&gt;0,W211/O211*1000,"")</f>
        <v/>
      </c>
      <c r="Y211" s="51" t="n">
        <f aca="false">IF(T211&lt;&gt;"",T211,INDEX('Cài đặt'!$B$20:$C$22,MATCH(I211,'Cài đặt'!$A$20:$A$22,0),IF(K211="AI tự động",1,2)))</f>
        <v>8</v>
      </c>
    </row>
    <row r="212" customFormat="false" ht="15" hidden="false" customHeight="false" outlineLevel="0" collapsed="false">
      <c r="A212" s="41" t="s">
        <v>657</v>
      </c>
      <c r="B212" s="41" t="s">
        <v>443</v>
      </c>
      <c r="C212" s="41" t="s">
        <v>163</v>
      </c>
      <c r="D212" s="42" t="str">
        <f aca="false">INDEX('Page và Ngách'!$B$5:$B$10,MATCH(C212,'Page và Ngách'!$A$5:$A$10,0))</f>
        <v>Secret billionaire / CEO</v>
      </c>
      <c r="E212" s="41" t="n">
        <v>18</v>
      </c>
      <c r="F212" s="43" t="n">
        <f aca="false">'Cài đặt'!$B$37+E212-1</f>
        <v>46352</v>
      </c>
      <c r="G212" s="41" t="s">
        <v>451</v>
      </c>
      <c r="H212" s="44" t="str">
        <f aca="false">IF(G212="S1",'Cài đặt'!$B$7,'Cài đặt'!$B$8)</f>
        <v>20:00</v>
      </c>
      <c r="I212" s="41" t="s">
        <v>111</v>
      </c>
      <c r="J212" s="41" t="s">
        <v>132</v>
      </c>
      <c r="K212" s="41" t="s">
        <v>445</v>
      </c>
      <c r="L212" s="42" t="str">
        <f aca="false">C212&amp;"_"&amp;B212&amp;"_"&amp;IF(I212="Reel","R",IF(I212="Carousel","C","I"))&amp;"_"&amp;J212&amp;"_"&amp;IF(K212="AI tự động","AI","HU")&amp;"_"&amp;RIGHT(A212,3)</f>
        <v>P2_EXP1_I_A_AI_036</v>
      </c>
      <c r="M212" s="45"/>
      <c r="N212" s="45"/>
      <c r="O212" s="46"/>
      <c r="P212" s="46"/>
      <c r="Q212" s="46"/>
      <c r="R212" s="47"/>
      <c r="S212" s="45"/>
      <c r="T212" s="45"/>
      <c r="U212" s="48" t="str">
        <f aca="false">IF(O212&gt;0,P212/O212,"")</f>
        <v/>
      </c>
      <c r="V212" s="49" t="str">
        <f aca="false">IF(P212&gt;0,Q212/P212,"")</f>
        <v/>
      </c>
      <c r="W212" s="50" t="n">
        <f aca="false">IF(R212&lt;&gt;"",R212,Q212*'Cài đặt'!$B$12)</f>
        <v>0</v>
      </c>
      <c r="X212" s="50" t="str">
        <f aca="false">IF(O212&gt;0,W212/O212*1000,"")</f>
        <v/>
      </c>
      <c r="Y212" s="51" t="n">
        <f aca="false">IF(T212&lt;&gt;"",T212,INDEX('Cài đặt'!$B$20:$C$22,MATCH(I212,'Cài đặt'!$A$20:$A$22,0),IF(K212="AI tự động",1,2)))</f>
        <v>2</v>
      </c>
    </row>
    <row r="213" customFormat="false" ht="15" hidden="false" customHeight="false" outlineLevel="0" collapsed="false">
      <c r="A213" s="41" t="s">
        <v>658</v>
      </c>
      <c r="B213" s="41" t="s">
        <v>443</v>
      </c>
      <c r="C213" s="41" t="s">
        <v>171</v>
      </c>
      <c r="D213" s="42" t="str">
        <f aca="false">INDEX('Page và Ngách'!$B$5:$B$10,MATCH(C213,'Page và Ngách'!$A$5:$A$10,0))</f>
        <v>Contract marriage / Fake relationship</v>
      </c>
      <c r="E213" s="41" t="n">
        <v>18</v>
      </c>
      <c r="F213" s="43" t="n">
        <f aca="false">'Cài đặt'!$B$37+E213-1</f>
        <v>46352</v>
      </c>
      <c r="G213" s="41" t="s">
        <v>444</v>
      </c>
      <c r="H213" s="44" t="str">
        <f aca="false">IF(G213="S1",'Cài đặt'!$B$7,'Cài đặt'!$B$8)</f>
        <v>12:00</v>
      </c>
      <c r="I213" s="41" t="s">
        <v>111</v>
      </c>
      <c r="J213" s="41" t="s">
        <v>132</v>
      </c>
      <c r="K213" s="41" t="s">
        <v>445</v>
      </c>
      <c r="L213" s="42" t="str">
        <f aca="false">C213&amp;"_"&amp;B213&amp;"_"&amp;IF(I213="Reel","R",IF(I213="Carousel","C","I"))&amp;"_"&amp;J213&amp;"_"&amp;IF(K213="AI tự động","AI","HU")&amp;"_"&amp;RIGHT(A213,3)</f>
        <v>P3_EXP1_I_A_AI_035</v>
      </c>
      <c r="M213" s="45"/>
      <c r="N213" s="45"/>
      <c r="O213" s="46"/>
      <c r="P213" s="46"/>
      <c r="Q213" s="46"/>
      <c r="R213" s="47"/>
      <c r="S213" s="45"/>
      <c r="T213" s="45"/>
      <c r="U213" s="48" t="str">
        <f aca="false">IF(O213&gt;0,P213/O213,"")</f>
        <v/>
      </c>
      <c r="V213" s="49" t="str">
        <f aca="false">IF(P213&gt;0,Q213/P213,"")</f>
        <v/>
      </c>
      <c r="W213" s="50" t="n">
        <f aca="false">IF(R213&lt;&gt;"",R213,Q213*'Cài đặt'!$B$12)</f>
        <v>0</v>
      </c>
      <c r="X213" s="50" t="str">
        <f aca="false">IF(O213&gt;0,W213/O213*1000,"")</f>
        <v/>
      </c>
      <c r="Y213" s="51" t="n">
        <f aca="false">IF(T213&lt;&gt;"",T213,INDEX('Cài đặt'!$B$20:$C$22,MATCH(I213,'Cài đặt'!$A$20:$A$22,0),IF(K213="AI tự động",1,2)))</f>
        <v>2</v>
      </c>
    </row>
    <row r="214" customFormat="false" ht="15" hidden="false" customHeight="false" outlineLevel="0" collapsed="false">
      <c r="A214" s="41" t="s">
        <v>659</v>
      </c>
      <c r="B214" s="41" t="s">
        <v>443</v>
      </c>
      <c r="C214" s="41" t="s">
        <v>171</v>
      </c>
      <c r="D214" s="42" t="str">
        <f aca="false">INDEX('Page và Ngách'!$B$5:$B$10,MATCH(C214,'Page và Ngách'!$A$5:$A$10,0))</f>
        <v>Contract marriage / Fake relationship</v>
      </c>
      <c r="E214" s="41" t="n">
        <v>18</v>
      </c>
      <c r="F214" s="43" t="n">
        <f aca="false">'Cài đặt'!$B$37+E214-1</f>
        <v>46352</v>
      </c>
      <c r="G214" s="41" t="s">
        <v>451</v>
      </c>
      <c r="H214" s="44" t="str">
        <f aca="false">IF(G214="S1",'Cài đặt'!$B$7,'Cài đặt'!$B$8)</f>
        <v>20:00</v>
      </c>
      <c r="I214" s="41" t="s">
        <v>113</v>
      </c>
      <c r="J214" s="41" t="s">
        <v>132</v>
      </c>
      <c r="K214" s="41" t="s">
        <v>445</v>
      </c>
      <c r="L214" s="42" t="str">
        <f aca="false">C214&amp;"_"&amp;B214&amp;"_"&amp;IF(I214="Reel","R",IF(I214="Carousel","C","I"))&amp;"_"&amp;J214&amp;"_"&amp;IF(K214="AI tự động","AI","HU")&amp;"_"&amp;RIGHT(A214,3)</f>
        <v>P3_EXP1_C_A_AI_036</v>
      </c>
      <c r="M214" s="45"/>
      <c r="N214" s="45"/>
      <c r="O214" s="46"/>
      <c r="P214" s="46"/>
      <c r="Q214" s="46"/>
      <c r="R214" s="47"/>
      <c r="S214" s="45"/>
      <c r="T214" s="45"/>
      <c r="U214" s="48" t="str">
        <f aca="false">IF(O214&gt;0,P214/O214,"")</f>
        <v/>
      </c>
      <c r="V214" s="49" t="str">
        <f aca="false">IF(P214&gt;0,Q214/P214,"")</f>
        <v/>
      </c>
      <c r="W214" s="50" t="n">
        <f aca="false">IF(R214&lt;&gt;"",R214,Q214*'Cài đặt'!$B$12)</f>
        <v>0</v>
      </c>
      <c r="X214" s="50" t="str">
        <f aca="false">IF(O214&gt;0,W214/O214*1000,"")</f>
        <v/>
      </c>
      <c r="Y214" s="51" t="n">
        <f aca="false">IF(T214&lt;&gt;"",T214,INDEX('Cài đặt'!$B$20:$C$22,MATCH(I214,'Cài đặt'!$A$20:$A$22,0),IF(K214="AI tự động",1,2)))</f>
        <v>4</v>
      </c>
    </row>
    <row r="215" customFormat="false" ht="15" hidden="false" customHeight="false" outlineLevel="0" collapsed="false">
      <c r="A215" s="41" t="s">
        <v>660</v>
      </c>
      <c r="B215" s="41" t="s">
        <v>443</v>
      </c>
      <c r="C215" s="41" t="s">
        <v>178</v>
      </c>
      <c r="D215" s="42" t="str">
        <f aca="false">INDEX('Page và Ngách'!$B$5:$B$10,MATCH(C215,'Page và Ngách'!$A$5:$A$10,0))</f>
        <v>Revenge / Betrayal ("you'll regret it")</v>
      </c>
      <c r="E215" s="41" t="n">
        <v>18</v>
      </c>
      <c r="F215" s="43" t="n">
        <f aca="false">'Cài đặt'!$B$37+E215-1</f>
        <v>46352</v>
      </c>
      <c r="G215" s="41" t="s">
        <v>444</v>
      </c>
      <c r="H215" s="44" t="str">
        <f aca="false">IF(G215="S1",'Cài đặt'!$B$7,'Cài đặt'!$B$8)</f>
        <v>12:00</v>
      </c>
      <c r="I215" s="41" t="s">
        <v>113</v>
      </c>
      <c r="J215" s="41" t="s">
        <v>132</v>
      </c>
      <c r="K215" s="41" t="s">
        <v>445</v>
      </c>
      <c r="L215" s="42" t="str">
        <f aca="false">C215&amp;"_"&amp;B215&amp;"_"&amp;IF(I215="Reel","R",IF(I215="Carousel","C","I"))&amp;"_"&amp;J215&amp;"_"&amp;IF(K215="AI tự động","AI","HU")&amp;"_"&amp;RIGHT(A215,3)</f>
        <v>P4_EXP1_C_A_AI_035</v>
      </c>
      <c r="M215" s="45"/>
      <c r="N215" s="45"/>
      <c r="O215" s="46"/>
      <c r="P215" s="46"/>
      <c r="Q215" s="46"/>
      <c r="R215" s="47"/>
      <c r="S215" s="45"/>
      <c r="T215" s="45"/>
      <c r="U215" s="48" t="str">
        <f aca="false">IF(O215&gt;0,P215/O215,"")</f>
        <v/>
      </c>
      <c r="V215" s="49" t="str">
        <f aca="false">IF(P215&gt;0,Q215/P215,"")</f>
        <v/>
      </c>
      <c r="W215" s="50" t="n">
        <f aca="false">IF(R215&lt;&gt;"",R215,Q215*'Cài đặt'!$B$12)</f>
        <v>0</v>
      </c>
      <c r="X215" s="50" t="str">
        <f aca="false">IF(O215&gt;0,W215/O215*1000,"")</f>
        <v/>
      </c>
      <c r="Y215" s="51" t="n">
        <f aca="false">IF(T215&lt;&gt;"",T215,INDEX('Cài đặt'!$B$20:$C$22,MATCH(I215,'Cài đặt'!$A$20:$A$22,0),IF(K215="AI tự động",1,2)))</f>
        <v>4</v>
      </c>
    </row>
    <row r="216" customFormat="false" ht="15" hidden="false" customHeight="false" outlineLevel="0" collapsed="false">
      <c r="A216" s="41" t="s">
        <v>661</v>
      </c>
      <c r="B216" s="41" t="s">
        <v>443</v>
      </c>
      <c r="C216" s="41" t="s">
        <v>178</v>
      </c>
      <c r="D216" s="42" t="str">
        <f aca="false">INDEX('Page và Ngách'!$B$5:$B$10,MATCH(C216,'Page và Ngách'!$A$5:$A$10,0))</f>
        <v>Revenge / Betrayal ("you'll regret it")</v>
      </c>
      <c r="E216" s="41" t="n">
        <v>18</v>
      </c>
      <c r="F216" s="43" t="n">
        <f aca="false">'Cài đặt'!$B$37+E216-1</f>
        <v>46352</v>
      </c>
      <c r="G216" s="41" t="s">
        <v>451</v>
      </c>
      <c r="H216" s="44" t="str">
        <f aca="false">IF(G216="S1",'Cài đặt'!$B$7,'Cài đặt'!$B$8)</f>
        <v>20:00</v>
      </c>
      <c r="I216" s="41" t="s">
        <v>115</v>
      </c>
      <c r="J216" s="41" t="s">
        <v>132</v>
      </c>
      <c r="K216" s="41" t="s">
        <v>445</v>
      </c>
      <c r="L216" s="42" t="str">
        <f aca="false">C216&amp;"_"&amp;B216&amp;"_"&amp;IF(I216="Reel","R",IF(I216="Carousel","C","I"))&amp;"_"&amp;J216&amp;"_"&amp;IF(K216="AI tự động","AI","HU")&amp;"_"&amp;RIGHT(A216,3)</f>
        <v>P4_EXP1_R_A_AI_036</v>
      </c>
      <c r="M216" s="45"/>
      <c r="N216" s="45"/>
      <c r="O216" s="46"/>
      <c r="P216" s="46"/>
      <c r="Q216" s="46"/>
      <c r="R216" s="47"/>
      <c r="S216" s="45"/>
      <c r="T216" s="45"/>
      <c r="U216" s="48" t="str">
        <f aca="false">IF(O216&gt;0,P216/O216,"")</f>
        <v/>
      </c>
      <c r="V216" s="49" t="str">
        <f aca="false">IF(P216&gt;0,Q216/P216,"")</f>
        <v/>
      </c>
      <c r="W216" s="50" t="n">
        <f aca="false">IF(R216&lt;&gt;"",R216,Q216*'Cài đặt'!$B$12)</f>
        <v>0</v>
      </c>
      <c r="X216" s="50" t="str">
        <f aca="false">IF(O216&gt;0,W216/O216*1000,"")</f>
        <v/>
      </c>
      <c r="Y216" s="51" t="n">
        <f aca="false">IF(T216&lt;&gt;"",T216,INDEX('Cài đặt'!$B$20:$C$22,MATCH(I216,'Cài đặt'!$A$20:$A$22,0),IF(K216="AI tự động",1,2)))</f>
        <v>8</v>
      </c>
    </row>
    <row r="217" customFormat="false" ht="15" hidden="false" customHeight="false" outlineLevel="0" collapsed="false">
      <c r="A217" s="41" t="s">
        <v>662</v>
      </c>
      <c r="B217" s="41" t="s">
        <v>443</v>
      </c>
      <c r="C217" s="41" t="s">
        <v>185</v>
      </c>
      <c r="D217" s="42" t="str">
        <f aca="false">INDEX('Page và Ngách'!$B$5:$B$10,MATCH(C217,'Page và Ngách'!$A$5:$A$10,0))</f>
        <v>Mafia / Dark romance (teaser PG-13)</v>
      </c>
      <c r="E217" s="41" t="n">
        <v>18</v>
      </c>
      <c r="F217" s="43" t="n">
        <f aca="false">'Cài đặt'!$B$37+E217-1</f>
        <v>46352</v>
      </c>
      <c r="G217" s="41" t="s">
        <v>444</v>
      </c>
      <c r="H217" s="44" t="str">
        <f aca="false">IF(G217="S1",'Cài đặt'!$B$7,'Cài đặt'!$B$8)</f>
        <v>12:00</v>
      </c>
      <c r="I217" s="41" t="s">
        <v>115</v>
      </c>
      <c r="J217" s="41" t="s">
        <v>132</v>
      </c>
      <c r="K217" s="41" t="s">
        <v>445</v>
      </c>
      <c r="L217" s="42" t="str">
        <f aca="false">C217&amp;"_"&amp;B217&amp;"_"&amp;IF(I217="Reel","R",IF(I217="Carousel","C","I"))&amp;"_"&amp;J217&amp;"_"&amp;IF(K217="AI tự động","AI","HU")&amp;"_"&amp;RIGHT(A217,3)</f>
        <v>P5_EXP1_R_A_AI_035</v>
      </c>
      <c r="M217" s="45"/>
      <c r="N217" s="45"/>
      <c r="O217" s="46"/>
      <c r="P217" s="46"/>
      <c r="Q217" s="46"/>
      <c r="R217" s="47"/>
      <c r="S217" s="45"/>
      <c r="T217" s="45"/>
      <c r="U217" s="48" t="str">
        <f aca="false">IF(O217&gt;0,P217/O217,"")</f>
        <v/>
      </c>
      <c r="V217" s="49" t="str">
        <f aca="false">IF(P217&gt;0,Q217/P217,"")</f>
        <v/>
      </c>
      <c r="W217" s="50" t="n">
        <f aca="false">IF(R217&lt;&gt;"",R217,Q217*'Cài đặt'!$B$12)</f>
        <v>0</v>
      </c>
      <c r="X217" s="50" t="str">
        <f aca="false">IF(O217&gt;0,W217/O217*1000,"")</f>
        <v/>
      </c>
      <c r="Y217" s="51" t="n">
        <f aca="false">IF(T217&lt;&gt;"",T217,INDEX('Cài đặt'!$B$20:$C$22,MATCH(I217,'Cài đặt'!$A$20:$A$22,0),IF(K217="AI tự động",1,2)))</f>
        <v>8</v>
      </c>
    </row>
    <row r="218" customFormat="false" ht="15" hidden="false" customHeight="false" outlineLevel="0" collapsed="false">
      <c r="A218" s="41" t="s">
        <v>663</v>
      </c>
      <c r="B218" s="41" t="s">
        <v>443</v>
      </c>
      <c r="C218" s="41" t="s">
        <v>185</v>
      </c>
      <c r="D218" s="42" t="str">
        <f aca="false">INDEX('Page và Ngách'!$B$5:$B$10,MATCH(C218,'Page và Ngách'!$A$5:$A$10,0))</f>
        <v>Mafia / Dark romance (teaser PG-13)</v>
      </c>
      <c r="E218" s="41" t="n">
        <v>18</v>
      </c>
      <c r="F218" s="43" t="n">
        <f aca="false">'Cài đặt'!$B$37+E218-1</f>
        <v>46352</v>
      </c>
      <c r="G218" s="41" t="s">
        <v>451</v>
      </c>
      <c r="H218" s="44" t="str">
        <f aca="false">IF(G218="S1",'Cài đặt'!$B$7,'Cài đặt'!$B$8)</f>
        <v>20:00</v>
      </c>
      <c r="I218" s="41" t="s">
        <v>111</v>
      </c>
      <c r="J218" s="41" t="s">
        <v>132</v>
      </c>
      <c r="K218" s="41" t="s">
        <v>445</v>
      </c>
      <c r="L218" s="42" t="str">
        <f aca="false">C218&amp;"_"&amp;B218&amp;"_"&amp;IF(I218="Reel","R",IF(I218="Carousel","C","I"))&amp;"_"&amp;J218&amp;"_"&amp;IF(K218="AI tự động","AI","HU")&amp;"_"&amp;RIGHT(A218,3)</f>
        <v>P5_EXP1_I_A_AI_036</v>
      </c>
      <c r="M218" s="45"/>
      <c r="N218" s="45"/>
      <c r="O218" s="46"/>
      <c r="P218" s="46"/>
      <c r="Q218" s="46"/>
      <c r="R218" s="47"/>
      <c r="S218" s="45"/>
      <c r="T218" s="45"/>
      <c r="U218" s="48" t="str">
        <f aca="false">IF(O218&gt;0,P218/O218,"")</f>
        <v/>
      </c>
      <c r="V218" s="49" t="str">
        <f aca="false">IF(P218&gt;0,Q218/P218,"")</f>
        <v/>
      </c>
      <c r="W218" s="50" t="n">
        <f aca="false">IF(R218&lt;&gt;"",R218,Q218*'Cài đặt'!$B$12)</f>
        <v>0</v>
      </c>
      <c r="X218" s="50" t="str">
        <f aca="false">IF(O218&gt;0,W218/O218*1000,"")</f>
        <v/>
      </c>
      <c r="Y218" s="51" t="n">
        <f aca="false">IF(T218&lt;&gt;"",T218,INDEX('Cài đặt'!$B$20:$C$22,MATCH(I218,'Cài đặt'!$A$20:$A$22,0),IF(K218="AI tự động",1,2)))</f>
        <v>2</v>
      </c>
    </row>
    <row r="219" customFormat="false" ht="15" hidden="false" customHeight="false" outlineLevel="0" collapsed="false">
      <c r="A219" s="41" t="s">
        <v>664</v>
      </c>
      <c r="B219" s="41" t="s">
        <v>443</v>
      </c>
      <c r="C219" s="41" t="s">
        <v>193</v>
      </c>
      <c r="D219" s="42" t="str">
        <f aca="false">INDEX('Page và Ngách'!$B$5:$B$10,MATCH(C219,'Page và Ngách'!$A$5:$A$10,0))</f>
        <v>Second chance / Secret baby</v>
      </c>
      <c r="E219" s="41" t="n">
        <v>18</v>
      </c>
      <c r="F219" s="43" t="n">
        <f aca="false">'Cài đặt'!$B$37+E219-1</f>
        <v>46352</v>
      </c>
      <c r="G219" s="41" t="s">
        <v>444</v>
      </c>
      <c r="H219" s="44" t="str">
        <f aca="false">IF(G219="S1",'Cài đặt'!$B$7,'Cài đặt'!$B$8)</f>
        <v>12:00</v>
      </c>
      <c r="I219" s="41" t="s">
        <v>111</v>
      </c>
      <c r="J219" s="41" t="s">
        <v>132</v>
      </c>
      <c r="K219" s="41" t="s">
        <v>445</v>
      </c>
      <c r="L219" s="42" t="str">
        <f aca="false">C219&amp;"_"&amp;B219&amp;"_"&amp;IF(I219="Reel","R",IF(I219="Carousel","C","I"))&amp;"_"&amp;J219&amp;"_"&amp;IF(K219="AI tự động","AI","HU")&amp;"_"&amp;RIGHT(A219,3)</f>
        <v>P6_EXP1_I_A_AI_035</v>
      </c>
      <c r="M219" s="45"/>
      <c r="N219" s="45"/>
      <c r="O219" s="46"/>
      <c r="P219" s="46"/>
      <c r="Q219" s="46"/>
      <c r="R219" s="47"/>
      <c r="S219" s="45"/>
      <c r="T219" s="45"/>
      <c r="U219" s="48" t="str">
        <f aca="false">IF(O219&gt;0,P219/O219,"")</f>
        <v/>
      </c>
      <c r="V219" s="49" t="str">
        <f aca="false">IF(P219&gt;0,Q219/P219,"")</f>
        <v/>
      </c>
      <c r="W219" s="50" t="n">
        <f aca="false">IF(R219&lt;&gt;"",R219,Q219*'Cài đặt'!$B$12)</f>
        <v>0</v>
      </c>
      <c r="X219" s="50" t="str">
        <f aca="false">IF(O219&gt;0,W219/O219*1000,"")</f>
        <v/>
      </c>
      <c r="Y219" s="51" t="n">
        <f aca="false">IF(T219&lt;&gt;"",T219,INDEX('Cài đặt'!$B$20:$C$22,MATCH(I219,'Cài đặt'!$A$20:$A$22,0),IF(K219="AI tự động",1,2)))</f>
        <v>2</v>
      </c>
    </row>
    <row r="220" customFormat="false" ht="15" hidden="false" customHeight="false" outlineLevel="0" collapsed="false">
      <c r="A220" s="41" t="s">
        <v>665</v>
      </c>
      <c r="B220" s="41" t="s">
        <v>443</v>
      </c>
      <c r="C220" s="41" t="s">
        <v>193</v>
      </c>
      <c r="D220" s="42" t="str">
        <f aca="false">INDEX('Page và Ngách'!$B$5:$B$10,MATCH(C220,'Page và Ngách'!$A$5:$A$10,0))</f>
        <v>Second chance / Secret baby</v>
      </c>
      <c r="E220" s="41" t="n">
        <v>18</v>
      </c>
      <c r="F220" s="43" t="n">
        <f aca="false">'Cài đặt'!$B$37+E220-1</f>
        <v>46352</v>
      </c>
      <c r="G220" s="41" t="s">
        <v>451</v>
      </c>
      <c r="H220" s="44" t="str">
        <f aca="false">IF(G220="S1",'Cài đặt'!$B$7,'Cài đặt'!$B$8)</f>
        <v>20:00</v>
      </c>
      <c r="I220" s="41" t="s">
        <v>113</v>
      </c>
      <c r="J220" s="41" t="s">
        <v>132</v>
      </c>
      <c r="K220" s="41" t="s">
        <v>445</v>
      </c>
      <c r="L220" s="42" t="str">
        <f aca="false">C220&amp;"_"&amp;B220&amp;"_"&amp;IF(I220="Reel","R",IF(I220="Carousel","C","I"))&amp;"_"&amp;J220&amp;"_"&amp;IF(K220="AI tự động","AI","HU")&amp;"_"&amp;RIGHT(A220,3)</f>
        <v>P6_EXP1_C_A_AI_036</v>
      </c>
      <c r="M220" s="45"/>
      <c r="N220" s="45"/>
      <c r="O220" s="46"/>
      <c r="P220" s="46"/>
      <c r="Q220" s="46"/>
      <c r="R220" s="47"/>
      <c r="S220" s="45"/>
      <c r="T220" s="45"/>
      <c r="U220" s="48" t="str">
        <f aca="false">IF(O220&gt;0,P220/O220,"")</f>
        <v/>
      </c>
      <c r="V220" s="49" t="str">
        <f aca="false">IF(P220&gt;0,Q220/P220,"")</f>
        <v/>
      </c>
      <c r="W220" s="50" t="n">
        <f aca="false">IF(R220&lt;&gt;"",R220,Q220*'Cài đặt'!$B$12)</f>
        <v>0</v>
      </c>
      <c r="X220" s="50" t="str">
        <f aca="false">IF(O220&gt;0,W220/O220*1000,"")</f>
        <v/>
      </c>
      <c r="Y220" s="51" t="n">
        <f aca="false">IF(T220&lt;&gt;"",T220,INDEX('Cài đặt'!$B$20:$C$22,MATCH(I220,'Cài đặt'!$A$20:$A$22,0),IF(K220="AI tự động",1,2)))</f>
        <v>4</v>
      </c>
    </row>
    <row r="221" customFormat="false" ht="15" hidden="false" customHeight="false" outlineLevel="0" collapsed="false">
      <c r="A221" s="41" t="s">
        <v>666</v>
      </c>
      <c r="B221" s="41" t="s">
        <v>443</v>
      </c>
      <c r="C221" s="41" t="s">
        <v>154</v>
      </c>
      <c r="D221" s="42" t="str">
        <f aca="false">INDEX('Page và Ngách'!$B$5:$B$10,MATCH(C221,'Page và Ngách'!$A$5:$A$10,0))</f>
        <v>Werewolf / Rejected mate</v>
      </c>
      <c r="E221" s="41" t="n">
        <v>19</v>
      </c>
      <c r="F221" s="43" t="n">
        <f aca="false">'Cài đặt'!$B$37+E221-1</f>
        <v>46353</v>
      </c>
      <c r="G221" s="41" t="s">
        <v>444</v>
      </c>
      <c r="H221" s="44" t="str">
        <f aca="false">IF(G221="S1",'Cài đặt'!$B$7,'Cài đặt'!$B$8)</f>
        <v>12:00</v>
      </c>
      <c r="I221" s="41" t="s">
        <v>111</v>
      </c>
      <c r="J221" s="41" t="s">
        <v>132</v>
      </c>
      <c r="K221" s="41" t="s">
        <v>445</v>
      </c>
      <c r="L221" s="42" t="str">
        <f aca="false">C221&amp;"_"&amp;B221&amp;"_"&amp;IF(I221="Reel","R",IF(I221="Carousel","C","I"))&amp;"_"&amp;J221&amp;"_"&amp;IF(K221="AI tự động","AI","HU")&amp;"_"&amp;RIGHT(A221,3)</f>
        <v>P1_EXP1_I_A_AI_037</v>
      </c>
      <c r="M221" s="45"/>
      <c r="N221" s="45"/>
      <c r="O221" s="46"/>
      <c r="P221" s="46"/>
      <c r="Q221" s="46"/>
      <c r="R221" s="47"/>
      <c r="S221" s="45"/>
      <c r="T221" s="45"/>
      <c r="U221" s="48" t="str">
        <f aca="false">IF(O221&gt;0,P221/O221,"")</f>
        <v/>
      </c>
      <c r="V221" s="49" t="str">
        <f aca="false">IF(P221&gt;0,Q221/P221,"")</f>
        <v/>
      </c>
      <c r="W221" s="50" t="n">
        <f aca="false">IF(R221&lt;&gt;"",R221,Q221*'Cài đặt'!$B$12)</f>
        <v>0</v>
      </c>
      <c r="X221" s="50" t="str">
        <f aca="false">IF(O221&gt;0,W221/O221*1000,"")</f>
        <v/>
      </c>
      <c r="Y221" s="51" t="n">
        <f aca="false">IF(T221&lt;&gt;"",T221,INDEX('Cài đặt'!$B$20:$C$22,MATCH(I221,'Cài đặt'!$A$20:$A$22,0),IF(K221="AI tự động",1,2)))</f>
        <v>2</v>
      </c>
    </row>
    <row r="222" customFormat="false" ht="15" hidden="false" customHeight="false" outlineLevel="0" collapsed="false">
      <c r="A222" s="41" t="s">
        <v>667</v>
      </c>
      <c r="B222" s="41" t="s">
        <v>443</v>
      </c>
      <c r="C222" s="41" t="s">
        <v>154</v>
      </c>
      <c r="D222" s="42" t="str">
        <f aca="false">INDEX('Page và Ngách'!$B$5:$B$10,MATCH(C222,'Page và Ngách'!$A$5:$A$10,0))</f>
        <v>Werewolf / Rejected mate</v>
      </c>
      <c r="E222" s="41" t="n">
        <v>19</v>
      </c>
      <c r="F222" s="43" t="n">
        <f aca="false">'Cài đặt'!$B$37+E222-1</f>
        <v>46353</v>
      </c>
      <c r="G222" s="41" t="s">
        <v>451</v>
      </c>
      <c r="H222" s="44" t="str">
        <f aca="false">IF(G222="S1",'Cài đặt'!$B$7,'Cài đặt'!$B$8)</f>
        <v>20:00</v>
      </c>
      <c r="I222" s="41" t="s">
        <v>113</v>
      </c>
      <c r="J222" s="41" t="s">
        <v>132</v>
      </c>
      <c r="K222" s="41" t="s">
        <v>445</v>
      </c>
      <c r="L222" s="42" t="str">
        <f aca="false">C222&amp;"_"&amp;B222&amp;"_"&amp;IF(I222="Reel","R",IF(I222="Carousel","C","I"))&amp;"_"&amp;J222&amp;"_"&amp;IF(K222="AI tự động","AI","HU")&amp;"_"&amp;RIGHT(A222,3)</f>
        <v>P1_EXP1_C_A_AI_038</v>
      </c>
      <c r="M222" s="45"/>
      <c r="N222" s="45"/>
      <c r="O222" s="46"/>
      <c r="P222" s="46"/>
      <c r="Q222" s="46"/>
      <c r="R222" s="47"/>
      <c r="S222" s="45"/>
      <c r="T222" s="45"/>
      <c r="U222" s="48" t="str">
        <f aca="false">IF(O222&gt;0,P222/O222,"")</f>
        <v/>
      </c>
      <c r="V222" s="49" t="str">
        <f aca="false">IF(P222&gt;0,Q222/P222,"")</f>
        <v/>
      </c>
      <c r="W222" s="50" t="n">
        <f aca="false">IF(R222&lt;&gt;"",R222,Q222*'Cài đặt'!$B$12)</f>
        <v>0</v>
      </c>
      <c r="X222" s="50" t="str">
        <f aca="false">IF(O222&gt;0,W222/O222*1000,"")</f>
        <v/>
      </c>
      <c r="Y222" s="51" t="n">
        <f aca="false">IF(T222&lt;&gt;"",T222,INDEX('Cài đặt'!$B$20:$C$22,MATCH(I222,'Cài đặt'!$A$20:$A$22,0),IF(K222="AI tự động",1,2)))</f>
        <v>4</v>
      </c>
    </row>
    <row r="223" customFormat="false" ht="15" hidden="false" customHeight="false" outlineLevel="0" collapsed="false">
      <c r="A223" s="41" t="s">
        <v>668</v>
      </c>
      <c r="B223" s="41" t="s">
        <v>443</v>
      </c>
      <c r="C223" s="41" t="s">
        <v>163</v>
      </c>
      <c r="D223" s="42" t="str">
        <f aca="false">INDEX('Page và Ngách'!$B$5:$B$10,MATCH(C223,'Page và Ngách'!$A$5:$A$10,0))</f>
        <v>Secret billionaire / CEO</v>
      </c>
      <c r="E223" s="41" t="n">
        <v>19</v>
      </c>
      <c r="F223" s="43" t="n">
        <f aca="false">'Cài đặt'!$B$37+E223-1</f>
        <v>46353</v>
      </c>
      <c r="G223" s="41" t="s">
        <v>444</v>
      </c>
      <c r="H223" s="44" t="str">
        <f aca="false">IF(G223="S1",'Cài đặt'!$B$7,'Cài đặt'!$B$8)</f>
        <v>12:00</v>
      </c>
      <c r="I223" s="41" t="s">
        <v>113</v>
      </c>
      <c r="J223" s="41" t="s">
        <v>132</v>
      </c>
      <c r="K223" s="41" t="s">
        <v>445</v>
      </c>
      <c r="L223" s="42" t="str">
        <f aca="false">C223&amp;"_"&amp;B223&amp;"_"&amp;IF(I223="Reel","R",IF(I223="Carousel","C","I"))&amp;"_"&amp;J223&amp;"_"&amp;IF(K223="AI tự động","AI","HU")&amp;"_"&amp;RIGHT(A223,3)</f>
        <v>P2_EXP1_C_A_AI_037</v>
      </c>
      <c r="M223" s="45"/>
      <c r="N223" s="45"/>
      <c r="O223" s="46"/>
      <c r="P223" s="46"/>
      <c r="Q223" s="46"/>
      <c r="R223" s="47"/>
      <c r="S223" s="45"/>
      <c r="T223" s="45"/>
      <c r="U223" s="48" t="str">
        <f aca="false">IF(O223&gt;0,P223/O223,"")</f>
        <v/>
      </c>
      <c r="V223" s="49" t="str">
        <f aca="false">IF(P223&gt;0,Q223/P223,"")</f>
        <v/>
      </c>
      <c r="W223" s="50" t="n">
        <f aca="false">IF(R223&lt;&gt;"",R223,Q223*'Cài đặt'!$B$12)</f>
        <v>0</v>
      </c>
      <c r="X223" s="50" t="str">
        <f aca="false">IF(O223&gt;0,W223/O223*1000,"")</f>
        <v/>
      </c>
      <c r="Y223" s="51" t="n">
        <f aca="false">IF(T223&lt;&gt;"",T223,INDEX('Cài đặt'!$B$20:$C$22,MATCH(I223,'Cài đặt'!$A$20:$A$22,0),IF(K223="AI tự động",1,2)))</f>
        <v>4</v>
      </c>
    </row>
    <row r="224" customFormat="false" ht="15" hidden="false" customHeight="false" outlineLevel="0" collapsed="false">
      <c r="A224" s="41" t="s">
        <v>669</v>
      </c>
      <c r="B224" s="41" t="s">
        <v>443</v>
      </c>
      <c r="C224" s="41" t="s">
        <v>163</v>
      </c>
      <c r="D224" s="42" t="str">
        <f aca="false">INDEX('Page và Ngách'!$B$5:$B$10,MATCH(C224,'Page và Ngách'!$A$5:$A$10,0))</f>
        <v>Secret billionaire / CEO</v>
      </c>
      <c r="E224" s="41" t="n">
        <v>19</v>
      </c>
      <c r="F224" s="43" t="n">
        <f aca="false">'Cài đặt'!$B$37+E224-1</f>
        <v>46353</v>
      </c>
      <c r="G224" s="41" t="s">
        <v>451</v>
      </c>
      <c r="H224" s="44" t="str">
        <f aca="false">IF(G224="S1",'Cài đặt'!$B$7,'Cài đặt'!$B$8)</f>
        <v>20:00</v>
      </c>
      <c r="I224" s="41" t="s">
        <v>115</v>
      </c>
      <c r="J224" s="41" t="s">
        <v>132</v>
      </c>
      <c r="K224" s="41" t="s">
        <v>445</v>
      </c>
      <c r="L224" s="42" t="str">
        <f aca="false">C224&amp;"_"&amp;B224&amp;"_"&amp;IF(I224="Reel","R",IF(I224="Carousel","C","I"))&amp;"_"&amp;J224&amp;"_"&amp;IF(K224="AI tự động","AI","HU")&amp;"_"&amp;RIGHT(A224,3)</f>
        <v>P2_EXP1_R_A_AI_038</v>
      </c>
      <c r="M224" s="45"/>
      <c r="N224" s="45"/>
      <c r="O224" s="46"/>
      <c r="P224" s="46"/>
      <c r="Q224" s="46"/>
      <c r="R224" s="47"/>
      <c r="S224" s="45"/>
      <c r="T224" s="45"/>
      <c r="U224" s="48" t="str">
        <f aca="false">IF(O224&gt;0,P224/O224,"")</f>
        <v/>
      </c>
      <c r="V224" s="49" t="str">
        <f aca="false">IF(P224&gt;0,Q224/P224,"")</f>
        <v/>
      </c>
      <c r="W224" s="50" t="n">
        <f aca="false">IF(R224&lt;&gt;"",R224,Q224*'Cài đặt'!$B$12)</f>
        <v>0</v>
      </c>
      <c r="X224" s="50" t="str">
        <f aca="false">IF(O224&gt;0,W224/O224*1000,"")</f>
        <v/>
      </c>
      <c r="Y224" s="51" t="n">
        <f aca="false">IF(T224&lt;&gt;"",T224,INDEX('Cài đặt'!$B$20:$C$22,MATCH(I224,'Cài đặt'!$A$20:$A$22,0),IF(K224="AI tự động",1,2)))</f>
        <v>8</v>
      </c>
    </row>
    <row r="225" customFormat="false" ht="15" hidden="false" customHeight="false" outlineLevel="0" collapsed="false">
      <c r="A225" s="41" t="s">
        <v>670</v>
      </c>
      <c r="B225" s="41" t="s">
        <v>443</v>
      </c>
      <c r="C225" s="41" t="s">
        <v>171</v>
      </c>
      <c r="D225" s="42" t="str">
        <f aca="false">INDEX('Page và Ngách'!$B$5:$B$10,MATCH(C225,'Page và Ngách'!$A$5:$A$10,0))</f>
        <v>Contract marriage / Fake relationship</v>
      </c>
      <c r="E225" s="41" t="n">
        <v>19</v>
      </c>
      <c r="F225" s="43" t="n">
        <f aca="false">'Cài đặt'!$B$37+E225-1</f>
        <v>46353</v>
      </c>
      <c r="G225" s="41" t="s">
        <v>444</v>
      </c>
      <c r="H225" s="44" t="str">
        <f aca="false">IF(G225="S1",'Cài đặt'!$B$7,'Cài đặt'!$B$8)</f>
        <v>12:00</v>
      </c>
      <c r="I225" s="41" t="s">
        <v>115</v>
      </c>
      <c r="J225" s="41" t="s">
        <v>132</v>
      </c>
      <c r="K225" s="41" t="s">
        <v>445</v>
      </c>
      <c r="L225" s="42" t="str">
        <f aca="false">C225&amp;"_"&amp;B225&amp;"_"&amp;IF(I225="Reel","R",IF(I225="Carousel","C","I"))&amp;"_"&amp;J225&amp;"_"&amp;IF(K225="AI tự động","AI","HU")&amp;"_"&amp;RIGHT(A225,3)</f>
        <v>P3_EXP1_R_A_AI_037</v>
      </c>
      <c r="M225" s="45"/>
      <c r="N225" s="45"/>
      <c r="O225" s="46"/>
      <c r="P225" s="46"/>
      <c r="Q225" s="46"/>
      <c r="R225" s="47"/>
      <c r="S225" s="45"/>
      <c r="T225" s="45"/>
      <c r="U225" s="48" t="str">
        <f aca="false">IF(O225&gt;0,P225/O225,"")</f>
        <v/>
      </c>
      <c r="V225" s="49" t="str">
        <f aca="false">IF(P225&gt;0,Q225/P225,"")</f>
        <v/>
      </c>
      <c r="W225" s="50" t="n">
        <f aca="false">IF(R225&lt;&gt;"",R225,Q225*'Cài đặt'!$B$12)</f>
        <v>0</v>
      </c>
      <c r="X225" s="50" t="str">
        <f aca="false">IF(O225&gt;0,W225/O225*1000,"")</f>
        <v/>
      </c>
      <c r="Y225" s="51" t="n">
        <f aca="false">IF(T225&lt;&gt;"",T225,INDEX('Cài đặt'!$B$20:$C$22,MATCH(I225,'Cài đặt'!$A$20:$A$22,0),IF(K225="AI tự động",1,2)))</f>
        <v>8</v>
      </c>
    </row>
    <row r="226" customFormat="false" ht="15" hidden="false" customHeight="false" outlineLevel="0" collapsed="false">
      <c r="A226" s="41" t="s">
        <v>671</v>
      </c>
      <c r="B226" s="41" t="s">
        <v>443</v>
      </c>
      <c r="C226" s="41" t="s">
        <v>171</v>
      </c>
      <c r="D226" s="42" t="str">
        <f aca="false">INDEX('Page và Ngách'!$B$5:$B$10,MATCH(C226,'Page và Ngách'!$A$5:$A$10,0))</f>
        <v>Contract marriage / Fake relationship</v>
      </c>
      <c r="E226" s="41" t="n">
        <v>19</v>
      </c>
      <c r="F226" s="43" t="n">
        <f aca="false">'Cài đặt'!$B$37+E226-1</f>
        <v>46353</v>
      </c>
      <c r="G226" s="41" t="s">
        <v>451</v>
      </c>
      <c r="H226" s="44" t="str">
        <f aca="false">IF(G226="S1",'Cài đặt'!$B$7,'Cài đặt'!$B$8)</f>
        <v>20:00</v>
      </c>
      <c r="I226" s="41" t="s">
        <v>111</v>
      </c>
      <c r="J226" s="41" t="s">
        <v>132</v>
      </c>
      <c r="K226" s="41" t="s">
        <v>445</v>
      </c>
      <c r="L226" s="42" t="str">
        <f aca="false">C226&amp;"_"&amp;B226&amp;"_"&amp;IF(I226="Reel","R",IF(I226="Carousel","C","I"))&amp;"_"&amp;J226&amp;"_"&amp;IF(K226="AI tự động","AI","HU")&amp;"_"&amp;RIGHT(A226,3)</f>
        <v>P3_EXP1_I_A_AI_038</v>
      </c>
      <c r="M226" s="45"/>
      <c r="N226" s="45"/>
      <c r="O226" s="46"/>
      <c r="P226" s="46"/>
      <c r="Q226" s="46"/>
      <c r="R226" s="47"/>
      <c r="S226" s="45"/>
      <c r="T226" s="45"/>
      <c r="U226" s="48" t="str">
        <f aca="false">IF(O226&gt;0,P226/O226,"")</f>
        <v/>
      </c>
      <c r="V226" s="49" t="str">
        <f aca="false">IF(P226&gt;0,Q226/P226,"")</f>
        <v/>
      </c>
      <c r="W226" s="50" t="n">
        <f aca="false">IF(R226&lt;&gt;"",R226,Q226*'Cài đặt'!$B$12)</f>
        <v>0</v>
      </c>
      <c r="X226" s="50" t="str">
        <f aca="false">IF(O226&gt;0,W226/O226*1000,"")</f>
        <v/>
      </c>
      <c r="Y226" s="51" t="n">
        <f aca="false">IF(T226&lt;&gt;"",T226,INDEX('Cài đặt'!$B$20:$C$22,MATCH(I226,'Cài đặt'!$A$20:$A$22,0),IF(K226="AI tự động",1,2)))</f>
        <v>2</v>
      </c>
    </row>
    <row r="227" customFormat="false" ht="15" hidden="false" customHeight="false" outlineLevel="0" collapsed="false">
      <c r="A227" s="41" t="s">
        <v>672</v>
      </c>
      <c r="B227" s="41" t="s">
        <v>443</v>
      </c>
      <c r="C227" s="41" t="s">
        <v>178</v>
      </c>
      <c r="D227" s="42" t="str">
        <f aca="false">INDEX('Page và Ngách'!$B$5:$B$10,MATCH(C227,'Page và Ngách'!$A$5:$A$10,0))</f>
        <v>Revenge / Betrayal ("you'll regret it")</v>
      </c>
      <c r="E227" s="41" t="n">
        <v>19</v>
      </c>
      <c r="F227" s="43" t="n">
        <f aca="false">'Cài đặt'!$B$37+E227-1</f>
        <v>46353</v>
      </c>
      <c r="G227" s="41" t="s">
        <v>444</v>
      </c>
      <c r="H227" s="44" t="str">
        <f aca="false">IF(G227="S1",'Cài đặt'!$B$7,'Cài đặt'!$B$8)</f>
        <v>12:00</v>
      </c>
      <c r="I227" s="41" t="s">
        <v>111</v>
      </c>
      <c r="J227" s="41" t="s">
        <v>132</v>
      </c>
      <c r="K227" s="41" t="s">
        <v>445</v>
      </c>
      <c r="L227" s="42" t="str">
        <f aca="false">C227&amp;"_"&amp;B227&amp;"_"&amp;IF(I227="Reel","R",IF(I227="Carousel","C","I"))&amp;"_"&amp;J227&amp;"_"&amp;IF(K227="AI tự động","AI","HU")&amp;"_"&amp;RIGHT(A227,3)</f>
        <v>P4_EXP1_I_A_AI_037</v>
      </c>
      <c r="M227" s="45"/>
      <c r="N227" s="45"/>
      <c r="O227" s="46"/>
      <c r="P227" s="46"/>
      <c r="Q227" s="46"/>
      <c r="R227" s="47"/>
      <c r="S227" s="45"/>
      <c r="T227" s="45"/>
      <c r="U227" s="48" t="str">
        <f aca="false">IF(O227&gt;0,P227/O227,"")</f>
        <v/>
      </c>
      <c r="V227" s="49" t="str">
        <f aca="false">IF(P227&gt;0,Q227/P227,"")</f>
        <v/>
      </c>
      <c r="W227" s="50" t="n">
        <f aca="false">IF(R227&lt;&gt;"",R227,Q227*'Cài đặt'!$B$12)</f>
        <v>0</v>
      </c>
      <c r="X227" s="50" t="str">
        <f aca="false">IF(O227&gt;0,W227/O227*1000,"")</f>
        <v/>
      </c>
      <c r="Y227" s="51" t="n">
        <f aca="false">IF(T227&lt;&gt;"",T227,INDEX('Cài đặt'!$B$20:$C$22,MATCH(I227,'Cài đặt'!$A$20:$A$22,0),IF(K227="AI tự động",1,2)))</f>
        <v>2</v>
      </c>
    </row>
    <row r="228" customFormat="false" ht="15" hidden="false" customHeight="false" outlineLevel="0" collapsed="false">
      <c r="A228" s="41" t="s">
        <v>673</v>
      </c>
      <c r="B228" s="41" t="s">
        <v>443</v>
      </c>
      <c r="C228" s="41" t="s">
        <v>178</v>
      </c>
      <c r="D228" s="42" t="str">
        <f aca="false">INDEX('Page và Ngách'!$B$5:$B$10,MATCH(C228,'Page và Ngách'!$A$5:$A$10,0))</f>
        <v>Revenge / Betrayal ("you'll regret it")</v>
      </c>
      <c r="E228" s="41" t="n">
        <v>19</v>
      </c>
      <c r="F228" s="43" t="n">
        <f aca="false">'Cài đặt'!$B$37+E228-1</f>
        <v>46353</v>
      </c>
      <c r="G228" s="41" t="s">
        <v>451</v>
      </c>
      <c r="H228" s="44" t="str">
        <f aca="false">IF(G228="S1",'Cài đặt'!$B$7,'Cài đặt'!$B$8)</f>
        <v>20:00</v>
      </c>
      <c r="I228" s="41" t="s">
        <v>113</v>
      </c>
      <c r="J228" s="41" t="s">
        <v>132</v>
      </c>
      <c r="K228" s="41" t="s">
        <v>445</v>
      </c>
      <c r="L228" s="42" t="str">
        <f aca="false">C228&amp;"_"&amp;B228&amp;"_"&amp;IF(I228="Reel","R",IF(I228="Carousel","C","I"))&amp;"_"&amp;J228&amp;"_"&amp;IF(K228="AI tự động","AI","HU")&amp;"_"&amp;RIGHT(A228,3)</f>
        <v>P4_EXP1_C_A_AI_038</v>
      </c>
      <c r="M228" s="45"/>
      <c r="N228" s="45"/>
      <c r="O228" s="46"/>
      <c r="P228" s="46"/>
      <c r="Q228" s="46"/>
      <c r="R228" s="47"/>
      <c r="S228" s="45"/>
      <c r="T228" s="45"/>
      <c r="U228" s="48" t="str">
        <f aca="false">IF(O228&gt;0,P228/O228,"")</f>
        <v/>
      </c>
      <c r="V228" s="49" t="str">
        <f aca="false">IF(P228&gt;0,Q228/P228,"")</f>
        <v/>
      </c>
      <c r="W228" s="50" t="n">
        <f aca="false">IF(R228&lt;&gt;"",R228,Q228*'Cài đặt'!$B$12)</f>
        <v>0</v>
      </c>
      <c r="X228" s="50" t="str">
        <f aca="false">IF(O228&gt;0,W228/O228*1000,"")</f>
        <v/>
      </c>
      <c r="Y228" s="51" t="n">
        <f aca="false">IF(T228&lt;&gt;"",T228,INDEX('Cài đặt'!$B$20:$C$22,MATCH(I228,'Cài đặt'!$A$20:$A$22,0),IF(K228="AI tự động",1,2)))</f>
        <v>4</v>
      </c>
    </row>
    <row r="229" customFormat="false" ht="15" hidden="false" customHeight="false" outlineLevel="0" collapsed="false">
      <c r="A229" s="41" t="s">
        <v>674</v>
      </c>
      <c r="B229" s="41" t="s">
        <v>443</v>
      </c>
      <c r="C229" s="41" t="s">
        <v>185</v>
      </c>
      <c r="D229" s="42" t="str">
        <f aca="false">INDEX('Page và Ngách'!$B$5:$B$10,MATCH(C229,'Page và Ngách'!$A$5:$A$10,0))</f>
        <v>Mafia / Dark romance (teaser PG-13)</v>
      </c>
      <c r="E229" s="41" t="n">
        <v>19</v>
      </c>
      <c r="F229" s="43" t="n">
        <f aca="false">'Cài đặt'!$B$37+E229-1</f>
        <v>46353</v>
      </c>
      <c r="G229" s="41" t="s">
        <v>444</v>
      </c>
      <c r="H229" s="44" t="str">
        <f aca="false">IF(G229="S1",'Cài đặt'!$B$7,'Cài đặt'!$B$8)</f>
        <v>12:00</v>
      </c>
      <c r="I229" s="41" t="s">
        <v>113</v>
      </c>
      <c r="J229" s="41" t="s">
        <v>132</v>
      </c>
      <c r="K229" s="41" t="s">
        <v>445</v>
      </c>
      <c r="L229" s="42" t="str">
        <f aca="false">C229&amp;"_"&amp;B229&amp;"_"&amp;IF(I229="Reel","R",IF(I229="Carousel","C","I"))&amp;"_"&amp;J229&amp;"_"&amp;IF(K229="AI tự động","AI","HU")&amp;"_"&amp;RIGHT(A229,3)</f>
        <v>P5_EXP1_C_A_AI_037</v>
      </c>
      <c r="M229" s="45"/>
      <c r="N229" s="45"/>
      <c r="O229" s="46"/>
      <c r="P229" s="46"/>
      <c r="Q229" s="46"/>
      <c r="R229" s="47"/>
      <c r="S229" s="45"/>
      <c r="T229" s="45"/>
      <c r="U229" s="48" t="str">
        <f aca="false">IF(O229&gt;0,P229/O229,"")</f>
        <v/>
      </c>
      <c r="V229" s="49" t="str">
        <f aca="false">IF(P229&gt;0,Q229/P229,"")</f>
        <v/>
      </c>
      <c r="W229" s="50" t="n">
        <f aca="false">IF(R229&lt;&gt;"",R229,Q229*'Cài đặt'!$B$12)</f>
        <v>0</v>
      </c>
      <c r="X229" s="50" t="str">
        <f aca="false">IF(O229&gt;0,W229/O229*1000,"")</f>
        <v/>
      </c>
      <c r="Y229" s="51" t="n">
        <f aca="false">IF(T229&lt;&gt;"",T229,INDEX('Cài đặt'!$B$20:$C$22,MATCH(I229,'Cài đặt'!$A$20:$A$22,0),IF(K229="AI tự động",1,2)))</f>
        <v>4</v>
      </c>
    </row>
    <row r="230" customFormat="false" ht="15" hidden="false" customHeight="false" outlineLevel="0" collapsed="false">
      <c r="A230" s="41" t="s">
        <v>675</v>
      </c>
      <c r="B230" s="41" t="s">
        <v>443</v>
      </c>
      <c r="C230" s="41" t="s">
        <v>185</v>
      </c>
      <c r="D230" s="42" t="str">
        <f aca="false">INDEX('Page và Ngách'!$B$5:$B$10,MATCH(C230,'Page và Ngách'!$A$5:$A$10,0))</f>
        <v>Mafia / Dark romance (teaser PG-13)</v>
      </c>
      <c r="E230" s="41" t="n">
        <v>19</v>
      </c>
      <c r="F230" s="43" t="n">
        <f aca="false">'Cài đặt'!$B$37+E230-1</f>
        <v>46353</v>
      </c>
      <c r="G230" s="41" t="s">
        <v>451</v>
      </c>
      <c r="H230" s="44" t="str">
        <f aca="false">IF(G230="S1",'Cài đặt'!$B$7,'Cài đặt'!$B$8)</f>
        <v>20:00</v>
      </c>
      <c r="I230" s="41" t="s">
        <v>115</v>
      </c>
      <c r="J230" s="41" t="s">
        <v>132</v>
      </c>
      <c r="K230" s="41" t="s">
        <v>445</v>
      </c>
      <c r="L230" s="42" t="str">
        <f aca="false">C230&amp;"_"&amp;B230&amp;"_"&amp;IF(I230="Reel","R",IF(I230="Carousel","C","I"))&amp;"_"&amp;J230&amp;"_"&amp;IF(K230="AI tự động","AI","HU")&amp;"_"&amp;RIGHT(A230,3)</f>
        <v>P5_EXP1_R_A_AI_038</v>
      </c>
      <c r="M230" s="45"/>
      <c r="N230" s="45"/>
      <c r="O230" s="46"/>
      <c r="P230" s="46"/>
      <c r="Q230" s="46"/>
      <c r="R230" s="47"/>
      <c r="S230" s="45"/>
      <c r="T230" s="45"/>
      <c r="U230" s="48" t="str">
        <f aca="false">IF(O230&gt;0,P230/O230,"")</f>
        <v/>
      </c>
      <c r="V230" s="49" t="str">
        <f aca="false">IF(P230&gt;0,Q230/P230,"")</f>
        <v/>
      </c>
      <c r="W230" s="50" t="n">
        <f aca="false">IF(R230&lt;&gt;"",R230,Q230*'Cài đặt'!$B$12)</f>
        <v>0</v>
      </c>
      <c r="X230" s="50" t="str">
        <f aca="false">IF(O230&gt;0,W230/O230*1000,"")</f>
        <v/>
      </c>
      <c r="Y230" s="51" t="n">
        <f aca="false">IF(T230&lt;&gt;"",T230,INDEX('Cài đặt'!$B$20:$C$22,MATCH(I230,'Cài đặt'!$A$20:$A$22,0),IF(K230="AI tự động",1,2)))</f>
        <v>8</v>
      </c>
    </row>
    <row r="231" customFormat="false" ht="15" hidden="false" customHeight="false" outlineLevel="0" collapsed="false">
      <c r="A231" s="41" t="s">
        <v>676</v>
      </c>
      <c r="B231" s="41" t="s">
        <v>443</v>
      </c>
      <c r="C231" s="41" t="s">
        <v>193</v>
      </c>
      <c r="D231" s="42" t="str">
        <f aca="false">INDEX('Page và Ngách'!$B$5:$B$10,MATCH(C231,'Page và Ngách'!$A$5:$A$10,0))</f>
        <v>Second chance / Secret baby</v>
      </c>
      <c r="E231" s="41" t="n">
        <v>19</v>
      </c>
      <c r="F231" s="43" t="n">
        <f aca="false">'Cài đặt'!$B$37+E231-1</f>
        <v>46353</v>
      </c>
      <c r="G231" s="41" t="s">
        <v>444</v>
      </c>
      <c r="H231" s="44" t="str">
        <f aca="false">IF(G231="S1",'Cài đặt'!$B$7,'Cài đặt'!$B$8)</f>
        <v>12:00</v>
      </c>
      <c r="I231" s="41" t="s">
        <v>115</v>
      </c>
      <c r="J231" s="41" t="s">
        <v>132</v>
      </c>
      <c r="K231" s="41" t="s">
        <v>445</v>
      </c>
      <c r="L231" s="42" t="str">
        <f aca="false">C231&amp;"_"&amp;B231&amp;"_"&amp;IF(I231="Reel","R",IF(I231="Carousel","C","I"))&amp;"_"&amp;J231&amp;"_"&amp;IF(K231="AI tự động","AI","HU")&amp;"_"&amp;RIGHT(A231,3)</f>
        <v>P6_EXP1_R_A_AI_037</v>
      </c>
      <c r="M231" s="45"/>
      <c r="N231" s="45"/>
      <c r="O231" s="46"/>
      <c r="P231" s="46"/>
      <c r="Q231" s="46"/>
      <c r="R231" s="47"/>
      <c r="S231" s="45"/>
      <c r="T231" s="45"/>
      <c r="U231" s="48" t="str">
        <f aca="false">IF(O231&gt;0,P231/O231,"")</f>
        <v/>
      </c>
      <c r="V231" s="49" t="str">
        <f aca="false">IF(P231&gt;0,Q231/P231,"")</f>
        <v/>
      </c>
      <c r="W231" s="50" t="n">
        <f aca="false">IF(R231&lt;&gt;"",R231,Q231*'Cài đặt'!$B$12)</f>
        <v>0</v>
      </c>
      <c r="X231" s="50" t="str">
        <f aca="false">IF(O231&gt;0,W231/O231*1000,"")</f>
        <v/>
      </c>
      <c r="Y231" s="51" t="n">
        <f aca="false">IF(T231&lt;&gt;"",T231,INDEX('Cài đặt'!$B$20:$C$22,MATCH(I231,'Cài đặt'!$A$20:$A$22,0),IF(K231="AI tự động",1,2)))</f>
        <v>8</v>
      </c>
    </row>
    <row r="232" customFormat="false" ht="15" hidden="false" customHeight="false" outlineLevel="0" collapsed="false">
      <c r="A232" s="41" t="s">
        <v>677</v>
      </c>
      <c r="B232" s="41" t="s">
        <v>443</v>
      </c>
      <c r="C232" s="41" t="s">
        <v>193</v>
      </c>
      <c r="D232" s="42" t="str">
        <f aca="false">INDEX('Page và Ngách'!$B$5:$B$10,MATCH(C232,'Page và Ngách'!$A$5:$A$10,0))</f>
        <v>Second chance / Secret baby</v>
      </c>
      <c r="E232" s="41" t="n">
        <v>19</v>
      </c>
      <c r="F232" s="43" t="n">
        <f aca="false">'Cài đặt'!$B$37+E232-1</f>
        <v>46353</v>
      </c>
      <c r="G232" s="41" t="s">
        <v>451</v>
      </c>
      <c r="H232" s="44" t="str">
        <f aca="false">IF(G232="S1",'Cài đặt'!$B$7,'Cài đặt'!$B$8)</f>
        <v>20:00</v>
      </c>
      <c r="I232" s="41" t="s">
        <v>111</v>
      </c>
      <c r="J232" s="41" t="s">
        <v>132</v>
      </c>
      <c r="K232" s="41" t="s">
        <v>445</v>
      </c>
      <c r="L232" s="42" t="str">
        <f aca="false">C232&amp;"_"&amp;B232&amp;"_"&amp;IF(I232="Reel","R",IF(I232="Carousel","C","I"))&amp;"_"&amp;J232&amp;"_"&amp;IF(K232="AI tự động","AI","HU")&amp;"_"&amp;RIGHT(A232,3)</f>
        <v>P6_EXP1_I_A_AI_038</v>
      </c>
      <c r="M232" s="45"/>
      <c r="N232" s="45"/>
      <c r="O232" s="46"/>
      <c r="P232" s="46"/>
      <c r="Q232" s="46"/>
      <c r="R232" s="47"/>
      <c r="S232" s="45"/>
      <c r="T232" s="45"/>
      <c r="U232" s="48" t="str">
        <f aca="false">IF(O232&gt;0,P232/O232,"")</f>
        <v/>
      </c>
      <c r="V232" s="49" t="str">
        <f aca="false">IF(P232&gt;0,Q232/P232,"")</f>
        <v/>
      </c>
      <c r="W232" s="50" t="n">
        <f aca="false">IF(R232&lt;&gt;"",R232,Q232*'Cài đặt'!$B$12)</f>
        <v>0</v>
      </c>
      <c r="X232" s="50" t="str">
        <f aca="false">IF(O232&gt;0,W232/O232*1000,"")</f>
        <v/>
      </c>
      <c r="Y232" s="51" t="n">
        <f aca="false">IF(T232&lt;&gt;"",T232,INDEX('Cài đặt'!$B$20:$C$22,MATCH(I232,'Cài đặt'!$A$20:$A$22,0),IF(K232="AI tự động",1,2)))</f>
        <v>2</v>
      </c>
    </row>
    <row r="233" customFormat="false" ht="15" hidden="false" customHeight="false" outlineLevel="0" collapsed="false">
      <c r="A233" s="41" t="s">
        <v>678</v>
      </c>
      <c r="B233" s="41" t="s">
        <v>443</v>
      </c>
      <c r="C233" s="41" t="s">
        <v>154</v>
      </c>
      <c r="D233" s="42" t="str">
        <f aca="false">INDEX('Page và Ngách'!$B$5:$B$10,MATCH(C233,'Page và Ngách'!$A$5:$A$10,0))</f>
        <v>Werewolf / Rejected mate</v>
      </c>
      <c r="E233" s="41" t="n">
        <v>20</v>
      </c>
      <c r="F233" s="43" t="n">
        <f aca="false">'Cài đặt'!$B$37+E233-1</f>
        <v>46354</v>
      </c>
      <c r="G233" s="41" t="s">
        <v>444</v>
      </c>
      <c r="H233" s="44" t="str">
        <f aca="false">IF(G233="S1",'Cài đặt'!$B$7,'Cài đặt'!$B$8)</f>
        <v>12:00</v>
      </c>
      <c r="I233" s="41" t="s">
        <v>115</v>
      </c>
      <c r="J233" s="41" t="s">
        <v>132</v>
      </c>
      <c r="K233" s="41" t="s">
        <v>445</v>
      </c>
      <c r="L233" s="42" t="str">
        <f aca="false">C233&amp;"_"&amp;B233&amp;"_"&amp;IF(I233="Reel","R",IF(I233="Carousel","C","I"))&amp;"_"&amp;J233&amp;"_"&amp;IF(K233="AI tự động","AI","HU")&amp;"_"&amp;RIGHT(A233,3)</f>
        <v>P1_EXP1_R_A_AI_039</v>
      </c>
      <c r="M233" s="45"/>
      <c r="N233" s="45"/>
      <c r="O233" s="46"/>
      <c r="P233" s="46"/>
      <c r="Q233" s="46"/>
      <c r="R233" s="47"/>
      <c r="S233" s="45"/>
      <c r="T233" s="45"/>
      <c r="U233" s="48" t="str">
        <f aca="false">IF(O233&gt;0,P233/O233,"")</f>
        <v/>
      </c>
      <c r="V233" s="49" t="str">
        <f aca="false">IF(P233&gt;0,Q233/P233,"")</f>
        <v/>
      </c>
      <c r="W233" s="50" t="n">
        <f aca="false">IF(R233&lt;&gt;"",R233,Q233*'Cài đặt'!$B$12)</f>
        <v>0</v>
      </c>
      <c r="X233" s="50" t="str">
        <f aca="false">IF(O233&gt;0,W233/O233*1000,"")</f>
        <v/>
      </c>
      <c r="Y233" s="51" t="n">
        <f aca="false">IF(T233&lt;&gt;"",T233,INDEX('Cài đặt'!$B$20:$C$22,MATCH(I233,'Cài đặt'!$A$20:$A$22,0),IF(K233="AI tự động",1,2)))</f>
        <v>8</v>
      </c>
    </row>
    <row r="234" customFormat="false" ht="15" hidden="false" customHeight="false" outlineLevel="0" collapsed="false">
      <c r="A234" s="41" t="s">
        <v>679</v>
      </c>
      <c r="B234" s="41" t="s">
        <v>443</v>
      </c>
      <c r="C234" s="41" t="s">
        <v>154</v>
      </c>
      <c r="D234" s="42" t="str">
        <f aca="false">INDEX('Page và Ngách'!$B$5:$B$10,MATCH(C234,'Page và Ngách'!$A$5:$A$10,0))</f>
        <v>Werewolf / Rejected mate</v>
      </c>
      <c r="E234" s="41" t="n">
        <v>20</v>
      </c>
      <c r="F234" s="43" t="n">
        <f aca="false">'Cài đặt'!$B$37+E234-1</f>
        <v>46354</v>
      </c>
      <c r="G234" s="41" t="s">
        <v>451</v>
      </c>
      <c r="H234" s="44" t="str">
        <f aca="false">IF(G234="S1",'Cài đặt'!$B$7,'Cài đặt'!$B$8)</f>
        <v>20:00</v>
      </c>
      <c r="I234" s="41" t="s">
        <v>111</v>
      </c>
      <c r="J234" s="41" t="s">
        <v>132</v>
      </c>
      <c r="K234" s="41" t="s">
        <v>445</v>
      </c>
      <c r="L234" s="42" t="str">
        <f aca="false">C234&amp;"_"&amp;B234&amp;"_"&amp;IF(I234="Reel","R",IF(I234="Carousel","C","I"))&amp;"_"&amp;J234&amp;"_"&amp;IF(K234="AI tự động","AI","HU")&amp;"_"&amp;RIGHT(A234,3)</f>
        <v>P1_EXP1_I_A_AI_040</v>
      </c>
      <c r="M234" s="45"/>
      <c r="N234" s="45"/>
      <c r="O234" s="46"/>
      <c r="P234" s="46"/>
      <c r="Q234" s="46"/>
      <c r="R234" s="47"/>
      <c r="S234" s="45"/>
      <c r="T234" s="45"/>
      <c r="U234" s="48" t="str">
        <f aca="false">IF(O234&gt;0,P234/O234,"")</f>
        <v/>
      </c>
      <c r="V234" s="49" t="str">
        <f aca="false">IF(P234&gt;0,Q234/P234,"")</f>
        <v/>
      </c>
      <c r="W234" s="50" t="n">
        <f aca="false">IF(R234&lt;&gt;"",R234,Q234*'Cài đặt'!$B$12)</f>
        <v>0</v>
      </c>
      <c r="X234" s="50" t="str">
        <f aca="false">IF(O234&gt;0,W234/O234*1000,"")</f>
        <v/>
      </c>
      <c r="Y234" s="51" t="n">
        <f aca="false">IF(T234&lt;&gt;"",T234,INDEX('Cài đặt'!$B$20:$C$22,MATCH(I234,'Cài đặt'!$A$20:$A$22,0),IF(K234="AI tự động",1,2)))</f>
        <v>2</v>
      </c>
    </row>
    <row r="235" customFormat="false" ht="15" hidden="false" customHeight="false" outlineLevel="0" collapsed="false">
      <c r="A235" s="41" t="s">
        <v>680</v>
      </c>
      <c r="B235" s="41" t="s">
        <v>443</v>
      </c>
      <c r="C235" s="41" t="s">
        <v>163</v>
      </c>
      <c r="D235" s="42" t="str">
        <f aca="false">INDEX('Page và Ngách'!$B$5:$B$10,MATCH(C235,'Page và Ngách'!$A$5:$A$10,0))</f>
        <v>Secret billionaire / CEO</v>
      </c>
      <c r="E235" s="41" t="n">
        <v>20</v>
      </c>
      <c r="F235" s="43" t="n">
        <f aca="false">'Cài đặt'!$B$37+E235-1</f>
        <v>46354</v>
      </c>
      <c r="G235" s="41" t="s">
        <v>444</v>
      </c>
      <c r="H235" s="44" t="str">
        <f aca="false">IF(G235="S1",'Cài đặt'!$B$7,'Cài đặt'!$B$8)</f>
        <v>12:00</v>
      </c>
      <c r="I235" s="41" t="s">
        <v>111</v>
      </c>
      <c r="J235" s="41" t="s">
        <v>132</v>
      </c>
      <c r="K235" s="41" t="s">
        <v>445</v>
      </c>
      <c r="L235" s="42" t="str">
        <f aca="false">C235&amp;"_"&amp;B235&amp;"_"&amp;IF(I235="Reel","R",IF(I235="Carousel","C","I"))&amp;"_"&amp;J235&amp;"_"&amp;IF(K235="AI tự động","AI","HU")&amp;"_"&amp;RIGHT(A235,3)</f>
        <v>P2_EXP1_I_A_AI_039</v>
      </c>
      <c r="M235" s="45"/>
      <c r="N235" s="45"/>
      <c r="O235" s="46"/>
      <c r="P235" s="46"/>
      <c r="Q235" s="46"/>
      <c r="R235" s="47"/>
      <c r="S235" s="45"/>
      <c r="T235" s="45"/>
      <c r="U235" s="48" t="str">
        <f aca="false">IF(O235&gt;0,P235/O235,"")</f>
        <v/>
      </c>
      <c r="V235" s="49" t="str">
        <f aca="false">IF(P235&gt;0,Q235/P235,"")</f>
        <v/>
      </c>
      <c r="W235" s="50" t="n">
        <f aca="false">IF(R235&lt;&gt;"",R235,Q235*'Cài đặt'!$B$12)</f>
        <v>0</v>
      </c>
      <c r="X235" s="50" t="str">
        <f aca="false">IF(O235&gt;0,W235/O235*1000,"")</f>
        <v/>
      </c>
      <c r="Y235" s="51" t="n">
        <f aca="false">IF(T235&lt;&gt;"",T235,INDEX('Cài đặt'!$B$20:$C$22,MATCH(I235,'Cài đặt'!$A$20:$A$22,0),IF(K235="AI tự động",1,2)))</f>
        <v>2</v>
      </c>
    </row>
    <row r="236" customFormat="false" ht="15" hidden="false" customHeight="false" outlineLevel="0" collapsed="false">
      <c r="A236" s="41" t="s">
        <v>681</v>
      </c>
      <c r="B236" s="41" t="s">
        <v>443</v>
      </c>
      <c r="C236" s="41" t="s">
        <v>163</v>
      </c>
      <c r="D236" s="42" t="str">
        <f aca="false">INDEX('Page và Ngách'!$B$5:$B$10,MATCH(C236,'Page và Ngách'!$A$5:$A$10,0))</f>
        <v>Secret billionaire / CEO</v>
      </c>
      <c r="E236" s="41" t="n">
        <v>20</v>
      </c>
      <c r="F236" s="43" t="n">
        <f aca="false">'Cài đặt'!$B$37+E236-1</f>
        <v>46354</v>
      </c>
      <c r="G236" s="41" t="s">
        <v>451</v>
      </c>
      <c r="H236" s="44" t="str">
        <f aca="false">IF(G236="S1",'Cài đặt'!$B$7,'Cài đặt'!$B$8)</f>
        <v>20:00</v>
      </c>
      <c r="I236" s="41" t="s">
        <v>113</v>
      </c>
      <c r="J236" s="41" t="s">
        <v>132</v>
      </c>
      <c r="K236" s="41" t="s">
        <v>445</v>
      </c>
      <c r="L236" s="42" t="str">
        <f aca="false">C236&amp;"_"&amp;B236&amp;"_"&amp;IF(I236="Reel","R",IF(I236="Carousel","C","I"))&amp;"_"&amp;J236&amp;"_"&amp;IF(K236="AI tự động","AI","HU")&amp;"_"&amp;RIGHT(A236,3)</f>
        <v>P2_EXP1_C_A_AI_040</v>
      </c>
      <c r="M236" s="45"/>
      <c r="N236" s="45"/>
      <c r="O236" s="46"/>
      <c r="P236" s="46"/>
      <c r="Q236" s="46"/>
      <c r="R236" s="47"/>
      <c r="S236" s="45"/>
      <c r="T236" s="45"/>
      <c r="U236" s="48" t="str">
        <f aca="false">IF(O236&gt;0,P236/O236,"")</f>
        <v/>
      </c>
      <c r="V236" s="49" t="str">
        <f aca="false">IF(P236&gt;0,Q236/P236,"")</f>
        <v/>
      </c>
      <c r="W236" s="50" t="n">
        <f aca="false">IF(R236&lt;&gt;"",R236,Q236*'Cài đặt'!$B$12)</f>
        <v>0</v>
      </c>
      <c r="X236" s="50" t="str">
        <f aca="false">IF(O236&gt;0,W236/O236*1000,"")</f>
        <v/>
      </c>
      <c r="Y236" s="51" t="n">
        <f aca="false">IF(T236&lt;&gt;"",T236,INDEX('Cài đặt'!$B$20:$C$22,MATCH(I236,'Cài đặt'!$A$20:$A$22,0),IF(K236="AI tự động",1,2)))</f>
        <v>4</v>
      </c>
    </row>
    <row r="237" customFormat="false" ht="15" hidden="false" customHeight="false" outlineLevel="0" collapsed="false">
      <c r="A237" s="41" t="s">
        <v>682</v>
      </c>
      <c r="B237" s="41" t="s">
        <v>443</v>
      </c>
      <c r="C237" s="41" t="s">
        <v>171</v>
      </c>
      <c r="D237" s="42" t="str">
        <f aca="false">INDEX('Page và Ngách'!$B$5:$B$10,MATCH(C237,'Page và Ngách'!$A$5:$A$10,0))</f>
        <v>Contract marriage / Fake relationship</v>
      </c>
      <c r="E237" s="41" t="n">
        <v>20</v>
      </c>
      <c r="F237" s="43" t="n">
        <f aca="false">'Cài đặt'!$B$37+E237-1</f>
        <v>46354</v>
      </c>
      <c r="G237" s="41" t="s">
        <v>444</v>
      </c>
      <c r="H237" s="44" t="str">
        <f aca="false">IF(G237="S1",'Cài đặt'!$B$7,'Cài đặt'!$B$8)</f>
        <v>12:00</v>
      </c>
      <c r="I237" s="41" t="s">
        <v>113</v>
      </c>
      <c r="J237" s="41" t="s">
        <v>132</v>
      </c>
      <c r="K237" s="41" t="s">
        <v>445</v>
      </c>
      <c r="L237" s="42" t="str">
        <f aca="false">C237&amp;"_"&amp;B237&amp;"_"&amp;IF(I237="Reel","R",IF(I237="Carousel","C","I"))&amp;"_"&amp;J237&amp;"_"&amp;IF(K237="AI tự động","AI","HU")&amp;"_"&amp;RIGHT(A237,3)</f>
        <v>P3_EXP1_C_A_AI_039</v>
      </c>
      <c r="M237" s="45"/>
      <c r="N237" s="45"/>
      <c r="O237" s="46"/>
      <c r="P237" s="46"/>
      <c r="Q237" s="46"/>
      <c r="R237" s="47"/>
      <c r="S237" s="45"/>
      <c r="T237" s="45"/>
      <c r="U237" s="48" t="str">
        <f aca="false">IF(O237&gt;0,P237/O237,"")</f>
        <v/>
      </c>
      <c r="V237" s="49" t="str">
        <f aca="false">IF(P237&gt;0,Q237/P237,"")</f>
        <v/>
      </c>
      <c r="W237" s="50" t="n">
        <f aca="false">IF(R237&lt;&gt;"",R237,Q237*'Cài đặt'!$B$12)</f>
        <v>0</v>
      </c>
      <c r="X237" s="50" t="str">
        <f aca="false">IF(O237&gt;0,W237/O237*1000,"")</f>
        <v/>
      </c>
      <c r="Y237" s="51" t="n">
        <f aca="false">IF(T237&lt;&gt;"",T237,INDEX('Cài đặt'!$B$20:$C$22,MATCH(I237,'Cài đặt'!$A$20:$A$22,0),IF(K237="AI tự động",1,2)))</f>
        <v>4</v>
      </c>
    </row>
    <row r="238" customFormat="false" ht="15" hidden="false" customHeight="false" outlineLevel="0" collapsed="false">
      <c r="A238" s="41" t="s">
        <v>683</v>
      </c>
      <c r="B238" s="41" t="s">
        <v>443</v>
      </c>
      <c r="C238" s="41" t="s">
        <v>171</v>
      </c>
      <c r="D238" s="42" t="str">
        <f aca="false">INDEX('Page và Ngách'!$B$5:$B$10,MATCH(C238,'Page và Ngách'!$A$5:$A$10,0))</f>
        <v>Contract marriage / Fake relationship</v>
      </c>
      <c r="E238" s="41" t="n">
        <v>20</v>
      </c>
      <c r="F238" s="43" t="n">
        <f aca="false">'Cài đặt'!$B$37+E238-1</f>
        <v>46354</v>
      </c>
      <c r="G238" s="41" t="s">
        <v>451</v>
      </c>
      <c r="H238" s="44" t="str">
        <f aca="false">IF(G238="S1",'Cài đặt'!$B$7,'Cài đặt'!$B$8)</f>
        <v>20:00</v>
      </c>
      <c r="I238" s="41" t="s">
        <v>115</v>
      </c>
      <c r="J238" s="41" t="s">
        <v>132</v>
      </c>
      <c r="K238" s="41" t="s">
        <v>445</v>
      </c>
      <c r="L238" s="42" t="str">
        <f aca="false">C238&amp;"_"&amp;B238&amp;"_"&amp;IF(I238="Reel","R",IF(I238="Carousel","C","I"))&amp;"_"&amp;J238&amp;"_"&amp;IF(K238="AI tự động","AI","HU")&amp;"_"&amp;RIGHT(A238,3)</f>
        <v>P3_EXP1_R_A_AI_040</v>
      </c>
      <c r="M238" s="45"/>
      <c r="N238" s="45"/>
      <c r="O238" s="46"/>
      <c r="P238" s="46"/>
      <c r="Q238" s="46"/>
      <c r="R238" s="47"/>
      <c r="S238" s="45"/>
      <c r="T238" s="45"/>
      <c r="U238" s="48" t="str">
        <f aca="false">IF(O238&gt;0,P238/O238,"")</f>
        <v/>
      </c>
      <c r="V238" s="49" t="str">
        <f aca="false">IF(P238&gt;0,Q238/P238,"")</f>
        <v/>
      </c>
      <c r="W238" s="50" t="n">
        <f aca="false">IF(R238&lt;&gt;"",R238,Q238*'Cài đặt'!$B$12)</f>
        <v>0</v>
      </c>
      <c r="X238" s="50" t="str">
        <f aca="false">IF(O238&gt;0,W238/O238*1000,"")</f>
        <v/>
      </c>
      <c r="Y238" s="51" t="n">
        <f aca="false">IF(T238&lt;&gt;"",T238,INDEX('Cài đặt'!$B$20:$C$22,MATCH(I238,'Cài đặt'!$A$20:$A$22,0),IF(K238="AI tự động",1,2)))</f>
        <v>8</v>
      </c>
    </row>
    <row r="239" customFormat="false" ht="15" hidden="false" customHeight="false" outlineLevel="0" collapsed="false">
      <c r="A239" s="41" t="s">
        <v>684</v>
      </c>
      <c r="B239" s="41" t="s">
        <v>443</v>
      </c>
      <c r="C239" s="41" t="s">
        <v>178</v>
      </c>
      <c r="D239" s="42" t="str">
        <f aca="false">INDEX('Page và Ngách'!$B$5:$B$10,MATCH(C239,'Page và Ngách'!$A$5:$A$10,0))</f>
        <v>Revenge / Betrayal ("you'll regret it")</v>
      </c>
      <c r="E239" s="41" t="n">
        <v>20</v>
      </c>
      <c r="F239" s="43" t="n">
        <f aca="false">'Cài đặt'!$B$37+E239-1</f>
        <v>46354</v>
      </c>
      <c r="G239" s="41" t="s">
        <v>444</v>
      </c>
      <c r="H239" s="44" t="str">
        <f aca="false">IF(G239="S1",'Cài đặt'!$B$7,'Cài đặt'!$B$8)</f>
        <v>12:00</v>
      </c>
      <c r="I239" s="41" t="s">
        <v>115</v>
      </c>
      <c r="J239" s="41" t="s">
        <v>132</v>
      </c>
      <c r="K239" s="41" t="s">
        <v>445</v>
      </c>
      <c r="L239" s="42" t="str">
        <f aca="false">C239&amp;"_"&amp;B239&amp;"_"&amp;IF(I239="Reel","R",IF(I239="Carousel","C","I"))&amp;"_"&amp;J239&amp;"_"&amp;IF(K239="AI tự động","AI","HU")&amp;"_"&amp;RIGHT(A239,3)</f>
        <v>P4_EXP1_R_A_AI_039</v>
      </c>
      <c r="M239" s="45"/>
      <c r="N239" s="45"/>
      <c r="O239" s="46"/>
      <c r="P239" s="46"/>
      <c r="Q239" s="46"/>
      <c r="R239" s="47"/>
      <c r="S239" s="45"/>
      <c r="T239" s="45"/>
      <c r="U239" s="48" t="str">
        <f aca="false">IF(O239&gt;0,P239/O239,"")</f>
        <v/>
      </c>
      <c r="V239" s="49" t="str">
        <f aca="false">IF(P239&gt;0,Q239/P239,"")</f>
        <v/>
      </c>
      <c r="W239" s="50" t="n">
        <f aca="false">IF(R239&lt;&gt;"",R239,Q239*'Cài đặt'!$B$12)</f>
        <v>0</v>
      </c>
      <c r="X239" s="50" t="str">
        <f aca="false">IF(O239&gt;0,W239/O239*1000,"")</f>
        <v/>
      </c>
      <c r="Y239" s="51" t="n">
        <f aca="false">IF(T239&lt;&gt;"",T239,INDEX('Cài đặt'!$B$20:$C$22,MATCH(I239,'Cài đặt'!$A$20:$A$22,0),IF(K239="AI tự động",1,2)))</f>
        <v>8</v>
      </c>
    </row>
    <row r="240" customFormat="false" ht="15" hidden="false" customHeight="false" outlineLevel="0" collapsed="false">
      <c r="A240" s="41" t="s">
        <v>685</v>
      </c>
      <c r="B240" s="41" t="s">
        <v>443</v>
      </c>
      <c r="C240" s="41" t="s">
        <v>178</v>
      </c>
      <c r="D240" s="42" t="str">
        <f aca="false">INDEX('Page và Ngách'!$B$5:$B$10,MATCH(C240,'Page và Ngách'!$A$5:$A$10,0))</f>
        <v>Revenge / Betrayal ("you'll regret it")</v>
      </c>
      <c r="E240" s="41" t="n">
        <v>20</v>
      </c>
      <c r="F240" s="43" t="n">
        <f aca="false">'Cài đặt'!$B$37+E240-1</f>
        <v>46354</v>
      </c>
      <c r="G240" s="41" t="s">
        <v>451</v>
      </c>
      <c r="H240" s="44" t="str">
        <f aca="false">IF(G240="S1",'Cài đặt'!$B$7,'Cài đặt'!$B$8)</f>
        <v>20:00</v>
      </c>
      <c r="I240" s="41" t="s">
        <v>111</v>
      </c>
      <c r="J240" s="41" t="s">
        <v>132</v>
      </c>
      <c r="K240" s="41" t="s">
        <v>445</v>
      </c>
      <c r="L240" s="42" t="str">
        <f aca="false">C240&amp;"_"&amp;B240&amp;"_"&amp;IF(I240="Reel","R",IF(I240="Carousel","C","I"))&amp;"_"&amp;J240&amp;"_"&amp;IF(K240="AI tự động","AI","HU")&amp;"_"&amp;RIGHT(A240,3)</f>
        <v>P4_EXP1_I_A_AI_040</v>
      </c>
      <c r="M240" s="45"/>
      <c r="N240" s="45"/>
      <c r="O240" s="46"/>
      <c r="P240" s="46"/>
      <c r="Q240" s="46"/>
      <c r="R240" s="47"/>
      <c r="S240" s="45"/>
      <c r="T240" s="45"/>
      <c r="U240" s="48" t="str">
        <f aca="false">IF(O240&gt;0,P240/O240,"")</f>
        <v/>
      </c>
      <c r="V240" s="49" t="str">
        <f aca="false">IF(P240&gt;0,Q240/P240,"")</f>
        <v/>
      </c>
      <c r="W240" s="50" t="n">
        <f aca="false">IF(R240&lt;&gt;"",R240,Q240*'Cài đặt'!$B$12)</f>
        <v>0</v>
      </c>
      <c r="X240" s="50" t="str">
        <f aca="false">IF(O240&gt;0,W240/O240*1000,"")</f>
        <v/>
      </c>
      <c r="Y240" s="51" t="n">
        <f aca="false">IF(T240&lt;&gt;"",T240,INDEX('Cài đặt'!$B$20:$C$22,MATCH(I240,'Cài đặt'!$A$20:$A$22,0),IF(K240="AI tự động",1,2)))</f>
        <v>2</v>
      </c>
    </row>
    <row r="241" customFormat="false" ht="15" hidden="false" customHeight="false" outlineLevel="0" collapsed="false">
      <c r="A241" s="41" t="s">
        <v>686</v>
      </c>
      <c r="B241" s="41" t="s">
        <v>443</v>
      </c>
      <c r="C241" s="41" t="s">
        <v>185</v>
      </c>
      <c r="D241" s="42" t="str">
        <f aca="false">INDEX('Page và Ngách'!$B$5:$B$10,MATCH(C241,'Page và Ngách'!$A$5:$A$10,0))</f>
        <v>Mafia / Dark romance (teaser PG-13)</v>
      </c>
      <c r="E241" s="41" t="n">
        <v>20</v>
      </c>
      <c r="F241" s="43" t="n">
        <f aca="false">'Cài đặt'!$B$37+E241-1</f>
        <v>46354</v>
      </c>
      <c r="G241" s="41" t="s">
        <v>444</v>
      </c>
      <c r="H241" s="44" t="str">
        <f aca="false">IF(G241="S1",'Cài đặt'!$B$7,'Cài đặt'!$B$8)</f>
        <v>12:00</v>
      </c>
      <c r="I241" s="41" t="s">
        <v>111</v>
      </c>
      <c r="J241" s="41" t="s">
        <v>132</v>
      </c>
      <c r="K241" s="41" t="s">
        <v>445</v>
      </c>
      <c r="L241" s="42" t="str">
        <f aca="false">C241&amp;"_"&amp;B241&amp;"_"&amp;IF(I241="Reel","R",IF(I241="Carousel","C","I"))&amp;"_"&amp;J241&amp;"_"&amp;IF(K241="AI tự động","AI","HU")&amp;"_"&amp;RIGHT(A241,3)</f>
        <v>P5_EXP1_I_A_AI_039</v>
      </c>
      <c r="M241" s="45"/>
      <c r="N241" s="45"/>
      <c r="O241" s="46"/>
      <c r="P241" s="46"/>
      <c r="Q241" s="46"/>
      <c r="R241" s="47"/>
      <c r="S241" s="45"/>
      <c r="T241" s="45"/>
      <c r="U241" s="48" t="str">
        <f aca="false">IF(O241&gt;0,P241/O241,"")</f>
        <v/>
      </c>
      <c r="V241" s="49" t="str">
        <f aca="false">IF(P241&gt;0,Q241/P241,"")</f>
        <v/>
      </c>
      <c r="W241" s="50" t="n">
        <f aca="false">IF(R241&lt;&gt;"",R241,Q241*'Cài đặt'!$B$12)</f>
        <v>0</v>
      </c>
      <c r="X241" s="50" t="str">
        <f aca="false">IF(O241&gt;0,W241/O241*1000,"")</f>
        <v/>
      </c>
      <c r="Y241" s="51" t="n">
        <f aca="false">IF(T241&lt;&gt;"",T241,INDEX('Cài đặt'!$B$20:$C$22,MATCH(I241,'Cài đặt'!$A$20:$A$22,0),IF(K241="AI tự động",1,2)))</f>
        <v>2</v>
      </c>
    </row>
    <row r="242" customFormat="false" ht="15" hidden="false" customHeight="false" outlineLevel="0" collapsed="false">
      <c r="A242" s="41" t="s">
        <v>687</v>
      </c>
      <c r="B242" s="41" t="s">
        <v>443</v>
      </c>
      <c r="C242" s="41" t="s">
        <v>185</v>
      </c>
      <c r="D242" s="42" t="str">
        <f aca="false">INDEX('Page và Ngách'!$B$5:$B$10,MATCH(C242,'Page và Ngách'!$A$5:$A$10,0))</f>
        <v>Mafia / Dark romance (teaser PG-13)</v>
      </c>
      <c r="E242" s="41" t="n">
        <v>20</v>
      </c>
      <c r="F242" s="43" t="n">
        <f aca="false">'Cài đặt'!$B$37+E242-1</f>
        <v>46354</v>
      </c>
      <c r="G242" s="41" t="s">
        <v>451</v>
      </c>
      <c r="H242" s="44" t="str">
        <f aca="false">IF(G242="S1",'Cài đặt'!$B$7,'Cài đặt'!$B$8)</f>
        <v>20:00</v>
      </c>
      <c r="I242" s="41" t="s">
        <v>113</v>
      </c>
      <c r="J242" s="41" t="s">
        <v>132</v>
      </c>
      <c r="K242" s="41" t="s">
        <v>445</v>
      </c>
      <c r="L242" s="42" t="str">
        <f aca="false">C242&amp;"_"&amp;B242&amp;"_"&amp;IF(I242="Reel","R",IF(I242="Carousel","C","I"))&amp;"_"&amp;J242&amp;"_"&amp;IF(K242="AI tự động","AI","HU")&amp;"_"&amp;RIGHT(A242,3)</f>
        <v>P5_EXP1_C_A_AI_040</v>
      </c>
      <c r="M242" s="45"/>
      <c r="N242" s="45"/>
      <c r="O242" s="46"/>
      <c r="P242" s="46"/>
      <c r="Q242" s="46"/>
      <c r="R242" s="47"/>
      <c r="S242" s="45"/>
      <c r="T242" s="45"/>
      <c r="U242" s="48" t="str">
        <f aca="false">IF(O242&gt;0,P242/O242,"")</f>
        <v/>
      </c>
      <c r="V242" s="49" t="str">
        <f aca="false">IF(P242&gt;0,Q242/P242,"")</f>
        <v/>
      </c>
      <c r="W242" s="50" t="n">
        <f aca="false">IF(R242&lt;&gt;"",R242,Q242*'Cài đặt'!$B$12)</f>
        <v>0</v>
      </c>
      <c r="X242" s="50" t="str">
        <f aca="false">IF(O242&gt;0,W242/O242*1000,"")</f>
        <v/>
      </c>
      <c r="Y242" s="51" t="n">
        <f aca="false">IF(T242&lt;&gt;"",T242,INDEX('Cài đặt'!$B$20:$C$22,MATCH(I242,'Cài đặt'!$A$20:$A$22,0),IF(K242="AI tự động",1,2)))</f>
        <v>4</v>
      </c>
    </row>
    <row r="243" customFormat="false" ht="15" hidden="false" customHeight="false" outlineLevel="0" collapsed="false">
      <c r="A243" s="41" t="s">
        <v>688</v>
      </c>
      <c r="B243" s="41" t="s">
        <v>443</v>
      </c>
      <c r="C243" s="41" t="s">
        <v>193</v>
      </c>
      <c r="D243" s="42" t="str">
        <f aca="false">INDEX('Page và Ngách'!$B$5:$B$10,MATCH(C243,'Page và Ngách'!$A$5:$A$10,0))</f>
        <v>Second chance / Secret baby</v>
      </c>
      <c r="E243" s="41" t="n">
        <v>20</v>
      </c>
      <c r="F243" s="43" t="n">
        <f aca="false">'Cài đặt'!$B$37+E243-1</f>
        <v>46354</v>
      </c>
      <c r="G243" s="41" t="s">
        <v>444</v>
      </c>
      <c r="H243" s="44" t="str">
        <f aca="false">IF(G243="S1",'Cài đặt'!$B$7,'Cài đặt'!$B$8)</f>
        <v>12:00</v>
      </c>
      <c r="I243" s="41" t="s">
        <v>113</v>
      </c>
      <c r="J243" s="41" t="s">
        <v>132</v>
      </c>
      <c r="K243" s="41" t="s">
        <v>445</v>
      </c>
      <c r="L243" s="42" t="str">
        <f aca="false">C243&amp;"_"&amp;B243&amp;"_"&amp;IF(I243="Reel","R",IF(I243="Carousel","C","I"))&amp;"_"&amp;J243&amp;"_"&amp;IF(K243="AI tự động","AI","HU")&amp;"_"&amp;RIGHT(A243,3)</f>
        <v>P6_EXP1_C_A_AI_039</v>
      </c>
      <c r="M243" s="45"/>
      <c r="N243" s="45"/>
      <c r="O243" s="46"/>
      <c r="P243" s="46"/>
      <c r="Q243" s="46"/>
      <c r="R243" s="47"/>
      <c r="S243" s="45"/>
      <c r="T243" s="45"/>
      <c r="U243" s="48" t="str">
        <f aca="false">IF(O243&gt;0,P243/O243,"")</f>
        <v/>
      </c>
      <c r="V243" s="49" t="str">
        <f aca="false">IF(P243&gt;0,Q243/P243,"")</f>
        <v/>
      </c>
      <c r="W243" s="50" t="n">
        <f aca="false">IF(R243&lt;&gt;"",R243,Q243*'Cài đặt'!$B$12)</f>
        <v>0</v>
      </c>
      <c r="X243" s="50" t="str">
        <f aca="false">IF(O243&gt;0,W243/O243*1000,"")</f>
        <v/>
      </c>
      <c r="Y243" s="51" t="n">
        <f aca="false">IF(T243&lt;&gt;"",T243,INDEX('Cài đặt'!$B$20:$C$22,MATCH(I243,'Cài đặt'!$A$20:$A$22,0),IF(K243="AI tự động",1,2)))</f>
        <v>4</v>
      </c>
    </row>
    <row r="244" customFormat="false" ht="15" hidden="false" customHeight="false" outlineLevel="0" collapsed="false">
      <c r="A244" s="41" t="s">
        <v>689</v>
      </c>
      <c r="B244" s="41" t="s">
        <v>443</v>
      </c>
      <c r="C244" s="41" t="s">
        <v>193</v>
      </c>
      <c r="D244" s="42" t="str">
        <f aca="false">INDEX('Page và Ngách'!$B$5:$B$10,MATCH(C244,'Page và Ngách'!$A$5:$A$10,0))</f>
        <v>Second chance / Secret baby</v>
      </c>
      <c r="E244" s="41" t="n">
        <v>20</v>
      </c>
      <c r="F244" s="43" t="n">
        <f aca="false">'Cài đặt'!$B$37+E244-1</f>
        <v>46354</v>
      </c>
      <c r="G244" s="41" t="s">
        <v>451</v>
      </c>
      <c r="H244" s="44" t="str">
        <f aca="false">IF(G244="S1",'Cài đặt'!$B$7,'Cài đặt'!$B$8)</f>
        <v>20:00</v>
      </c>
      <c r="I244" s="41" t="s">
        <v>115</v>
      </c>
      <c r="J244" s="41" t="s">
        <v>132</v>
      </c>
      <c r="K244" s="41" t="s">
        <v>445</v>
      </c>
      <c r="L244" s="42" t="str">
        <f aca="false">C244&amp;"_"&amp;B244&amp;"_"&amp;IF(I244="Reel","R",IF(I244="Carousel","C","I"))&amp;"_"&amp;J244&amp;"_"&amp;IF(K244="AI tự động","AI","HU")&amp;"_"&amp;RIGHT(A244,3)</f>
        <v>P6_EXP1_R_A_AI_040</v>
      </c>
      <c r="M244" s="45"/>
      <c r="N244" s="45"/>
      <c r="O244" s="46"/>
      <c r="P244" s="46"/>
      <c r="Q244" s="46"/>
      <c r="R244" s="47"/>
      <c r="S244" s="45"/>
      <c r="T244" s="45"/>
      <c r="U244" s="48" t="str">
        <f aca="false">IF(O244&gt;0,P244/O244,"")</f>
        <v/>
      </c>
      <c r="V244" s="49" t="str">
        <f aca="false">IF(P244&gt;0,Q244/P244,"")</f>
        <v/>
      </c>
      <c r="W244" s="50" t="n">
        <f aca="false">IF(R244&lt;&gt;"",R244,Q244*'Cài đặt'!$B$12)</f>
        <v>0</v>
      </c>
      <c r="X244" s="50" t="str">
        <f aca="false">IF(O244&gt;0,W244/O244*1000,"")</f>
        <v/>
      </c>
      <c r="Y244" s="51" t="n">
        <f aca="false">IF(T244&lt;&gt;"",T244,INDEX('Cài đặt'!$B$20:$C$22,MATCH(I244,'Cài đặt'!$A$20:$A$22,0),IF(K244="AI tự động",1,2)))</f>
        <v>8</v>
      </c>
    </row>
    <row r="245" customFormat="false" ht="15" hidden="false" customHeight="false" outlineLevel="0" collapsed="false">
      <c r="A245" s="41" t="s">
        <v>690</v>
      </c>
      <c r="B245" s="41" t="s">
        <v>443</v>
      </c>
      <c r="C245" s="41" t="s">
        <v>154</v>
      </c>
      <c r="D245" s="42" t="str">
        <f aca="false">INDEX('Page và Ngách'!$B$5:$B$10,MATCH(C245,'Page và Ngách'!$A$5:$A$10,0))</f>
        <v>Werewolf / Rejected mate</v>
      </c>
      <c r="E245" s="41" t="n">
        <v>21</v>
      </c>
      <c r="F245" s="43" t="n">
        <f aca="false">'Cài đặt'!$B$37+E245-1</f>
        <v>46355</v>
      </c>
      <c r="G245" s="41" t="s">
        <v>444</v>
      </c>
      <c r="H245" s="44" t="str">
        <f aca="false">IF(G245="S1",'Cài đặt'!$B$7,'Cài đặt'!$B$8)</f>
        <v>12:00</v>
      </c>
      <c r="I245" s="41" t="s">
        <v>113</v>
      </c>
      <c r="J245" s="41" t="s">
        <v>132</v>
      </c>
      <c r="K245" s="41" t="s">
        <v>445</v>
      </c>
      <c r="L245" s="42" t="str">
        <f aca="false">C245&amp;"_"&amp;B245&amp;"_"&amp;IF(I245="Reel","R",IF(I245="Carousel","C","I"))&amp;"_"&amp;J245&amp;"_"&amp;IF(K245="AI tự động","AI","HU")&amp;"_"&amp;RIGHT(A245,3)</f>
        <v>P1_EXP1_C_A_AI_041</v>
      </c>
      <c r="M245" s="45"/>
      <c r="N245" s="45"/>
      <c r="O245" s="46"/>
      <c r="P245" s="46"/>
      <c r="Q245" s="46"/>
      <c r="R245" s="47"/>
      <c r="S245" s="45"/>
      <c r="T245" s="45"/>
      <c r="U245" s="48" t="str">
        <f aca="false">IF(O245&gt;0,P245/O245,"")</f>
        <v/>
      </c>
      <c r="V245" s="49" t="str">
        <f aca="false">IF(P245&gt;0,Q245/P245,"")</f>
        <v/>
      </c>
      <c r="W245" s="50" t="n">
        <f aca="false">IF(R245&lt;&gt;"",R245,Q245*'Cài đặt'!$B$12)</f>
        <v>0</v>
      </c>
      <c r="X245" s="50" t="str">
        <f aca="false">IF(O245&gt;0,W245/O245*1000,"")</f>
        <v/>
      </c>
      <c r="Y245" s="51" t="n">
        <f aca="false">IF(T245&lt;&gt;"",T245,INDEX('Cài đặt'!$B$20:$C$22,MATCH(I245,'Cài đặt'!$A$20:$A$22,0),IF(K245="AI tự động",1,2)))</f>
        <v>4</v>
      </c>
    </row>
    <row r="246" customFormat="false" ht="15" hidden="false" customHeight="false" outlineLevel="0" collapsed="false">
      <c r="A246" s="41" t="s">
        <v>691</v>
      </c>
      <c r="B246" s="41" t="s">
        <v>443</v>
      </c>
      <c r="C246" s="41" t="s">
        <v>154</v>
      </c>
      <c r="D246" s="42" t="str">
        <f aca="false">INDEX('Page và Ngách'!$B$5:$B$10,MATCH(C246,'Page và Ngách'!$A$5:$A$10,0))</f>
        <v>Werewolf / Rejected mate</v>
      </c>
      <c r="E246" s="41" t="n">
        <v>21</v>
      </c>
      <c r="F246" s="43" t="n">
        <f aca="false">'Cài đặt'!$B$37+E246-1</f>
        <v>46355</v>
      </c>
      <c r="G246" s="41" t="s">
        <v>451</v>
      </c>
      <c r="H246" s="44" t="str">
        <f aca="false">IF(G246="S1",'Cài đặt'!$B$7,'Cài đặt'!$B$8)</f>
        <v>20:00</v>
      </c>
      <c r="I246" s="41" t="s">
        <v>115</v>
      </c>
      <c r="J246" s="41" t="s">
        <v>132</v>
      </c>
      <c r="K246" s="41" t="s">
        <v>445</v>
      </c>
      <c r="L246" s="42" t="str">
        <f aca="false">C246&amp;"_"&amp;B246&amp;"_"&amp;IF(I246="Reel","R",IF(I246="Carousel","C","I"))&amp;"_"&amp;J246&amp;"_"&amp;IF(K246="AI tự động","AI","HU")&amp;"_"&amp;RIGHT(A246,3)</f>
        <v>P1_EXP1_R_A_AI_042</v>
      </c>
      <c r="M246" s="45"/>
      <c r="N246" s="45"/>
      <c r="O246" s="46"/>
      <c r="P246" s="46"/>
      <c r="Q246" s="46"/>
      <c r="R246" s="47"/>
      <c r="S246" s="45"/>
      <c r="T246" s="45"/>
      <c r="U246" s="48" t="str">
        <f aca="false">IF(O246&gt;0,P246/O246,"")</f>
        <v/>
      </c>
      <c r="V246" s="49" t="str">
        <f aca="false">IF(P246&gt;0,Q246/P246,"")</f>
        <v/>
      </c>
      <c r="W246" s="50" t="n">
        <f aca="false">IF(R246&lt;&gt;"",R246,Q246*'Cài đặt'!$B$12)</f>
        <v>0</v>
      </c>
      <c r="X246" s="50" t="str">
        <f aca="false">IF(O246&gt;0,W246/O246*1000,"")</f>
        <v/>
      </c>
      <c r="Y246" s="51" t="n">
        <f aca="false">IF(T246&lt;&gt;"",T246,INDEX('Cài đặt'!$B$20:$C$22,MATCH(I246,'Cài đặt'!$A$20:$A$22,0),IF(K246="AI tự động",1,2)))</f>
        <v>8</v>
      </c>
    </row>
    <row r="247" customFormat="false" ht="15" hidden="false" customHeight="false" outlineLevel="0" collapsed="false">
      <c r="A247" s="41" t="s">
        <v>692</v>
      </c>
      <c r="B247" s="41" t="s">
        <v>443</v>
      </c>
      <c r="C247" s="41" t="s">
        <v>163</v>
      </c>
      <c r="D247" s="42" t="str">
        <f aca="false">INDEX('Page và Ngách'!$B$5:$B$10,MATCH(C247,'Page và Ngách'!$A$5:$A$10,0))</f>
        <v>Secret billionaire / CEO</v>
      </c>
      <c r="E247" s="41" t="n">
        <v>21</v>
      </c>
      <c r="F247" s="43" t="n">
        <f aca="false">'Cài đặt'!$B$37+E247-1</f>
        <v>46355</v>
      </c>
      <c r="G247" s="41" t="s">
        <v>444</v>
      </c>
      <c r="H247" s="44" t="str">
        <f aca="false">IF(G247="S1",'Cài đặt'!$B$7,'Cài đặt'!$B$8)</f>
        <v>12:00</v>
      </c>
      <c r="I247" s="41" t="s">
        <v>115</v>
      </c>
      <c r="J247" s="41" t="s">
        <v>132</v>
      </c>
      <c r="K247" s="41" t="s">
        <v>445</v>
      </c>
      <c r="L247" s="42" t="str">
        <f aca="false">C247&amp;"_"&amp;B247&amp;"_"&amp;IF(I247="Reel","R",IF(I247="Carousel","C","I"))&amp;"_"&amp;J247&amp;"_"&amp;IF(K247="AI tự động","AI","HU")&amp;"_"&amp;RIGHT(A247,3)</f>
        <v>P2_EXP1_R_A_AI_041</v>
      </c>
      <c r="M247" s="45"/>
      <c r="N247" s="45"/>
      <c r="O247" s="46"/>
      <c r="P247" s="46"/>
      <c r="Q247" s="46"/>
      <c r="R247" s="47"/>
      <c r="S247" s="45"/>
      <c r="T247" s="45"/>
      <c r="U247" s="48" t="str">
        <f aca="false">IF(O247&gt;0,P247/O247,"")</f>
        <v/>
      </c>
      <c r="V247" s="49" t="str">
        <f aca="false">IF(P247&gt;0,Q247/P247,"")</f>
        <v/>
      </c>
      <c r="W247" s="50" t="n">
        <f aca="false">IF(R247&lt;&gt;"",R247,Q247*'Cài đặt'!$B$12)</f>
        <v>0</v>
      </c>
      <c r="X247" s="50" t="str">
        <f aca="false">IF(O247&gt;0,W247/O247*1000,"")</f>
        <v/>
      </c>
      <c r="Y247" s="51" t="n">
        <f aca="false">IF(T247&lt;&gt;"",T247,INDEX('Cài đặt'!$B$20:$C$22,MATCH(I247,'Cài đặt'!$A$20:$A$22,0),IF(K247="AI tự động",1,2)))</f>
        <v>8</v>
      </c>
    </row>
    <row r="248" customFormat="false" ht="15" hidden="false" customHeight="false" outlineLevel="0" collapsed="false">
      <c r="A248" s="41" t="s">
        <v>693</v>
      </c>
      <c r="B248" s="41" t="s">
        <v>443</v>
      </c>
      <c r="C248" s="41" t="s">
        <v>163</v>
      </c>
      <c r="D248" s="42" t="str">
        <f aca="false">INDEX('Page và Ngách'!$B$5:$B$10,MATCH(C248,'Page và Ngách'!$A$5:$A$10,0))</f>
        <v>Secret billionaire / CEO</v>
      </c>
      <c r="E248" s="41" t="n">
        <v>21</v>
      </c>
      <c r="F248" s="43" t="n">
        <f aca="false">'Cài đặt'!$B$37+E248-1</f>
        <v>46355</v>
      </c>
      <c r="G248" s="41" t="s">
        <v>451</v>
      </c>
      <c r="H248" s="44" t="str">
        <f aca="false">IF(G248="S1",'Cài đặt'!$B$7,'Cài đặt'!$B$8)</f>
        <v>20:00</v>
      </c>
      <c r="I248" s="41" t="s">
        <v>111</v>
      </c>
      <c r="J248" s="41" t="s">
        <v>132</v>
      </c>
      <c r="K248" s="41" t="s">
        <v>445</v>
      </c>
      <c r="L248" s="42" t="str">
        <f aca="false">C248&amp;"_"&amp;B248&amp;"_"&amp;IF(I248="Reel","R",IF(I248="Carousel","C","I"))&amp;"_"&amp;J248&amp;"_"&amp;IF(K248="AI tự động","AI","HU")&amp;"_"&amp;RIGHT(A248,3)</f>
        <v>P2_EXP1_I_A_AI_042</v>
      </c>
      <c r="M248" s="45"/>
      <c r="N248" s="45"/>
      <c r="O248" s="46"/>
      <c r="P248" s="46"/>
      <c r="Q248" s="46"/>
      <c r="R248" s="47"/>
      <c r="S248" s="45"/>
      <c r="T248" s="45"/>
      <c r="U248" s="48" t="str">
        <f aca="false">IF(O248&gt;0,P248/O248,"")</f>
        <v/>
      </c>
      <c r="V248" s="49" t="str">
        <f aca="false">IF(P248&gt;0,Q248/P248,"")</f>
        <v/>
      </c>
      <c r="W248" s="50" t="n">
        <f aca="false">IF(R248&lt;&gt;"",R248,Q248*'Cài đặt'!$B$12)</f>
        <v>0</v>
      </c>
      <c r="X248" s="50" t="str">
        <f aca="false">IF(O248&gt;0,W248/O248*1000,"")</f>
        <v/>
      </c>
      <c r="Y248" s="51" t="n">
        <f aca="false">IF(T248&lt;&gt;"",T248,INDEX('Cài đặt'!$B$20:$C$22,MATCH(I248,'Cài đặt'!$A$20:$A$22,0),IF(K248="AI tự động",1,2)))</f>
        <v>2</v>
      </c>
    </row>
    <row r="249" customFormat="false" ht="15" hidden="false" customHeight="false" outlineLevel="0" collapsed="false">
      <c r="A249" s="41" t="s">
        <v>694</v>
      </c>
      <c r="B249" s="41" t="s">
        <v>443</v>
      </c>
      <c r="C249" s="41" t="s">
        <v>171</v>
      </c>
      <c r="D249" s="42" t="str">
        <f aca="false">INDEX('Page và Ngách'!$B$5:$B$10,MATCH(C249,'Page và Ngách'!$A$5:$A$10,0))</f>
        <v>Contract marriage / Fake relationship</v>
      </c>
      <c r="E249" s="41" t="n">
        <v>21</v>
      </c>
      <c r="F249" s="43" t="n">
        <f aca="false">'Cài đặt'!$B$37+E249-1</f>
        <v>46355</v>
      </c>
      <c r="G249" s="41" t="s">
        <v>444</v>
      </c>
      <c r="H249" s="44" t="str">
        <f aca="false">IF(G249="S1",'Cài đặt'!$B$7,'Cài đặt'!$B$8)</f>
        <v>12:00</v>
      </c>
      <c r="I249" s="41" t="s">
        <v>111</v>
      </c>
      <c r="J249" s="41" t="s">
        <v>132</v>
      </c>
      <c r="K249" s="41" t="s">
        <v>445</v>
      </c>
      <c r="L249" s="42" t="str">
        <f aca="false">C249&amp;"_"&amp;B249&amp;"_"&amp;IF(I249="Reel","R",IF(I249="Carousel","C","I"))&amp;"_"&amp;J249&amp;"_"&amp;IF(K249="AI tự động","AI","HU")&amp;"_"&amp;RIGHT(A249,3)</f>
        <v>P3_EXP1_I_A_AI_041</v>
      </c>
      <c r="M249" s="45"/>
      <c r="N249" s="45"/>
      <c r="O249" s="46"/>
      <c r="P249" s="46"/>
      <c r="Q249" s="46"/>
      <c r="R249" s="47"/>
      <c r="S249" s="45"/>
      <c r="T249" s="45"/>
      <c r="U249" s="48" t="str">
        <f aca="false">IF(O249&gt;0,P249/O249,"")</f>
        <v/>
      </c>
      <c r="V249" s="49" t="str">
        <f aca="false">IF(P249&gt;0,Q249/P249,"")</f>
        <v/>
      </c>
      <c r="W249" s="50" t="n">
        <f aca="false">IF(R249&lt;&gt;"",R249,Q249*'Cài đặt'!$B$12)</f>
        <v>0</v>
      </c>
      <c r="X249" s="50" t="str">
        <f aca="false">IF(O249&gt;0,W249/O249*1000,"")</f>
        <v/>
      </c>
      <c r="Y249" s="51" t="n">
        <f aca="false">IF(T249&lt;&gt;"",T249,INDEX('Cài đặt'!$B$20:$C$22,MATCH(I249,'Cài đặt'!$A$20:$A$22,0),IF(K249="AI tự động",1,2)))</f>
        <v>2</v>
      </c>
    </row>
    <row r="250" customFormat="false" ht="15" hidden="false" customHeight="false" outlineLevel="0" collapsed="false">
      <c r="A250" s="41" t="s">
        <v>695</v>
      </c>
      <c r="B250" s="41" t="s">
        <v>443</v>
      </c>
      <c r="C250" s="41" t="s">
        <v>171</v>
      </c>
      <c r="D250" s="42" t="str">
        <f aca="false">INDEX('Page và Ngách'!$B$5:$B$10,MATCH(C250,'Page và Ngách'!$A$5:$A$10,0))</f>
        <v>Contract marriage / Fake relationship</v>
      </c>
      <c r="E250" s="41" t="n">
        <v>21</v>
      </c>
      <c r="F250" s="43" t="n">
        <f aca="false">'Cài đặt'!$B$37+E250-1</f>
        <v>46355</v>
      </c>
      <c r="G250" s="41" t="s">
        <v>451</v>
      </c>
      <c r="H250" s="44" t="str">
        <f aca="false">IF(G250="S1",'Cài đặt'!$B$7,'Cài đặt'!$B$8)</f>
        <v>20:00</v>
      </c>
      <c r="I250" s="41" t="s">
        <v>113</v>
      </c>
      <c r="J250" s="41" t="s">
        <v>132</v>
      </c>
      <c r="K250" s="41" t="s">
        <v>445</v>
      </c>
      <c r="L250" s="42" t="str">
        <f aca="false">C250&amp;"_"&amp;B250&amp;"_"&amp;IF(I250="Reel","R",IF(I250="Carousel","C","I"))&amp;"_"&amp;J250&amp;"_"&amp;IF(K250="AI tự động","AI","HU")&amp;"_"&amp;RIGHT(A250,3)</f>
        <v>P3_EXP1_C_A_AI_042</v>
      </c>
      <c r="M250" s="45"/>
      <c r="N250" s="45"/>
      <c r="O250" s="46"/>
      <c r="P250" s="46"/>
      <c r="Q250" s="46"/>
      <c r="R250" s="47"/>
      <c r="S250" s="45"/>
      <c r="T250" s="45"/>
      <c r="U250" s="48" t="str">
        <f aca="false">IF(O250&gt;0,P250/O250,"")</f>
        <v/>
      </c>
      <c r="V250" s="49" t="str">
        <f aca="false">IF(P250&gt;0,Q250/P250,"")</f>
        <v/>
      </c>
      <c r="W250" s="50" t="n">
        <f aca="false">IF(R250&lt;&gt;"",R250,Q250*'Cài đặt'!$B$12)</f>
        <v>0</v>
      </c>
      <c r="X250" s="50" t="str">
        <f aca="false">IF(O250&gt;0,W250/O250*1000,"")</f>
        <v/>
      </c>
      <c r="Y250" s="51" t="n">
        <f aca="false">IF(T250&lt;&gt;"",T250,INDEX('Cài đặt'!$B$20:$C$22,MATCH(I250,'Cài đặt'!$A$20:$A$22,0),IF(K250="AI tự động",1,2)))</f>
        <v>4</v>
      </c>
    </row>
    <row r="251" customFormat="false" ht="15" hidden="false" customHeight="false" outlineLevel="0" collapsed="false">
      <c r="A251" s="41" t="s">
        <v>696</v>
      </c>
      <c r="B251" s="41" t="s">
        <v>443</v>
      </c>
      <c r="C251" s="41" t="s">
        <v>178</v>
      </c>
      <c r="D251" s="42" t="str">
        <f aca="false">INDEX('Page và Ngách'!$B$5:$B$10,MATCH(C251,'Page và Ngách'!$A$5:$A$10,0))</f>
        <v>Revenge / Betrayal ("you'll regret it")</v>
      </c>
      <c r="E251" s="41" t="n">
        <v>21</v>
      </c>
      <c r="F251" s="43" t="n">
        <f aca="false">'Cài đặt'!$B$37+E251-1</f>
        <v>46355</v>
      </c>
      <c r="G251" s="41" t="s">
        <v>444</v>
      </c>
      <c r="H251" s="44" t="str">
        <f aca="false">IF(G251="S1",'Cài đặt'!$B$7,'Cài đặt'!$B$8)</f>
        <v>12:00</v>
      </c>
      <c r="I251" s="41" t="s">
        <v>113</v>
      </c>
      <c r="J251" s="41" t="s">
        <v>132</v>
      </c>
      <c r="K251" s="41" t="s">
        <v>445</v>
      </c>
      <c r="L251" s="42" t="str">
        <f aca="false">C251&amp;"_"&amp;B251&amp;"_"&amp;IF(I251="Reel","R",IF(I251="Carousel","C","I"))&amp;"_"&amp;J251&amp;"_"&amp;IF(K251="AI tự động","AI","HU")&amp;"_"&amp;RIGHT(A251,3)</f>
        <v>P4_EXP1_C_A_AI_041</v>
      </c>
      <c r="M251" s="45"/>
      <c r="N251" s="45"/>
      <c r="O251" s="46"/>
      <c r="P251" s="46"/>
      <c r="Q251" s="46"/>
      <c r="R251" s="47"/>
      <c r="S251" s="45"/>
      <c r="T251" s="45"/>
      <c r="U251" s="48" t="str">
        <f aca="false">IF(O251&gt;0,P251/O251,"")</f>
        <v/>
      </c>
      <c r="V251" s="49" t="str">
        <f aca="false">IF(P251&gt;0,Q251/P251,"")</f>
        <v/>
      </c>
      <c r="W251" s="50" t="n">
        <f aca="false">IF(R251&lt;&gt;"",R251,Q251*'Cài đặt'!$B$12)</f>
        <v>0</v>
      </c>
      <c r="X251" s="50" t="str">
        <f aca="false">IF(O251&gt;0,W251/O251*1000,"")</f>
        <v/>
      </c>
      <c r="Y251" s="51" t="n">
        <f aca="false">IF(T251&lt;&gt;"",T251,INDEX('Cài đặt'!$B$20:$C$22,MATCH(I251,'Cài đặt'!$A$20:$A$22,0),IF(K251="AI tự động",1,2)))</f>
        <v>4</v>
      </c>
    </row>
    <row r="252" customFormat="false" ht="15" hidden="false" customHeight="false" outlineLevel="0" collapsed="false">
      <c r="A252" s="41" t="s">
        <v>697</v>
      </c>
      <c r="B252" s="41" t="s">
        <v>443</v>
      </c>
      <c r="C252" s="41" t="s">
        <v>178</v>
      </c>
      <c r="D252" s="42" t="str">
        <f aca="false">INDEX('Page và Ngách'!$B$5:$B$10,MATCH(C252,'Page và Ngách'!$A$5:$A$10,0))</f>
        <v>Revenge / Betrayal ("you'll regret it")</v>
      </c>
      <c r="E252" s="41" t="n">
        <v>21</v>
      </c>
      <c r="F252" s="43" t="n">
        <f aca="false">'Cài đặt'!$B$37+E252-1</f>
        <v>46355</v>
      </c>
      <c r="G252" s="41" t="s">
        <v>451</v>
      </c>
      <c r="H252" s="44" t="str">
        <f aca="false">IF(G252="S1",'Cài đặt'!$B$7,'Cài đặt'!$B$8)</f>
        <v>20:00</v>
      </c>
      <c r="I252" s="41" t="s">
        <v>115</v>
      </c>
      <c r="J252" s="41" t="s">
        <v>132</v>
      </c>
      <c r="K252" s="41" t="s">
        <v>445</v>
      </c>
      <c r="L252" s="42" t="str">
        <f aca="false">C252&amp;"_"&amp;B252&amp;"_"&amp;IF(I252="Reel","R",IF(I252="Carousel","C","I"))&amp;"_"&amp;J252&amp;"_"&amp;IF(K252="AI tự động","AI","HU")&amp;"_"&amp;RIGHT(A252,3)</f>
        <v>P4_EXP1_R_A_AI_042</v>
      </c>
      <c r="M252" s="45"/>
      <c r="N252" s="45"/>
      <c r="O252" s="46"/>
      <c r="P252" s="46"/>
      <c r="Q252" s="46"/>
      <c r="R252" s="47"/>
      <c r="S252" s="45"/>
      <c r="T252" s="45"/>
      <c r="U252" s="48" t="str">
        <f aca="false">IF(O252&gt;0,P252/O252,"")</f>
        <v/>
      </c>
      <c r="V252" s="49" t="str">
        <f aca="false">IF(P252&gt;0,Q252/P252,"")</f>
        <v/>
      </c>
      <c r="W252" s="50" t="n">
        <f aca="false">IF(R252&lt;&gt;"",R252,Q252*'Cài đặt'!$B$12)</f>
        <v>0</v>
      </c>
      <c r="X252" s="50" t="str">
        <f aca="false">IF(O252&gt;0,W252/O252*1000,"")</f>
        <v/>
      </c>
      <c r="Y252" s="51" t="n">
        <f aca="false">IF(T252&lt;&gt;"",T252,INDEX('Cài đặt'!$B$20:$C$22,MATCH(I252,'Cài đặt'!$A$20:$A$22,0),IF(K252="AI tự động",1,2)))</f>
        <v>8</v>
      </c>
    </row>
    <row r="253" customFormat="false" ht="15" hidden="false" customHeight="false" outlineLevel="0" collapsed="false">
      <c r="A253" s="41" t="s">
        <v>698</v>
      </c>
      <c r="B253" s="41" t="s">
        <v>443</v>
      </c>
      <c r="C253" s="41" t="s">
        <v>185</v>
      </c>
      <c r="D253" s="42" t="str">
        <f aca="false">INDEX('Page và Ngách'!$B$5:$B$10,MATCH(C253,'Page và Ngách'!$A$5:$A$10,0))</f>
        <v>Mafia / Dark romance (teaser PG-13)</v>
      </c>
      <c r="E253" s="41" t="n">
        <v>21</v>
      </c>
      <c r="F253" s="43" t="n">
        <f aca="false">'Cài đặt'!$B$37+E253-1</f>
        <v>46355</v>
      </c>
      <c r="G253" s="41" t="s">
        <v>444</v>
      </c>
      <c r="H253" s="44" t="str">
        <f aca="false">IF(G253="S1",'Cài đặt'!$B$7,'Cài đặt'!$B$8)</f>
        <v>12:00</v>
      </c>
      <c r="I253" s="41" t="s">
        <v>115</v>
      </c>
      <c r="J253" s="41" t="s">
        <v>132</v>
      </c>
      <c r="K253" s="41" t="s">
        <v>445</v>
      </c>
      <c r="L253" s="42" t="str">
        <f aca="false">C253&amp;"_"&amp;B253&amp;"_"&amp;IF(I253="Reel","R",IF(I253="Carousel","C","I"))&amp;"_"&amp;J253&amp;"_"&amp;IF(K253="AI tự động","AI","HU")&amp;"_"&amp;RIGHT(A253,3)</f>
        <v>P5_EXP1_R_A_AI_041</v>
      </c>
      <c r="M253" s="45"/>
      <c r="N253" s="45"/>
      <c r="O253" s="46"/>
      <c r="P253" s="46"/>
      <c r="Q253" s="46"/>
      <c r="R253" s="47"/>
      <c r="S253" s="45"/>
      <c r="T253" s="45"/>
      <c r="U253" s="48" t="str">
        <f aca="false">IF(O253&gt;0,P253/O253,"")</f>
        <v/>
      </c>
      <c r="V253" s="49" t="str">
        <f aca="false">IF(P253&gt;0,Q253/P253,"")</f>
        <v/>
      </c>
      <c r="W253" s="50" t="n">
        <f aca="false">IF(R253&lt;&gt;"",R253,Q253*'Cài đặt'!$B$12)</f>
        <v>0</v>
      </c>
      <c r="X253" s="50" t="str">
        <f aca="false">IF(O253&gt;0,W253/O253*1000,"")</f>
        <v/>
      </c>
      <c r="Y253" s="51" t="n">
        <f aca="false">IF(T253&lt;&gt;"",T253,INDEX('Cài đặt'!$B$20:$C$22,MATCH(I253,'Cài đặt'!$A$20:$A$22,0),IF(K253="AI tự động",1,2)))</f>
        <v>8</v>
      </c>
    </row>
    <row r="254" customFormat="false" ht="15" hidden="false" customHeight="false" outlineLevel="0" collapsed="false">
      <c r="A254" s="41" t="s">
        <v>699</v>
      </c>
      <c r="B254" s="41" t="s">
        <v>443</v>
      </c>
      <c r="C254" s="41" t="s">
        <v>185</v>
      </c>
      <c r="D254" s="42" t="str">
        <f aca="false">INDEX('Page và Ngách'!$B$5:$B$10,MATCH(C254,'Page và Ngách'!$A$5:$A$10,0))</f>
        <v>Mafia / Dark romance (teaser PG-13)</v>
      </c>
      <c r="E254" s="41" t="n">
        <v>21</v>
      </c>
      <c r="F254" s="43" t="n">
        <f aca="false">'Cài đặt'!$B$37+E254-1</f>
        <v>46355</v>
      </c>
      <c r="G254" s="41" t="s">
        <v>451</v>
      </c>
      <c r="H254" s="44" t="str">
        <f aca="false">IF(G254="S1",'Cài đặt'!$B$7,'Cài đặt'!$B$8)</f>
        <v>20:00</v>
      </c>
      <c r="I254" s="41" t="s">
        <v>111</v>
      </c>
      <c r="J254" s="41" t="s">
        <v>132</v>
      </c>
      <c r="K254" s="41" t="s">
        <v>445</v>
      </c>
      <c r="L254" s="42" t="str">
        <f aca="false">C254&amp;"_"&amp;B254&amp;"_"&amp;IF(I254="Reel","R",IF(I254="Carousel","C","I"))&amp;"_"&amp;J254&amp;"_"&amp;IF(K254="AI tự động","AI","HU")&amp;"_"&amp;RIGHT(A254,3)</f>
        <v>P5_EXP1_I_A_AI_042</v>
      </c>
      <c r="M254" s="45"/>
      <c r="N254" s="45"/>
      <c r="O254" s="46"/>
      <c r="P254" s="46"/>
      <c r="Q254" s="46"/>
      <c r="R254" s="47"/>
      <c r="S254" s="45"/>
      <c r="T254" s="45"/>
      <c r="U254" s="48" t="str">
        <f aca="false">IF(O254&gt;0,P254/O254,"")</f>
        <v/>
      </c>
      <c r="V254" s="49" t="str">
        <f aca="false">IF(P254&gt;0,Q254/P254,"")</f>
        <v/>
      </c>
      <c r="W254" s="50" t="n">
        <f aca="false">IF(R254&lt;&gt;"",R254,Q254*'Cài đặt'!$B$12)</f>
        <v>0</v>
      </c>
      <c r="X254" s="50" t="str">
        <f aca="false">IF(O254&gt;0,W254/O254*1000,"")</f>
        <v/>
      </c>
      <c r="Y254" s="51" t="n">
        <f aca="false">IF(T254&lt;&gt;"",T254,INDEX('Cài đặt'!$B$20:$C$22,MATCH(I254,'Cài đặt'!$A$20:$A$22,0),IF(K254="AI tự động",1,2)))</f>
        <v>2</v>
      </c>
    </row>
    <row r="255" customFormat="false" ht="15" hidden="false" customHeight="false" outlineLevel="0" collapsed="false">
      <c r="A255" s="41" t="s">
        <v>700</v>
      </c>
      <c r="B255" s="41" t="s">
        <v>443</v>
      </c>
      <c r="C255" s="41" t="s">
        <v>193</v>
      </c>
      <c r="D255" s="42" t="str">
        <f aca="false">INDEX('Page và Ngách'!$B$5:$B$10,MATCH(C255,'Page và Ngách'!$A$5:$A$10,0))</f>
        <v>Second chance / Secret baby</v>
      </c>
      <c r="E255" s="41" t="n">
        <v>21</v>
      </c>
      <c r="F255" s="43" t="n">
        <f aca="false">'Cài đặt'!$B$37+E255-1</f>
        <v>46355</v>
      </c>
      <c r="G255" s="41" t="s">
        <v>444</v>
      </c>
      <c r="H255" s="44" t="str">
        <f aca="false">IF(G255="S1",'Cài đặt'!$B$7,'Cài đặt'!$B$8)</f>
        <v>12:00</v>
      </c>
      <c r="I255" s="41" t="s">
        <v>111</v>
      </c>
      <c r="J255" s="41" t="s">
        <v>132</v>
      </c>
      <c r="K255" s="41" t="s">
        <v>445</v>
      </c>
      <c r="L255" s="42" t="str">
        <f aca="false">C255&amp;"_"&amp;B255&amp;"_"&amp;IF(I255="Reel","R",IF(I255="Carousel","C","I"))&amp;"_"&amp;J255&amp;"_"&amp;IF(K255="AI tự động","AI","HU")&amp;"_"&amp;RIGHT(A255,3)</f>
        <v>P6_EXP1_I_A_AI_041</v>
      </c>
      <c r="M255" s="45"/>
      <c r="N255" s="45"/>
      <c r="O255" s="46"/>
      <c r="P255" s="46"/>
      <c r="Q255" s="46"/>
      <c r="R255" s="47"/>
      <c r="S255" s="45"/>
      <c r="T255" s="45"/>
      <c r="U255" s="48" t="str">
        <f aca="false">IF(O255&gt;0,P255/O255,"")</f>
        <v/>
      </c>
      <c r="V255" s="49" t="str">
        <f aca="false">IF(P255&gt;0,Q255/P255,"")</f>
        <v/>
      </c>
      <c r="W255" s="50" t="n">
        <f aca="false">IF(R255&lt;&gt;"",R255,Q255*'Cài đặt'!$B$12)</f>
        <v>0</v>
      </c>
      <c r="X255" s="50" t="str">
        <f aca="false">IF(O255&gt;0,W255/O255*1000,"")</f>
        <v/>
      </c>
      <c r="Y255" s="51" t="n">
        <f aca="false">IF(T255&lt;&gt;"",T255,INDEX('Cài đặt'!$B$20:$C$22,MATCH(I255,'Cài đặt'!$A$20:$A$22,0),IF(K255="AI tự động",1,2)))</f>
        <v>2</v>
      </c>
    </row>
    <row r="256" customFormat="false" ht="15" hidden="false" customHeight="false" outlineLevel="0" collapsed="false">
      <c r="A256" s="41" t="s">
        <v>701</v>
      </c>
      <c r="B256" s="41" t="s">
        <v>443</v>
      </c>
      <c r="C256" s="41" t="s">
        <v>193</v>
      </c>
      <c r="D256" s="42" t="str">
        <f aca="false">INDEX('Page và Ngách'!$B$5:$B$10,MATCH(C256,'Page và Ngách'!$A$5:$A$10,0))</f>
        <v>Second chance / Secret baby</v>
      </c>
      <c r="E256" s="41" t="n">
        <v>21</v>
      </c>
      <c r="F256" s="43" t="n">
        <f aca="false">'Cài đặt'!$B$37+E256-1</f>
        <v>46355</v>
      </c>
      <c r="G256" s="41" t="s">
        <v>451</v>
      </c>
      <c r="H256" s="44" t="str">
        <f aca="false">IF(G256="S1",'Cài đặt'!$B$7,'Cài đặt'!$B$8)</f>
        <v>20:00</v>
      </c>
      <c r="I256" s="41" t="s">
        <v>113</v>
      </c>
      <c r="J256" s="41" t="s">
        <v>132</v>
      </c>
      <c r="K256" s="41" t="s">
        <v>445</v>
      </c>
      <c r="L256" s="42" t="str">
        <f aca="false">C256&amp;"_"&amp;B256&amp;"_"&amp;IF(I256="Reel","R",IF(I256="Carousel","C","I"))&amp;"_"&amp;J256&amp;"_"&amp;IF(K256="AI tự động","AI","HU")&amp;"_"&amp;RIGHT(A256,3)</f>
        <v>P6_EXP1_C_A_AI_042</v>
      </c>
      <c r="M256" s="45"/>
      <c r="N256" s="45"/>
      <c r="O256" s="46"/>
      <c r="P256" s="46"/>
      <c r="Q256" s="46"/>
      <c r="R256" s="47"/>
      <c r="S256" s="45"/>
      <c r="T256" s="45"/>
      <c r="U256" s="48" t="str">
        <f aca="false">IF(O256&gt;0,P256/O256,"")</f>
        <v/>
      </c>
      <c r="V256" s="49" t="str">
        <f aca="false">IF(P256&gt;0,Q256/P256,"")</f>
        <v/>
      </c>
      <c r="W256" s="50" t="n">
        <f aca="false">IF(R256&lt;&gt;"",R256,Q256*'Cài đặt'!$B$12)</f>
        <v>0</v>
      </c>
      <c r="X256" s="50" t="str">
        <f aca="false">IF(O256&gt;0,W256/O256*1000,"")</f>
        <v/>
      </c>
      <c r="Y256" s="51" t="n">
        <f aca="false">IF(T256&lt;&gt;"",T256,INDEX('Cài đặt'!$B$20:$C$22,MATCH(I256,'Cài đặt'!$A$20:$A$22,0),IF(K256="AI tự động",1,2)))</f>
        <v>4</v>
      </c>
    </row>
    <row r="257" customFormat="false" ht="15" hidden="false" customHeight="false" outlineLevel="0" collapsed="false">
      <c r="A257" s="41" t="s">
        <v>702</v>
      </c>
      <c r="B257" s="41" t="s">
        <v>703</v>
      </c>
      <c r="C257" s="41" t="s">
        <v>154</v>
      </c>
      <c r="D257" s="42" t="str">
        <f aca="false">INDEX('Page và Ngách'!$B$5:$B$10,MATCH(C257,'Page và Ngách'!$A$5:$A$10,0))</f>
        <v>Werewolf / Rejected mate</v>
      </c>
      <c r="E257" s="41" t="n">
        <v>1</v>
      </c>
      <c r="F257" s="43" t="n">
        <f aca="false">'Cài đặt'!$B$38+E257-1</f>
        <v>46356</v>
      </c>
      <c r="G257" s="41" t="s">
        <v>444</v>
      </c>
      <c r="H257" s="44" t="str">
        <f aca="false">IF(G257="S1",'Cài đặt'!$B$7,'Cài đặt'!$B$8)</f>
        <v>12:00</v>
      </c>
      <c r="I257" s="44" t="str">
        <f aca="false">'Cài đặt'!$B$32</f>
        <v>Carousel</v>
      </c>
      <c r="J257" s="41" t="s">
        <v>704</v>
      </c>
      <c r="K257" s="41" t="s">
        <v>445</v>
      </c>
      <c r="L257" s="42" t="str">
        <f aca="false">C257&amp;"_"&amp;B257&amp;"_"&amp;IF(I257="Reel","R",IF(I257="Carousel","C","I"))&amp;"_"&amp;J257&amp;"_"&amp;IF(K257="AI tự động","AI","HU")&amp;"_"&amp;RIGHT(A257,3)</f>
        <v>P1_EXP2_C_B_AI_001</v>
      </c>
      <c r="M257" s="45"/>
      <c r="N257" s="45"/>
      <c r="O257" s="46"/>
      <c r="P257" s="46"/>
      <c r="Q257" s="46"/>
      <c r="R257" s="47"/>
      <c r="S257" s="45"/>
      <c r="T257" s="45"/>
      <c r="U257" s="48" t="str">
        <f aca="false">IF(O257&gt;0,P257/O257,"")</f>
        <v/>
      </c>
      <c r="V257" s="49" t="str">
        <f aca="false">IF(P257&gt;0,Q257/P257,"")</f>
        <v/>
      </c>
      <c r="W257" s="50" t="n">
        <f aca="false">IF(R257&lt;&gt;"",R257,Q257*'Cài đặt'!$B$12)</f>
        <v>0</v>
      </c>
      <c r="X257" s="50" t="str">
        <f aca="false">IF(O257&gt;0,W257/O257*1000,"")</f>
        <v/>
      </c>
      <c r="Y257" s="51" t="n">
        <f aca="false">IF(T257&lt;&gt;"",T257,INDEX('Cài đặt'!$B$20:$C$22,MATCH(I257,'Cài đặt'!$A$20:$A$22,0),IF(K257="AI tự động",1,2)))</f>
        <v>4</v>
      </c>
    </row>
    <row r="258" customFormat="false" ht="15" hidden="false" customHeight="false" outlineLevel="0" collapsed="false">
      <c r="A258" s="41" t="s">
        <v>705</v>
      </c>
      <c r="B258" s="41" t="s">
        <v>703</v>
      </c>
      <c r="C258" s="41" t="s">
        <v>154</v>
      </c>
      <c r="D258" s="42" t="str">
        <f aca="false">INDEX('Page và Ngách'!$B$5:$B$10,MATCH(C258,'Page và Ngách'!$A$5:$A$10,0))</f>
        <v>Werewolf / Rejected mate</v>
      </c>
      <c r="E258" s="41" t="n">
        <v>1</v>
      </c>
      <c r="F258" s="43" t="n">
        <f aca="false">'Cài đặt'!$B$38+E258-1</f>
        <v>46356</v>
      </c>
      <c r="G258" s="41" t="s">
        <v>451</v>
      </c>
      <c r="H258" s="44" t="str">
        <f aca="false">IF(G258="S1",'Cài đặt'!$B$7,'Cài đặt'!$B$8)</f>
        <v>20:00</v>
      </c>
      <c r="I258" s="44" t="str">
        <f aca="false">'Cài đặt'!$B$32</f>
        <v>Carousel</v>
      </c>
      <c r="J258" s="41" t="s">
        <v>706</v>
      </c>
      <c r="K258" s="41" t="s">
        <v>445</v>
      </c>
      <c r="L258" s="42" t="str">
        <f aca="false">C258&amp;"_"&amp;B258&amp;"_"&amp;IF(I258="Reel","R",IF(I258="Carousel","C","I"))&amp;"_"&amp;J258&amp;"_"&amp;IF(K258="AI tự động","AI","HU")&amp;"_"&amp;RIGHT(A258,3)</f>
        <v>P1_EXP2_C_C_AI_002</v>
      </c>
      <c r="M258" s="45"/>
      <c r="N258" s="45"/>
      <c r="O258" s="46"/>
      <c r="P258" s="46"/>
      <c r="Q258" s="46"/>
      <c r="R258" s="47"/>
      <c r="S258" s="45"/>
      <c r="T258" s="45"/>
      <c r="U258" s="48" t="str">
        <f aca="false">IF(O258&gt;0,P258/O258,"")</f>
        <v/>
      </c>
      <c r="V258" s="49" t="str">
        <f aca="false">IF(P258&gt;0,Q258/P258,"")</f>
        <v/>
      </c>
      <c r="W258" s="50" t="n">
        <f aca="false">IF(R258&lt;&gt;"",R258,Q258*'Cài đặt'!$B$12)</f>
        <v>0</v>
      </c>
      <c r="X258" s="50" t="str">
        <f aca="false">IF(O258&gt;0,W258/O258*1000,"")</f>
        <v/>
      </c>
      <c r="Y258" s="51" t="n">
        <f aca="false">IF(T258&lt;&gt;"",T258,INDEX('Cài đặt'!$B$20:$C$22,MATCH(I258,'Cài đặt'!$A$20:$A$22,0),IF(K258="AI tự động",1,2)))</f>
        <v>4</v>
      </c>
    </row>
    <row r="259" customFormat="false" ht="15" hidden="false" customHeight="false" outlineLevel="0" collapsed="false">
      <c r="A259" s="41" t="s">
        <v>707</v>
      </c>
      <c r="B259" s="41" t="s">
        <v>703</v>
      </c>
      <c r="C259" s="41" t="s">
        <v>163</v>
      </c>
      <c r="D259" s="42" t="str">
        <f aca="false">INDEX('Page và Ngách'!$B$5:$B$10,MATCH(C259,'Page và Ngách'!$A$5:$A$10,0))</f>
        <v>Secret billionaire / CEO</v>
      </c>
      <c r="E259" s="41" t="n">
        <v>1</v>
      </c>
      <c r="F259" s="43" t="n">
        <f aca="false">'Cài đặt'!$B$38+E259-1</f>
        <v>46356</v>
      </c>
      <c r="G259" s="41" t="s">
        <v>444</v>
      </c>
      <c r="H259" s="44" t="str">
        <f aca="false">IF(G259="S1",'Cài đặt'!$B$7,'Cài đặt'!$B$8)</f>
        <v>12:00</v>
      </c>
      <c r="I259" s="44" t="str">
        <f aca="false">'Cài đặt'!$B$32</f>
        <v>Carousel</v>
      </c>
      <c r="J259" s="41" t="s">
        <v>706</v>
      </c>
      <c r="K259" s="41" t="s">
        <v>445</v>
      </c>
      <c r="L259" s="42" t="str">
        <f aca="false">C259&amp;"_"&amp;B259&amp;"_"&amp;IF(I259="Reel","R",IF(I259="Carousel","C","I"))&amp;"_"&amp;J259&amp;"_"&amp;IF(K259="AI tự động","AI","HU")&amp;"_"&amp;RIGHT(A259,3)</f>
        <v>P2_EXP2_C_C_AI_001</v>
      </c>
      <c r="M259" s="45"/>
      <c r="N259" s="45"/>
      <c r="O259" s="46"/>
      <c r="P259" s="46"/>
      <c r="Q259" s="46"/>
      <c r="R259" s="47"/>
      <c r="S259" s="45"/>
      <c r="T259" s="45"/>
      <c r="U259" s="48" t="str">
        <f aca="false">IF(O259&gt;0,P259/O259,"")</f>
        <v/>
      </c>
      <c r="V259" s="49" t="str">
        <f aca="false">IF(P259&gt;0,Q259/P259,"")</f>
        <v/>
      </c>
      <c r="W259" s="50" t="n">
        <f aca="false">IF(R259&lt;&gt;"",R259,Q259*'Cài đặt'!$B$12)</f>
        <v>0</v>
      </c>
      <c r="X259" s="50" t="str">
        <f aca="false">IF(O259&gt;0,W259/O259*1000,"")</f>
        <v/>
      </c>
      <c r="Y259" s="51" t="n">
        <f aca="false">IF(T259&lt;&gt;"",T259,INDEX('Cài đặt'!$B$20:$C$22,MATCH(I259,'Cài đặt'!$A$20:$A$22,0),IF(K259="AI tự động",1,2)))</f>
        <v>4</v>
      </c>
    </row>
    <row r="260" customFormat="false" ht="15" hidden="false" customHeight="false" outlineLevel="0" collapsed="false">
      <c r="A260" s="41" t="s">
        <v>708</v>
      </c>
      <c r="B260" s="41" t="s">
        <v>703</v>
      </c>
      <c r="C260" s="41" t="s">
        <v>163</v>
      </c>
      <c r="D260" s="42" t="str">
        <f aca="false">INDEX('Page và Ngách'!$B$5:$B$10,MATCH(C260,'Page và Ngách'!$A$5:$A$10,0))</f>
        <v>Secret billionaire / CEO</v>
      </c>
      <c r="E260" s="41" t="n">
        <v>1</v>
      </c>
      <c r="F260" s="43" t="n">
        <f aca="false">'Cài đặt'!$B$38+E260-1</f>
        <v>46356</v>
      </c>
      <c r="G260" s="41" t="s">
        <v>451</v>
      </c>
      <c r="H260" s="44" t="str">
        <f aca="false">IF(G260="S1",'Cài đặt'!$B$7,'Cài đặt'!$B$8)</f>
        <v>20:00</v>
      </c>
      <c r="I260" s="44" t="str">
        <f aca="false">'Cài đặt'!$B$32</f>
        <v>Carousel</v>
      </c>
      <c r="J260" s="41" t="s">
        <v>132</v>
      </c>
      <c r="K260" s="41" t="s">
        <v>445</v>
      </c>
      <c r="L260" s="42" t="str">
        <f aca="false">C260&amp;"_"&amp;B260&amp;"_"&amp;IF(I260="Reel","R",IF(I260="Carousel","C","I"))&amp;"_"&amp;J260&amp;"_"&amp;IF(K260="AI tự động","AI","HU")&amp;"_"&amp;RIGHT(A260,3)</f>
        <v>P2_EXP2_C_A_AI_002</v>
      </c>
      <c r="M260" s="45"/>
      <c r="N260" s="45"/>
      <c r="O260" s="46"/>
      <c r="P260" s="46"/>
      <c r="Q260" s="46"/>
      <c r="R260" s="47"/>
      <c r="S260" s="45"/>
      <c r="T260" s="45"/>
      <c r="U260" s="48" t="str">
        <f aca="false">IF(O260&gt;0,P260/O260,"")</f>
        <v/>
      </c>
      <c r="V260" s="49" t="str">
        <f aca="false">IF(P260&gt;0,Q260/P260,"")</f>
        <v/>
      </c>
      <c r="W260" s="50" t="n">
        <f aca="false">IF(R260&lt;&gt;"",R260,Q260*'Cài đặt'!$B$12)</f>
        <v>0</v>
      </c>
      <c r="X260" s="50" t="str">
        <f aca="false">IF(O260&gt;0,W260/O260*1000,"")</f>
        <v/>
      </c>
      <c r="Y260" s="51" t="n">
        <f aca="false">IF(T260&lt;&gt;"",T260,INDEX('Cài đặt'!$B$20:$C$22,MATCH(I260,'Cài đặt'!$A$20:$A$22,0),IF(K260="AI tự động",1,2)))</f>
        <v>4</v>
      </c>
    </row>
    <row r="261" customFormat="false" ht="15" hidden="false" customHeight="false" outlineLevel="0" collapsed="false">
      <c r="A261" s="41" t="s">
        <v>709</v>
      </c>
      <c r="B261" s="41" t="s">
        <v>703</v>
      </c>
      <c r="C261" s="41" t="s">
        <v>171</v>
      </c>
      <c r="D261" s="42" t="str">
        <f aca="false">INDEX('Page và Ngách'!$B$5:$B$10,MATCH(C261,'Page và Ngách'!$A$5:$A$10,0))</f>
        <v>Contract marriage / Fake relationship</v>
      </c>
      <c r="E261" s="41" t="n">
        <v>1</v>
      </c>
      <c r="F261" s="43" t="n">
        <f aca="false">'Cài đặt'!$B$38+E261-1</f>
        <v>46356</v>
      </c>
      <c r="G261" s="41" t="s">
        <v>444</v>
      </c>
      <c r="H261" s="44" t="str">
        <f aca="false">IF(G261="S1",'Cài đặt'!$B$7,'Cài đặt'!$B$8)</f>
        <v>12:00</v>
      </c>
      <c r="I261" s="44" t="str">
        <f aca="false">'Cài đặt'!$B$32</f>
        <v>Carousel</v>
      </c>
      <c r="J261" s="41" t="s">
        <v>132</v>
      </c>
      <c r="K261" s="41" t="s">
        <v>445</v>
      </c>
      <c r="L261" s="42" t="str">
        <f aca="false">C261&amp;"_"&amp;B261&amp;"_"&amp;IF(I261="Reel","R",IF(I261="Carousel","C","I"))&amp;"_"&amp;J261&amp;"_"&amp;IF(K261="AI tự động","AI","HU")&amp;"_"&amp;RIGHT(A261,3)</f>
        <v>P3_EXP2_C_A_AI_001</v>
      </c>
      <c r="M261" s="45"/>
      <c r="N261" s="45"/>
      <c r="O261" s="46"/>
      <c r="P261" s="46"/>
      <c r="Q261" s="46"/>
      <c r="R261" s="47"/>
      <c r="S261" s="45"/>
      <c r="T261" s="45"/>
      <c r="U261" s="48" t="str">
        <f aca="false">IF(O261&gt;0,P261/O261,"")</f>
        <v/>
      </c>
      <c r="V261" s="49" t="str">
        <f aca="false">IF(P261&gt;0,Q261/P261,"")</f>
        <v/>
      </c>
      <c r="W261" s="50" t="n">
        <f aca="false">IF(R261&lt;&gt;"",R261,Q261*'Cài đặt'!$B$12)</f>
        <v>0</v>
      </c>
      <c r="X261" s="50" t="str">
        <f aca="false">IF(O261&gt;0,W261/O261*1000,"")</f>
        <v/>
      </c>
      <c r="Y261" s="51" t="n">
        <f aca="false">IF(T261&lt;&gt;"",T261,INDEX('Cài đặt'!$B$20:$C$22,MATCH(I261,'Cài đặt'!$A$20:$A$22,0),IF(K261="AI tự động",1,2)))</f>
        <v>4</v>
      </c>
    </row>
    <row r="262" customFormat="false" ht="15" hidden="false" customHeight="false" outlineLevel="0" collapsed="false">
      <c r="A262" s="41" t="s">
        <v>710</v>
      </c>
      <c r="B262" s="41" t="s">
        <v>703</v>
      </c>
      <c r="C262" s="41" t="s">
        <v>171</v>
      </c>
      <c r="D262" s="42" t="str">
        <f aca="false">INDEX('Page và Ngách'!$B$5:$B$10,MATCH(C262,'Page và Ngách'!$A$5:$A$10,0))</f>
        <v>Contract marriage / Fake relationship</v>
      </c>
      <c r="E262" s="41" t="n">
        <v>1</v>
      </c>
      <c r="F262" s="43" t="n">
        <f aca="false">'Cài đặt'!$B$38+E262-1</f>
        <v>46356</v>
      </c>
      <c r="G262" s="41" t="s">
        <v>451</v>
      </c>
      <c r="H262" s="44" t="str">
        <f aca="false">IF(G262="S1",'Cài đặt'!$B$7,'Cài đặt'!$B$8)</f>
        <v>20:00</v>
      </c>
      <c r="I262" s="44" t="str">
        <f aca="false">'Cài đặt'!$B$32</f>
        <v>Carousel</v>
      </c>
      <c r="J262" s="41" t="s">
        <v>704</v>
      </c>
      <c r="K262" s="41" t="s">
        <v>445</v>
      </c>
      <c r="L262" s="42" t="str">
        <f aca="false">C262&amp;"_"&amp;B262&amp;"_"&amp;IF(I262="Reel","R",IF(I262="Carousel","C","I"))&amp;"_"&amp;J262&amp;"_"&amp;IF(K262="AI tự động","AI","HU")&amp;"_"&amp;RIGHT(A262,3)</f>
        <v>P3_EXP2_C_B_AI_002</v>
      </c>
      <c r="M262" s="45"/>
      <c r="N262" s="45"/>
      <c r="O262" s="46"/>
      <c r="P262" s="46"/>
      <c r="Q262" s="46"/>
      <c r="R262" s="47"/>
      <c r="S262" s="45"/>
      <c r="T262" s="45"/>
      <c r="U262" s="48" t="str">
        <f aca="false">IF(O262&gt;0,P262/O262,"")</f>
        <v/>
      </c>
      <c r="V262" s="49" t="str">
        <f aca="false">IF(P262&gt;0,Q262/P262,"")</f>
        <v/>
      </c>
      <c r="W262" s="50" t="n">
        <f aca="false">IF(R262&lt;&gt;"",R262,Q262*'Cài đặt'!$B$12)</f>
        <v>0</v>
      </c>
      <c r="X262" s="50" t="str">
        <f aca="false">IF(O262&gt;0,W262/O262*1000,"")</f>
        <v/>
      </c>
      <c r="Y262" s="51" t="n">
        <f aca="false">IF(T262&lt;&gt;"",T262,INDEX('Cài đặt'!$B$20:$C$22,MATCH(I262,'Cài đặt'!$A$20:$A$22,0),IF(K262="AI tự động",1,2)))</f>
        <v>4</v>
      </c>
    </row>
    <row r="263" customFormat="false" ht="15" hidden="false" customHeight="false" outlineLevel="0" collapsed="false">
      <c r="A263" s="41" t="s">
        <v>711</v>
      </c>
      <c r="B263" s="41" t="s">
        <v>703</v>
      </c>
      <c r="C263" s="41" t="s">
        <v>178</v>
      </c>
      <c r="D263" s="42" t="str">
        <f aca="false">INDEX('Page và Ngách'!$B$5:$B$10,MATCH(C263,'Page và Ngách'!$A$5:$A$10,0))</f>
        <v>Revenge / Betrayal ("you'll regret it")</v>
      </c>
      <c r="E263" s="41" t="n">
        <v>1</v>
      </c>
      <c r="F263" s="43" t="n">
        <f aca="false">'Cài đặt'!$B$38+E263-1</f>
        <v>46356</v>
      </c>
      <c r="G263" s="41" t="s">
        <v>444</v>
      </c>
      <c r="H263" s="44" t="str">
        <f aca="false">IF(G263="S1",'Cài đặt'!$B$7,'Cài đặt'!$B$8)</f>
        <v>12:00</v>
      </c>
      <c r="I263" s="44" t="str">
        <f aca="false">'Cài đặt'!$B$32</f>
        <v>Carousel</v>
      </c>
      <c r="J263" s="41" t="s">
        <v>704</v>
      </c>
      <c r="K263" s="41" t="s">
        <v>445</v>
      </c>
      <c r="L263" s="42" t="str">
        <f aca="false">C263&amp;"_"&amp;B263&amp;"_"&amp;IF(I263="Reel","R",IF(I263="Carousel","C","I"))&amp;"_"&amp;J263&amp;"_"&amp;IF(K263="AI tự động","AI","HU")&amp;"_"&amp;RIGHT(A263,3)</f>
        <v>P4_EXP2_C_B_AI_001</v>
      </c>
      <c r="M263" s="45"/>
      <c r="N263" s="45"/>
      <c r="O263" s="46"/>
      <c r="P263" s="46"/>
      <c r="Q263" s="46"/>
      <c r="R263" s="47"/>
      <c r="S263" s="45"/>
      <c r="T263" s="45"/>
      <c r="U263" s="48" t="str">
        <f aca="false">IF(O263&gt;0,P263/O263,"")</f>
        <v/>
      </c>
      <c r="V263" s="49" t="str">
        <f aca="false">IF(P263&gt;0,Q263/P263,"")</f>
        <v/>
      </c>
      <c r="W263" s="50" t="n">
        <f aca="false">IF(R263&lt;&gt;"",R263,Q263*'Cài đặt'!$B$12)</f>
        <v>0</v>
      </c>
      <c r="X263" s="50" t="str">
        <f aca="false">IF(O263&gt;0,W263/O263*1000,"")</f>
        <v/>
      </c>
      <c r="Y263" s="51" t="n">
        <f aca="false">IF(T263&lt;&gt;"",T263,INDEX('Cài đặt'!$B$20:$C$22,MATCH(I263,'Cài đặt'!$A$20:$A$22,0),IF(K263="AI tự động",1,2)))</f>
        <v>4</v>
      </c>
    </row>
    <row r="264" customFormat="false" ht="15" hidden="false" customHeight="false" outlineLevel="0" collapsed="false">
      <c r="A264" s="41" t="s">
        <v>712</v>
      </c>
      <c r="B264" s="41" t="s">
        <v>703</v>
      </c>
      <c r="C264" s="41" t="s">
        <v>178</v>
      </c>
      <c r="D264" s="42" t="str">
        <f aca="false">INDEX('Page và Ngách'!$B$5:$B$10,MATCH(C264,'Page và Ngách'!$A$5:$A$10,0))</f>
        <v>Revenge / Betrayal ("you'll regret it")</v>
      </c>
      <c r="E264" s="41" t="n">
        <v>1</v>
      </c>
      <c r="F264" s="43" t="n">
        <f aca="false">'Cài đặt'!$B$38+E264-1</f>
        <v>46356</v>
      </c>
      <c r="G264" s="41" t="s">
        <v>451</v>
      </c>
      <c r="H264" s="44" t="str">
        <f aca="false">IF(G264="S1",'Cài đặt'!$B$7,'Cài đặt'!$B$8)</f>
        <v>20:00</v>
      </c>
      <c r="I264" s="44" t="str">
        <f aca="false">'Cài đặt'!$B$32</f>
        <v>Carousel</v>
      </c>
      <c r="J264" s="41" t="s">
        <v>706</v>
      </c>
      <c r="K264" s="41" t="s">
        <v>445</v>
      </c>
      <c r="L264" s="42" t="str">
        <f aca="false">C264&amp;"_"&amp;B264&amp;"_"&amp;IF(I264="Reel","R",IF(I264="Carousel","C","I"))&amp;"_"&amp;J264&amp;"_"&amp;IF(K264="AI tự động","AI","HU")&amp;"_"&amp;RIGHT(A264,3)</f>
        <v>P4_EXP2_C_C_AI_002</v>
      </c>
      <c r="M264" s="45"/>
      <c r="N264" s="45"/>
      <c r="O264" s="46"/>
      <c r="P264" s="46"/>
      <c r="Q264" s="46"/>
      <c r="R264" s="47"/>
      <c r="S264" s="45"/>
      <c r="T264" s="45"/>
      <c r="U264" s="48" t="str">
        <f aca="false">IF(O264&gt;0,P264/O264,"")</f>
        <v/>
      </c>
      <c r="V264" s="49" t="str">
        <f aca="false">IF(P264&gt;0,Q264/P264,"")</f>
        <v/>
      </c>
      <c r="W264" s="50" t="n">
        <f aca="false">IF(R264&lt;&gt;"",R264,Q264*'Cài đặt'!$B$12)</f>
        <v>0</v>
      </c>
      <c r="X264" s="50" t="str">
        <f aca="false">IF(O264&gt;0,W264/O264*1000,"")</f>
        <v/>
      </c>
      <c r="Y264" s="51" t="n">
        <f aca="false">IF(T264&lt;&gt;"",T264,INDEX('Cài đặt'!$B$20:$C$22,MATCH(I264,'Cài đặt'!$A$20:$A$22,0),IF(K264="AI tự động",1,2)))</f>
        <v>4</v>
      </c>
    </row>
    <row r="265" customFormat="false" ht="15" hidden="false" customHeight="false" outlineLevel="0" collapsed="false">
      <c r="A265" s="41" t="s">
        <v>713</v>
      </c>
      <c r="B265" s="41" t="s">
        <v>703</v>
      </c>
      <c r="C265" s="41" t="s">
        <v>185</v>
      </c>
      <c r="D265" s="42" t="str">
        <f aca="false">INDEX('Page và Ngách'!$B$5:$B$10,MATCH(C265,'Page và Ngách'!$A$5:$A$10,0))</f>
        <v>Mafia / Dark romance (teaser PG-13)</v>
      </c>
      <c r="E265" s="41" t="n">
        <v>1</v>
      </c>
      <c r="F265" s="43" t="n">
        <f aca="false">'Cài đặt'!$B$38+E265-1</f>
        <v>46356</v>
      </c>
      <c r="G265" s="41" t="s">
        <v>444</v>
      </c>
      <c r="H265" s="44" t="str">
        <f aca="false">IF(G265="S1",'Cài đặt'!$B$7,'Cài đặt'!$B$8)</f>
        <v>12:00</v>
      </c>
      <c r="I265" s="44" t="str">
        <f aca="false">'Cài đặt'!$B$32</f>
        <v>Carousel</v>
      </c>
      <c r="J265" s="41" t="s">
        <v>706</v>
      </c>
      <c r="K265" s="41" t="s">
        <v>445</v>
      </c>
      <c r="L265" s="42" t="str">
        <f aca="false">C265&amp;"_"&amp;B265&amp;"_"&amp;IF(I265="Reel","R",IF(I265="Carousel","C","I"))&amp;"_"&amp;J265&amp;"_"&amp;IF(K265="AI tự động","AI","HU")&amp;"_"&amp;RIGHT(A265,3)</f>
        <v>P5_EXP2_C_C_AI_001</v>
      </c>
      <c r="M265" s="45"/>
      <c r="N265" s="45"/>
      <c r="O265" s="46"/>
      <c r="P265" s="46"/>
      <c r="Q265" s="46"/>
      <c r="R265" s="47"/>
      <c r="S265" s="45"/>
      <c r="T265" s="45"/>
      <c r="U265" s="48" t="str">
        <f aca="false">IF(O265&gt;0,P265/O265,"")</f>
        <v/>
      </c>
      <c r="V265" s="49" t="str">
        <f aca="false">IF(P265&gt;0,Q265/P265,"")</f>
        <v/>
      </c>
      <c r="W265" s="50" t="n">
        <f aca="false">IF(R265&lt;&gt;"",R265,Q265*'Cài đặt'!$B$12)</f>
        <v>0</v>
      </c>
      <c r="X265" s="50" t="str">
        <f aca="false">IF(O265&gt;0,W265/O265*1000,"")</f>
        <v/>
      </c>
      <c r="Y265" s="51" t="n">
        <f aca="false">IF(T265&lt;&gt;"",T265,INDEX('Cài đặt'!$B$20:$C$22,MATCH(I265,'Cài đặt'!$A$20:$A$22,0),IF(K265="AI tự động",1,2)))</f>
        <v>4</v>
      </c>
    </row>
    <row r="266" customFormat="false" ht="15" hidden="false" customHeight="false" outlineLevel="0" collapsed="false">
      <c r="A266" s="41" t="s">
        <v>714</v>
      </c>
      <c r="B266" s="41" t="s">
        <v>703</v>
      </c>
      <c r="C266" s="41" t="s">
        <v>185</v>
      </c>
      <c r="D266" s="42" t="str">
        <f aca="false">INDEX('Page và Ngách'!$B$5:$B$10,MATCH(C266,'Page và Ngách'!$A$5:$A$10,0))</f>
        <v>Mafia / Dark romance (teaser PG-13)</v>
      </c>
      <c r="E266" s="41" t="n">
        <v>1</v>
      </c>
      <c r="F266" s="43" t="n">
        <f aca="false">'Cài đặt'!$B$38+E266-1</f>
        <v>46356</v>
      </c>
      <c r="G266" s="41" t="s">
        <v>451</v>
      </c>
      <c r="H266" s="44" t="str">
        <f aca="false">IF(G266="S1",'Cài đặt'!$B$7,'Cài đặt'!$B$8)</f>
        <v>20:00</v>
      </c>
      <c r="I266" s="44" t="str">
        <f aca="false">'Cài đặt'!$B$32</f>
        <v>Carousel</v>
      </c>
      <c r="J266" s="41" t="s">
        <v>132</v>
      </c>
      <c r="K266" s="41" t="s">
        <v>445</v>
      </c>
      <c r="L266" s="42" t="str">
        <f aca="false">C266&amp;"_"&amp;B266&amp;"_"&amp;IF(I266="Reel","R",IF(I266="Carousel","C","I"))&amp;"_"&amp;J266&amp;"_"&amp;IF(K266="AI tự động","AI","HU")&amp;"_"&amp;RIGHT(A266,3)</f>
        <v>P5_EXP2_C_A_AI_002</v>
      </c>
      <c r="M266" s="45"/>
      <c r="N266" s="45"/>
      <c r="O266" s="46"/>
      <c r="P266" s="46"/>
      <c r="Q266" s="46"/>
      <c r="R266" s="47"/>
      <c r="S266" s="45"/>
      <c r="T266" s="45"/>
      <c r="U266" s="48" t="str">
        <f aca="false">IF(O266&gt;0,P266/O266,"")</f>
        <v/>
      </c>
      <c r="V266" s="49" t="str">
        <f aca="false">IF(P266&gt;0,Q266/P266,"")</f>
        <v/>
      </c>
      <c r="W266" s="50" t="n">
        <f aca="false">IF(R266&lt;&gt;"",R266,Q266*'Cài đặt'!$B$12)</f>
        <v>0</v>
      </c>
      <c r="X266" s="50" t="str">
        <f aca="false">IF(O266&gt;0,W266/O266*1000,"")</f>
        <v/>
      </c>
      <c r="Y266" s="51" t="n">
        <f aca="false">IF(T266&lt;&gt;"",T266,INDEX('Cài đặt'!$B$20:$C$22,MATCH(I266,'Cài đặt'!$A$20:$A$22,0),IF(K266="AI tự động",1,2)))</f>
        <v>4</v>
      </c>
    </row>
    <row r="267" customFormat="false" ht="15" hidden="false" customHeight="false" outlineLevel="0" collapsed="false">
      <c r="A267" s="41" t="s">
        <v>715</v>
      </c>
      <c r="B267" s="41" t="s">
        <v>703</v>
      </c>
      <c r="C267" s="41" t="s">
        <v>193</v>
      </c>
      <c r="D267" s="42" t="str">
        <f aca="false">INDEX('Page và Ngách'!$B$5:$B$10,MATCH(C267,'Page và Ngách'!$A$5:$A$10,0))</f>
        <v>Second chance / Secret baby</v>
      </c>
      <c r="E267" s="41" t="n">
        <v>1</v>
      </c>
      <c r="F267" s="43" t="n">
        <f aca="false">'Cài đặt'!$B$38+E267-1</f>
        <v>46356</v>
      </c>
      <c r="G267" s="41" t="s">
        <v>444</v>
      </c>
      <c r="H267" s="44" t="str">
        <f aca="false">IF(G267="S1",'Cài đặt'!$B$7,'Cài đặt'!$B$8)</f>
        <v>12:00</v>
      </c>
      <c r="I267" s="44" t="str">
        <f aca="false">'Cài đặt'!$B$32</f>
        <v>Carousel</v>
      </c>
      <c r="J267" s="41" t="s">
        <v>132</v>
      </c>
      <c r="K267" s="41" t="s">
        <v>445</v>
      </c>
      <c r="L267" s="42" t="str">
        <f aca="false">C267&amp;"_"&amp;B267&amp;"_"&amp;IF(I267="Reel","R",IF(I267="Carousel","C","I"))&amp;"_"&amp;J267&amp;"_"&amp;IF(K267="AI tự động","AI","HU")&amp;"_"&amp;RIGHT(A267,3)</f>
        <v>P6_EXP2_C_A_AI_001</v>
      </c>
      <c r="M267" s="45"/>
      <c r="N267" s="45"/>
      <c r="O267" s="46"/>
      <c r="P267" s="46"/>
      <c r="Q267" s="46"/>
      <c r="R267" s="47"/>
      <c r="S267" s="45"/>
      <c r="T267" s="45"/>
      <c r="U267" s="48" t="str">
        <f aca="false">IF(O267&gt;0,P267/O267,"")</f>
        <v/>
      </c>
      <c r="V267" s="49" t="str">
        <f aca="false">IF(P267&gt;0,Q267/P267,"")</f>
        <v/>
      </c>
      <c r="W267" s="50" t="n">
        <f aca="false">IF(R267&lt;&gt;"",R267,Q267*'Cài đặt'!$B$12)</f>
        <v>0</v>
      </c>
      <c r="X267" s="50" t="str">
        <f aca="false">IF(O267&gt;0,W267/O267*1000,"")</f>
        <v/>
      </c>
      <c r="Y267" s="51" t="n">
        <f aca="false">IF(T267&lt;&gt;"",T267,INDEX('Cài đặt'!$B$20:$C$22,MATCH(I267,'Cài đặt'!$A$20:$A$22,0),IF(K267="AI tự động",1,2)))</f>
        <v>4</v>
      </c>
    </row>
    <row r="268" customFormat="false" ht="15" hidden="false" customHeight="false" outlineLevel="0" collapsed="false">
      <c r="A268" s="41" t="s">
        <v>716</v>
      </c>
      <c r="B268" s="41" t="s">
        <v>703</v>
      </c>
      <c r="C268" s="41" t="s">
        <v>193</v>
      </c>
      <c r="D268" s="42" t="str">
        <f aca="false">INDEX('Page và Ngách'!$B$5:$B$10,MATCH(C268,'Page và Ngách'!$A$5:$A$10,0))</f>
        <v>Second chance / Secret baby</v>
      </c>
      <c r="E268" s="41" t="n">
        <v>1</v>
      </c>
      <c r="F268" s="43" t="n">
        <f aca="false">'Cài đặt'!$B$38+E268-1</f>
        <v>46356</v>
      </c>
      <c r="G268" s="41" t="s">
        <v>451</v>
      </c>
      <c r="H268" s="44" t="str">
        <f aca="false">IF(G268="S1",'Cài đặt'!$B$7,'Cài đặt'!$B$8)</f>
        <v>20:00</v>
      </c>
      <c r="I268" s="44" t="str">
        <f aca="false">'Cài đặt'!$B$32</f>
        <v>Carousel</v>
      </c>
      <c r="J268" s="41" t="s">
        <v>704</v>
      </c>
      <c r="K268" s="41" t="s">
        <v>445</v>
      </c>
      <c r="L268" s="42" t="str">
        <f aca="false">C268&amp;"_"&amp;B268&amp;"_"&amp;IF(I268="Reel","R",IF(I268="Carousel","C","I"))&amp;"_"&amp;J268&amp;"_"&amp;IF(K268="AI tự động","AI","HU")&amp;"_"&amp;RIGHT(A268,3)</f>
        <v>P6_EXP2_C_B_AI_002</v>
      </c>
      <c r="M268" s="45"/>
      <c r="N268" s="45"/>
      <c r="O268" s="46"/>
      <c r="P268" s="46"/>
      <c r="Q268" s="46"/>
      <c r="R268" s="47"/>
      <c r="S268" s="45"/>
      <c r="T268" s="45"/>
      <c r="U268" s="48" t="str">
        <f aca="false">IF(O268&gt;0,P268/O268,"")</f>
        <v/>
      </c>
      <c r="V268" s="49" t="str">
        <f aca="false">IF(P268&gt;0,Q268/P268,"")</f>
        <v/>
      </c>
      <c r="W268" s="50" t="n">
        <f aca="false">IF(R268&lt;&gt;"",R268,Q268*'Cài đặt'!$B$12)</f>
        <v>0</v>
      </c>
      <c r="X268" s="50" t="str">
        <f aca="false">IF(O268&gt;0,W268/O268*1000,"")</f>
        <v/>
      </c>
      <c r="Y268" s="51" t="n">
        <f aca="false">IF(T268&lt;&gt;"",T268,INDEX('Cài đặt'!$B$20:$C$22,MATCH(I268,'Cài đặt'!$A$20:$A$22,0),IF(K268="AI tự động",1,2)))</f>
        <v>4</v>
      </c>
    </row>
    <row r="269" customFormat="false" ht="15" hidden="false" customHeight="false" outlineLevel="0" collapsed="false">
      <c r="A269" s="41" t="s">
        <v>717</v>
      </c>
      <c r="B269" s="41" t="s">
        <v>703</v>
      </c>
      <c r="C269" s="41" t="s">
        <v>154</v>
      </c>
      <c r="D269" s="42" t="str">
        <f aca="false">INDEX('Page và Ngách'!$B$5:$B$10,MATCH(C269,'Page và Ngách'!$A$5:$A$10,0))</f>
        <v>Werewolf / Rejected mate</v>
      </c>
      <c r="E269" s="41" t="n">
        <v>2</v>
      </c>
      <c r="F269" s="43" t="n">
        <f aca="false">'Cài đặt'!$B$38+E269-1</f>
        <v>46357</v>
      </c>
      <c r="G269" s="41" t="s">
        <v>444</v>
      </c>
      <c r="H269" s="44" t="str">
        <f aca="false">IF(G269="S1",'Cài đặt'!$B$7,'Cài đặt'!$B$8)</f>
        <v>12:00</v>
      </c>
      <c r="I269" s="44" t="str">
        <f aca="false">'Cài đặt'!$B$32</f>
        <v>Carousel</v>
      </c>
      <c r="J269" s="41" t="s">
        <v>132</v>
      </c>
      <c r="K269" s="41" t="s">
        <v>445</v>
      </c>
      <c r="L269" s="42" t="str">
        <f aca="false">C269&amp;"_"&amp;B269&amp;"_"&amp;IF(I269="Reel","R",IF(I269="Carousel","C","I"))&amp;"_"&amp;J269&amp;"_"&amp;IF(K269="AI tự động","AI","HU")&amp;"_"&amp;RIGHT(A269,3)</f>
        <v>P1_EXP2_C_A_AI_003</v>
      </c>
      <c r="M269" s="45"/>
      <c r="N269" s="45"/>
      <c r="O269" s="46"/>
      <c r="P269" s="46"/>
      <c r="Q269" s="46"/>
      <c r="R269" s="47"/>
      <c r="S269" s="45"/>
      <c r="T269" s="45"/>
      <c r="U269" s="48" t="str">
        <f aca="false">IF(O269&gt;0,P269/O269,"")</f>
        <v/>
      </c>
      <c r="V269" s="49" t="str">
        <f aca="false">IF(P269&gt;0,Q269/P269,"")</f>
        <v/>
      </c>
      <c r="W269" s="50" t="n">
        <f aca="false">IF(R269&lt;&gt;"",R269,Q269*'Cài đặt'!$B$12)</f>
        <v>0</v>
      </c>
      <c r="X269" s="50" t="str">
        <f aca="false">IF(O269&gt;0,W269/O269*1000,"")</f>
        <v/>
      </c>
      <c r="Y269" s="51" t="n">
        <f aca="false">IF(T269&lt;&gt;"",T269,INDEX('Cài đặt'!$B$20:$C$22,MATCH(I269,'Cài đặt'!$A$20:$A$22,0),IF(K269="AI tự động",1,2)))</f>
        <v>4</v>
      </c>
    </row>
    <row r="270" customFormat="false" ht="15" hidden="false" customHeight="false" outlineLevel="0" collapsed="false">
      <c r="A270" s="41" t="s">
        <v>718</v>
      </c>
      <c r="B270" s="41" t="s">
        <v>703</v>
      </c>
      <c r="C270" s="41" t="s">
        <v>154</v>
      </c>
      <c r="D270" s="42" t="str">
        <f aca="false">INDEX('Page và Ngách'!$B$5:$B$10,MATCH(C270,'Page và Ngách'!$A$5:$A$10,0))</f>
        <v>Werewolf / Rejected mate</v>
      </c>
      <c r="E270" s="41" t="n">
        <v>2</v>
      </c>
      <c r="F270" s="43" t="n">
        <f aca="false">'Cài đặt'!$B$38+E270-1</f>
        <v>46357</v>
      </c>
      <c r="G270" s="41" t="s">
        <v>451</v>
      </c>
      <c r="H270" s="44" t="str">
        <f aca="false">IF(G270="S1",'Cài đặt'!$B$7,'Cài đặt'!$B$8)</f>
        <v>20:00</v>
      </c>
      <c r="I270" s="44" t="str">
        <f aca="false">'Cài đặt'!$B$32</f>
        <v>Carousel</v>
      </c>
      <c r="J270" s="41" t="s">
        <v>704</v>
      </c>
      <c r="K270" s="41" t="s">
        <v>445</v>
      </c>
      <c r="L270" s="42" t="str">
        <f aca="false">C270&amp;"_"&amp;B270&amp;"_"&amp;IF(I270="Reel","R",IF(I270="Carousel","C","I"))&amp;"_"&amp;J270&amp;"_"&amp;IF(K270="AI tự động","AI","HU")&amp;"_"&amp;RIGHT(A270,3)</f>
        <v>P1_EXP2_C_B_AI_004</v>
      </c>
      <c r="M270" s="45"/>
      <c r="N270" s="45"/>
      <c r="O270" s="46"/>
      <c r="P270" s="46"/>
      <c r="Q270" s="46"/>
      <c r="R270" s="47"/>
      <c r="S270" s="45"/>
      <c r="T270" s="45"/>
      <c r="U270" s="48" t="str">
        <f aca="false">IF(O270&gt;0,P270/O270,"")</f>
        <v/>
      </c>
      <c r="V270" s="49" t="str">
        <f aca="false">IF(P270&gt;0,Q270/P270,"")</f>
        <v/>
      </c>
      <c r="W270" s="50" t="n">
        <f aca="false">IF(R270&lt;&gt;"",R270,Q270*'Cài đặt'!$B$12)</f>
        <v>0</v>
      </c>
      <c r="X270" s="50" t="str">
        <f aca="false">IF(O270&gt;0,W270/O270*1000,"")</f>
        <v/>
      </c>
      <c r="Y270" s="51" t="n">
        <f aca="false">IF(T270&lt;&gt;"",T270,INDEX('Cài đặt'!$B$20:$C$22,MATCH(I270,'Cài đặt'!$A$20:$A$22,0),IF(K270="AI tự động",1,2)))</f>
        <v>4</v>
      </c>
    </row>
    <row r="271" customFormat="false" ht="15" hidden="false" customHeight="false" outlineLevel="0" collapsed="false">
      <c r="A271" s="41" t="s">
        <v>719</v>
      </c>
      <c r="B271" s="41" t="s">
        <v>703</v>
      </c>
      <c r="C271" s="41" t="s">
        <v>163</v>
      </c>
      <c r="D271" s="42" t="str">
        <f aca="false">INDEX('Page và Ngách'!$B$5:$B$10,MATCH(C271,'Page và Ngách'!$A$5:$A$10,0))</f>
        <v>Secret billionaire / CEO</v>
      </c>
      <c r="E271" s="41" t="n">
        <v>2</v>
      </c>
      <c r="F271" s="43" t="n">
        <f aca="false">'Cài đặt'!$B$38+E271-1</f>
        <v>46357</v>
      </c>
      <c r="G271" s="41" t="s">
        <v>444</v>
      </c>
      <c r="H271" s="44" t="str">
        <f aca="false">IF(G271="S1",'Cài đặt'!$B$7,'Cài đặt'!$B$8)</f>
        <v>12:00</v>
      </c>
      <c r="I271" s="44" t="str">
        <f aca="false">'Cài đặt'!$B$32</f>
        <v>Carousel</v>
      </c>
      <c r="J271" s="41" t="s">
        <v>704</v>
      </c>
      <c r="K271" s="41" t="s">
        <v>445</v>
      </c>
      <c r="L271" s="42" t="str">
        <f aca="false">C271&amp;"_"&amp;B271&amp;"_"&amp;IF(I271="Reel","R",IF(I271="Carousel","C","I"))&amp;"_"&amp;J271&amp;"_"&amp;IF(K271="AI tự động","AI","HU")&amp;"_"&amp;RIGHT(A271,3)</f>
        <v>P2_EXP2_C_B_AI_003</v>
      </c>
      <c r="M271" s="45"/>
      <c r="N271" s="45"/>
      <c r="O271" s="46"/>
      <c r="P271" s="46"/>
      <c r="Q271" s="46"/>
      <c r="R271" s="47"/>
      <c r="S271" s="45"/>
      <c r="T271" s="45"/>
      <c r="U271" s="48" t="str">
        <f aca="false">IF(O271&gt;0,P271/O271,"")</f>
        <v/>
      </c>
      <c r="V271" s="49" t="str">
        <f aca="false">IF(P271&gt;0,Q271/P271,"")</f>
        <v/>
      </c>
      <c r="W271" s="50" t="n">
        <f aca="false">IF(R271&lt;&gt;"",R271,Q271*'Cài đặt'!$B$12)</f>
        <v>0</v>
      </c>
      <c r="X271" s="50" t="str">
        <f aca="false">IF(O271&gt;0,W271/O271*1000,"")</f>
        <v/>
      </c>
      <c r="Y271" s="51" t="n">
        <f aca="false">IF(T271&lt;&gt;"",T271,INDEX('Cài đặt'!$B$20:$C$22,MATCH(I271,'Cài đặt'!$A$20:$A$22,0),IF(K271="AI tự động",1,2)))</f>
        <v>4</v>
      </c>
    </row>
    <row r="272" customFormat="false" ht="15" hidden="false" customHeight="false" outlineLevel="0" collapsed="false">
      <c r="A272" s="41" t="s">
        <v>720</v>
      </c>
      <c r="B272" s="41" t="s">
        <v>703</v>
      </c>
      <c r="C272" s="41" t="s">
        <v>163</v>
      </c>
      <c r="D272" s="42" t="str">
        <f aca="false">INDEX('Page và Ngách'!$B$5:$B$10,MATCH(C272,'Page và Ngách'!$A$5:$A$10,0))</f>
        <v>Secret billionaire / CEO</v>
      </c>
      <c r="E272" s="41" t="n">
        <v>2</v>
      </c>
      <c r="F272" s="43" t="n">
        <f aca="false">'Cài đặt'!$B$38+E272-1</f>
        <v>46357</v>
      </c>
      <c r="G272" s="41" t="s">
        <v>451</v>
      </c>
      <c r="H272" s="44" t="str">
        <f aca="false">IF(G272="S1",'Cài đặt'!$B$7,'Cài đặt'!$B$8)</f>
        <v>20:00</v>
      </c>
      <c r="I272" s="44" t="str">
        <f aca="false">'Cài đặt'!$B$32</f>
        <v>Carousel</v>
      </c>
      <c r="J272" s="41" t="s">
        <v>706</v>
      </c>
      <c r="K272" s="41" t="s">
        <v>445</v>
      </c>
      <c r="L272" s="42" t="str">
        <f aca="false">C272&amp;"_"&amp;B272&amp;"_"&amp;IF(I272="Reel","R",IF(I272="Carousel","C","I"))&amp;"_"&amp;J272&amp;"_"&amp;IF(K272="AI tự động","AI","HU")&amp;"_"&amp;RIGHT(A272,3)</f>
        <v>P2_EXP2_C_C_AI_004</v>
      </c>
      <c r="M272" s="45"/>
      <c r="N272" s="45"/>
      <c r="O272" s="46"/>
      <c r="P272" s="46"/>
      <c r="Q272" s="46"/>
      <c r="R272" s="47"/>
      <c r="S272" s="45"/>
      <c r="T272" s="45"/>
      <c r="U272" s="48" t="str">
        <f aca="false">IF(O272&gt;0,P272/O272,"")</f>
        <v/>
      </c>
      <c r="V272" s="49" t="str">
        <f aca="false">IF(P272&gt;0,Q272/P272,"")</f>
        <v/>
      </c>
      <c r="W272" s="50" t="n">
        <f aca="false">IF(R272&lt;&gt;"",R272,Q272*'Cài đặt'!$B$12)</f>
        <v>0</v>
      </c>
      <c r="X272" s="50" t="str">
        <f aca="false">IF(O272&gt;0,W272/O272*1000,"")</f>
        <v/>
      </c>
      <c r="Y272" s="51" t="n">
        <f aca="false">IF(T272&lt;&gt;"",T272,INDEX('Cài đặt'!$B$20:$C$22,MATCH(I272,'Cài đặt'!$A$20:$A$22,0),IF(K272="AI tự động",1,2)))</f>
        <v>4</v>
      </c>
    </row>
    <row r="273" customFormat="false" ht="15" hidden="false" customHeight="false" outlineLevel="0" collapsed="false">
      <c r="A273" s="41" t="s">
        <v>721</v>
      </c>
      <c r="B273" s="41" t="s">
        <v>703</v>
      </c>
      <c r="C273" s="41" t="s">
        <v>171</v>
      </c>
      <c r="D273" s="42" t="str">
        <f aca="false">INDEX('Page và Ngách'!$B$5:$B$10,MATCH(C273,'Page và Ngách'!$A$5:$A$10,0))</f>
        <v>Contract marriage / Fake relationship</v>
      </c>
      <c r="E273" s="41" t="n">
        <v>2</v>
      </c>
      <c r="F273" s="43" t="n">
        <f aca="false">'Cài đặt'!$B$38+E273-1</f>
        <v>46357</v>
      </c>
      <c r="G273" s="41" t="s">
        <v>444</v>
      </c>
      <c r="H273" s="44" t="str">
        <f aca="false">IF(G273="S1",'Cài đặt'!$B$7,'Cài đặt'!$B$8)</f>
        <v>12:00</v>
      </c>
      <c r="I273" s="44" t="str">
        <f aca="false">'Cài đặt'!$B$32</f>
        <v>Carousel</v>
      </c>
      <c r="J273" s="41" t="s">
        <v>706</v>
      </c>
      <c r="K273" s="41" t="s">
        <v>445</v>
      </c>
      <c r="L273" s="42" t="str">
        <f aca="false">C273&amp;"_"&amp;B273&amp;"_"&amp;IF(I273="Reel","R",IF(I273="Carousel","C","I"))&amp;"_"&amp;J273&amp;"_"&amp;IF(K273="AI tự động","AI","HU")&amp;"_"&amp;RIGHT(A273,3)</f>
        <v>P3_EXP2_C_C_AI_003</v>
      </c>
      <c r="M273" s="45"/>
      <c r="N273" s="45"/>
      <c r="O273" s="46"/>
      <c r="P273" s="46"/>
      <c r="Q273" s="46"/>
      <c r="R273" s="47"/>
      <c r="S273" s="45"/>
      <c r="T273" s="45"/>
      <c r="U273" s="48" t="str">
        <f aca="false">IF(O273&gt;0,P273/O273,"")</f>
        <v/>
      </c>
      <c r="V273" s="49" t="str">
        <f aca="false">IF(P273&gt;0,Q273/P273,"")</f>
        <v/>
      </c>
      <c r="W273" s="50" t="n">
        <f aca="false">IF(R273&lt;&gt;"",R273,Q273*'Cài đặt'!$B$12)</f>
        <v>0</v>
      </c>
      <c r="X273" s="50" t="str">
        <f aca="false">IF(O273&gt;0,W273/O273*1000,"")</f>
        <v/>
      </c>
      <c r="Y273" s="51" t="n">
        <f aca="false">IF(T273&lt;&gt;"",T273,INDEX('Cài đặt'!$B$20:$C$22,MATCH(I273,'Cài đặt'!$A$20:$A$22,0),IF(K273="AI tự động",1,2)))</f>
        <v>4</v>
      </c>
    </row>
    <row r="274" customFormat="false" ht="15" hidden="false" customHeight="false" outlineLevel="0" collapsed="false">
      <c r="A274" s="41" t="s">
        <v>722</v>
      </c>
      <c r="B274" s="41" t="s">
        <v>703</v>
      </c>
      <c r="C274" s="41" t="s">
        <v>171</v>
      </c>
      <c r="D274" s="42" t="str">
        <f aca="false">INDEX('Page và Ngách'!$B$5:$B$10,MATCH(C274,'Page và Ngách'!$A$5:$A$10,0))</f>
        <v>Contract marriage / Fake relationship</v>
      </c>
      <c r="E274" s="41" t="n">
        <v>2</v>
      </c>
      <c r="F274" s="43" t="n">
        <f aca="false">'Cài đặt'!$B$38+E274-1</f>
        <v>46357</v>
      </c>
      <c r="G274" s="41" t="s">
        <v>451</v>
      </c>
      <c r="H274" s="44" t="str">
        <f aca="false">IF(G274="S1",'Cài đặt'!$B$7,'Cài đặt'!$B$8)</f>
        <v>20:00</v>
      </c>
      <c r="I274" s="44" t="str">
        <f aca="false">'Cài đặt'!$B$32</f>
        <v>Carousel</v>
      </c>
      <c r="J274" s="41" t="s">
        <v>132</v>
      </c>
      <c r="K274" s="41" t="s">
        <v>445</v>
      </c>
      <c r="L274" s="42" t="str">
        <f aca="false">C274&amp;"_"&amp;B274&amp;"_"&amp;IF(I274="Reel","R",IF(I274="Carousel","C","I"))&amp;"_"&amp;J274&amp;"_"&amp;IF(K274="AI tự động","AI","HU")&amp;"_"&amp;RIGHT(A274,3)</f>
        <v>P3_EXP2_C_A_AI_004</v>
      </c>
      <c r="M274" s="45"/>
      <c r="N274" s="45"/>
      <c r="O274" s="46"/>
      <c r="P274" s="46"/>
      <c r="Q274" s="46"/>
      <c r="R274" s="47"/>
      <c r="S274" s="45"/>
      <c r="T274" s="45"/>
      <c r="U274" s="48" t="str">
        <f aca="false">IF(O274&gt;0,P274/O274,"")</f>
        <v/>
      </c>
      <c r="V274" s="49" t="str">
        <f aca="false">IF(P274&gt;0,Q274/P274,"")</f>
        <v/>
      </c>
      <c r="W274" s="50" t="n">
        <f aca="false">IF(R274&lt;&gt;"",R274,Q274*'Cài đặt'!$B$12)</f>
        <v>0</v>
      </c>
      <c r="X274" s="50" t="str">
        <f aca="false">IF(O274&gt;0,W274/O274*1000,"")</f>
        <v/>
      </c>
      <c r="Y274" s="51" t="n">
        <f aca="false">IF(T274&lt;&gt;"",T274,INDEX('Cài đặt'!$B$20:$C$22,MATCH(I274,'Cài đặt'!$A$20:$A$22,0),IF(K274="AI tự động",1,2)))</f>
        <v>4</v>
      </c>
    </row>
    <row r="275" customFormat="false" ht="15" hidden="false" customHeight="false" outlineLevel="0" collapsed="false">
      <c r="A275" s="41" t="s">
        <v>723</v>
      </c>
      <c r="B275" s="41" t="s">
        <v>703</v>
      </c>
      <c r="C275" s="41" t="s">
        <v>178</v>
      </c>
      <c r="D275" s="42" t="str">
        <f aca="false">INDEX('Page và Ngách'!$B$5:$B$10,MATCH(C275,'Page và Ngách'!$A$5:$A$10,0))</f>
        <v>Revenge / Betrayal ("you'll regret it")</v>
      </c>
      <c r="E275" s="41" t="n">
        <v>2</v>
      </c>
      <c r="F275" s="43" t="n">
        <f aca="false">'Cài đặt'!$B$38+E275-1</f>
        <v>46357</v>
      </c>
      <c r="G275" s="41" t="s">
        <v>444</v>
      </c>
      <c r="H275" s="44" t="str">
        <f aca="false">IF(G275="S1",'Cài đặt'!$B$7,'Cài đặt'!$B$8)</f>
        <v>12:00</v>
      </c>
      <c r="I275" s="44" t="str">
        <f aca="false">'Cài đặt'!$B$32</f>
        <v>Carousel</v>
      </c>
      <c r="J275" s="41" t="s">
        <v>132</v>
      </c>
      <c r="K275" s="41" t="s">
        <v>445</v>
      </c>
      <c r="L275" s="42" t="str">
        <f aca="false">C275&amp;"_"&amp;B275&amp;"_"&amp;IF(I275="Reel","R",IF(I275="Carousel","C","I"))&amp;"_"&amp;J275&amp;"_"&amp;IF(K275="AI tự động","AI","HU")&amp;"_"&amp;RIGHT(A275,3)</f>
        <v>P4_EXP2_C_A_AI_003</v>
      </c>
      <c r="M275" s="45"/>
      <c r="N275" s="45"/>
      <c r="O275" s="46"/>
      <c r="P275" s="46"/>
      <c r="Q275" s="46"/>
      <c r="R275" s="47"/>
      <c r="S275" s="45"/>
      <c r="T275" s="45"/>
      <c r="U275" s="48" t="str">
        <f aca="false">IF(O275&gt;0,P275/O275,"")</f>
        <v/>
      </c>
      <c r="V275" s="49" t="str">
        <f aca="false">IF(P275&gt;0,Q275/P275,"")</f>
        <v/>
      </c>
      <c r="W275" s="50" t="n">
        <f aca="false">IF(R275&lt;&gt;"",R275,Q275*'Cài đặt'!$B$12)</f>
        <v>0</v>
      </c>
      <c r="X275" s="50" t="str">
        <f aca="false">IF(O275&gt;0,W275/O275*1000,"")</f>
        <v/>
      </c>
      <c r="Y275" s="51" t="n">
        <f aca="false">IF(T275&lt;&gt;"",T275,INDEX('Cài đặt'!$B$20:$C$22,MATCH(I275,'Cài đặt'!$A$20:$A$22,0),IF(K275="AI tự động",1,2)))</f>
        <v>4</v>
      </c>
    </row>
    <row r="276" customFormat="false" ht="15" hidden="false" customHeight="false" outlineLevel="0" collapsed="false">
      <c r="A276" s="41" t="s">
        <v>724</v>
      </c>
      <c r="B276" s="41" t="s">
        <v>703</v>
      </c>
      <c r="C276" s="41" t="s">
        <v>178</v>
      </c>
      <c r="D276" s="42" t="str">
        <f aca="false">INDEX('Page và Ngách'!$B$5:$B$10,MATCH(C276,'Page và Ngách'!$A$5:$A$10,0))</f>
        <v>Revenge / Betrayal ("you'll regret it")</v>
      </c>
      <c r="E276" s="41" t="n">
        <v>2</v>
      </c>
      <c r="F276" s="43" t="n">
        <f aca="false">'Cài đặt'!$B$38+E276-1</f>
        <v>46357</v>
      </c>
      <c r="G276" s="41" t="s">
        <v>451</v>
      </c>
      <c r="H276" s="44" t="str">
        <f aca="false">IF(G276="S1",'Cài đặt'!$B$7,'Cài đặt'!$B$8)</f>
        <v>20:00</v>
      </c>
      <c r="I276" s="44" t="str">
        <f aca="false">'Cài đặt'!$B$32</f>
        <v>Carousel</v>
      </c>
      <c r="J276" s="41" t="s">
        <v>704</v>
      </c>
      <c r="K276" s="41" t="s">
        <v>445</v>
      </c>
      <c r="L276" s="42" t="str">
        <f aca="false">C276&amp;"_"&amp;B276&amp;"_"&amp;IF(I276="Reel","R",IF(I276="Carousel","C","I"))&amp;"_"&amp;J276&amp;"_"&amp;IF(K276="AI tự động","AI","HU")&amp;"_"&amp;RIGHT(A276,3)</f>
        <v>P4_EXP2_C_B_AI_004</v>
      </c>
      <c r="M276" s="45"/>
      <c r="N276" s="45"/>
      <c r="O276" s="46"/>
      <c r="P276" s="46"/>
      <c r="Q276" s="46"/>
      <c r="R276" s="47"/>
      <c r="S276" s="45"/>
      <c r="T276" s="45"/>
      <c r="U276" s="48" t="str">
        <f aca="false">IF(O276&gt;0,P276/O276,"")</f>
        <v/>
      </c>
      <c r="V276" s="49" t="str">
        <f aca="false">IF(P276&gt;0,Q276/P276,"")</f>
        <v/>
      </c>
      <c r="W276" s="50" t="n">
        <f aca="false">IF(R276&lt;&gt;"",R276,Q276*'Cài đặt'!$B$12)</f>
        <v>0</v>
      </c>
      <c r="X276" s="50" t="str">
        <f aca="false">IF(O276&gt;0,W276/O276*1000,"")</f>
        <v/>
      </c>
      <c r="Y276" s="51" t="n">
        <f aca="false">IF(T276&lt;&gt;"",T276,INDEX('Cài đặt'!$B$20:$C$22,MATCH(I276,'Cài đặt'!$A$20:$A$22,0),IF(K276="AI tự động",1,2)))</f>
        <v>4</v>
      </c>
    </row>
    <row r="277" customFormat="false" ht="15" hidden="false" customHeight="false" outlineLevel="0" collapsed="false">
      <c r="A277" s="41" t="s">
        <v>725</v>
      </c>
      <c r="B277" s="41" t="s">
        <v>703</v>
      </c>
      <c r="C277" s="41" t="s">
        <v>185</v>
      </c>
      <c r="D277" s="42" t="str">
        <f aca="false">INDEX('Page và Ngách'!$B$5:$B$10,MATCH(C277,'Page và Ngách'!$A$5:$A$10,0))</f>
        <v>Mafia / Dark romance (teaser PG-13)</v>
      </c>
      <c r="E277" s="41" t="n">
        <v>2</v>
      </c>
      <c r="F277" s="43" t="n">
        <f aca="false">'Cài đặt'!$B$38+E277-1</f>
        <v>46357</v>
      </c>
      <c r="G277" s="41" t="s">
        <v>444</v>
      </c>
      <c r="H277" s="44" t="str">
        <f aca="false">IF(G277="S1",'Cài đặt'!$B$7,'Cài đặt'!$B$8)</f>
        <v>12:00</v>
      </c>
      <c r="I277" s="44" t="str">
        <f aca="false">'Cài đặt'!$B$32</f>
        <v>Carousel</v>
      </c>
      <c r="J277" s="41" t="s">
        <v>704</v>
      </c>
      <c r="K277" s="41" t="s">
        <v>445</v>
      </c>
      <c r="L277" s="42" t="str">
        <f aca="false">C277&amp;"_"&amp;B277&amp;"_"&amp;IF(I277="Reel","R",IF(I277="Carousel","C","I"))&amp;"_"&amp;J277&amp;"_"&amp;IF(K277="AI tự động","AI","HU")&amp;"_"&amp;RIGHT(A277,3)</f>
        <v>P5_EXP2_C_B_AI_003</v>
      </c>
      <c r="M277" s="45"/>
      <c r="N277" s="45"/>
      <c r="O277" s="46"/>
      <c r="P277" s="46"/>
      <c r="Q277" s="46"/>
      <c r="R277" s="47"/>
      <c r="S277" s="45"/>
      <c r="T277" s="45"/>
      <c r="U277" s="48" t="str">
        <f aca="false">IF(O277&gt;0,P277/O277,"")</f>
        <v/>
      </c>
      <c r="V277" s="49" t="str">
        <f aca="false">IF(P277&gt;0,Q277/P277,"")</f>
        <v/>
      </c>
      <c r="W277" s="50" t="n">
        <f aca="false">IF(R277&lt;&gt;"",R277,Q277*'Cài đặt'!$B$12)</f>
        <v>0</v>
      </c>
      <c r="X277" s="50" t="str">
        <f aca="false">IF(O277&gt;0,W277/O277*1000,"")</f>
        <v/>
      </c>
      <c r="Y277" s="51" t="n">
        <f aca="false">IF(T277&lt;&gt;"",T277,INDEX('Cài đặt'!$B$20:$C$22,MATCH(I277,'Cài đặt'!$A$20:$A$22,0),IF(K277="AI tự động",1,2)))</f>
        <v>4</v>
      </c>
    </row>
    <row r="278" customFormat="false" ht="15" hidden="false" customHeight="false" outlineLevel="0" collapsed="false">
      <c r="A278" s="41" t="s">
        <v>726</v>
      </c>
      <c r="B278" s="41" t="s">
        <v>703</v>
      </c>
      <c r="C278" s="41" t="s">
        <v>185</v>
      </c>
      <c r="D278" s="42" t="str">
        <f aca="false">INDEX('Page và Ngách'!$B$5:$B$10,MATCH(C278,'Page và Ngách'!$A$5:$A$10,0))</f>
        <v>Mafia / Dark romance (teaser PG-13)</v>
      </c>
      <c r="E278" s="41" t="n">
        <v>2</v>
      </c>
      <c r="F278" s="43" t="n">
        <f aca="false">'Cài đặt'!$B$38+E278-1</f>
        <v>46357</v>
      </c>
      <c r="G278" s="41" t="s">
        <v>451</v>
      </c>
      <c r="H278" s="44" t="str">
        <f aca="false">IF(G278="S1",'Cài đặt'!$B$7,'Cài đặt'!$B$8)</f>
        <v>20:00</v>
      </c>
      <c r="I278" s="44" t="str">
        <f aca="false">'Cài đặt'!$B$32</f>
        <v>Carousel</v>
      </c>
      <c r="J278" s="41" t="s">
        <v>706</v>
      </c>
      <c r="K278" s="41" t="s">
        <v>445</v>
      </c>
      <c r="L278" s="42" t="str">
        <f aca="false">C278&amp;"_"&amp;B278&amp;"_"&amp;IF(I278="Reel","R",IF(I278="Carousel","C","I"))&amp;"_"&amp;J278&amp;"_"&amp;IF(K278="AI tự động","AI","HU")&amp;"_"&amp;RIGHT(A278,3)</f>
        <v>P5_EXP2_C_C_AI_004</v>
      </c>
      <c r="M278" s="45"/>
      <c r="N278" s="45"/>
      <c r="O278" s="46"/>
      <c r="P278" s="46"/>
      <c r="Q278" s="46"/>
      <c r="R278" s="47"/>
      <c r="S278" s="45"/>
      <c r="T278" s="45"/>
      <c r="U278" s="48" t="str">
        <f aca="false">IF(O278&gt;0,P278/O278,"")</f>
        <v/>
      </c>
      <c r="V278" s="49" t="str">
        <f aca="false">IF(P278&gt;0,Q278/P278,"")</f>
        <v/>
      </c>
      <c r="W278" s="50" t="n">
        <f aca="false">IF(R278&lt;&gt;"",R278,Q278*'Cài đặt'!$B$12)</f>
        <v>0</v>
      </c>
      <c r="X278" s="50" t="str">
        <f aca="false">IF(O278&gt;0,W278/O278*1000,"")</f>
        <v/>
      </c>
      <c r="Y278" s="51" t="n">
        <f aca="false">IF(T278&lt;&gt;"",T278,INDEX('Cài đặt'!$B$20:$C$22,MATCH(I278,'Cài đặt'!$A$20:$A$22,0),IF(K278="AI tự động",1,2)))</f>
        <v>4</v>
      </c>
    </row>
    <row r="279" customFormat="false" ht="15" hidden="false" customHeight="false" outlineLevel="0" collapsed="false">
      <c r="A279" s="41" t="s">
        <v>727</v>
      </c>
      <c r="B279" s="41" t="s">
        <v>703</v>
      </c>
      <c r="C279" s="41" t="s">
        <v>193</v>
      </c>
      <c r="D279" s="42" t="str">
        <f aca="false">INDEX('Page và Ngách'!$B$5:$B$10,MATCH(C279,'Page và Ngách'!$A$5:$A$10,0))</f>
        <v>Second chance / Secret baby</v>
      </c>
      <c r="E279" s="41" t="n">
        <v>2</v>
      </c>
      <c r="F279" s="43" t="n">
        <f aca="false">'Cài đặt'!$B$38+E279-1</f>
        <v>46357</v>
      </c>
      <c r="G279" s="41" t="s">
        <v>444</v>
      </c>
      <c r="H279" s="44" t="str">
        <f aca="false">IF(G279="S1",'Cài đặt'!$B$7,'Cài đặt'!$B$8)</f>
        <v>12:00</v>
      </c>
      <c r="I279" s="44" t="str">
        <f aca="false">'Cài đặt'!$B$32</f>
        <v>Carousel</v>
      </c>
      <c r="J279" s="41" t="s">
        <v>706</v>
      </c>
      <c r="K279" s="41" t="s">
        <v>445</v>
      </c>
      <c r="L279" s="42" t="str">
        <f aca="false">C279&amp;"_"&amp;B279&amp;"_"&amp;IF(I279="Reel","R",IF(I279="Carousel","C","I"))&amp;"_"&amp;J279&amp;"_"&amp;IF(K279="AI tự động","AI","HU")&amp;"_"&amp;RIGHT(A279,3)</f>
        <v>P6_EXP2_C_C_AI_003</v>
      </c>
      <c r="M279" s="45"/>
      <c r="N279" s="45"/>
      <c r="O279" s="46"/>
      <c r="P279" s="46"/>
      <c r="Q279" s="46"/>
      <c r="R279" s="47"/>
      <c r="S279" s="45"/>
      <c r="T279" s="45"/>
      <c r="U279" s="48" t="str">
        <f aca="false">IF(O279&gt;0,P279/O279,"")</f>
        <v/>
      </c>
      <c r="V279" s="49" t="str">
        <f aca="false">IF(P279&gt;0,Q279/P279,"")</f>
        <v/>
      </c>
      <c r="W279" s="50" t="n">
        <f aca="false">IF(R279&lt;&gt;"",R279,Q279*'Cài đặt'!$B$12)</f>
        <v>0</v>
      </c>
      <c r="X279" s="50" t="str">
        <f aca="false">IF(O279&gt;0,W279/O279*1000,"")</f>
        <v/>
      </c>
      <c r="Y279" s="51" t="n">
        <f aca="false">IF(T279&lt;&gt;"",T279,INDEX('Cài đặt'!$B$20:$C$22,MATCH(I279,'Cài đặt'!$A$20:$A$22,0),IF(K279="AI tự động",1,2)))</f>
        <v>4</v>
      </c>
    </row>
    <row r="280" customFormat="false" ht="15" hidden="false" customHeight="false" outlineLevel="0" collapsed="false">
      <c r="A280" s="41" t="s">
        <v>728</v>
      </c>
      <c r="B280" s="41" t="s">
        <v>703</v>
      </c>
      <c r="C280" s="41" t="s">
        <v>193</v>
      </c>
      <c r="D280" s="42" t="str">
        <f aca="false">INDEX('Page và Ngách'!$B$5:$B$10,MATCH(C280,'Page và Ngách'!$A$5:$A$10,0))</f>
        <v>Second chance / Secret baby</v>
      </c>
      <c r="E280" s="41" t="n">
        <v>2</v>
      </c>
      <c r="F280" s="43" t="n">
        <f aca="false">'Cài đặt'!$B$38+E280-1</f>
        <v>46357</v>
      </c>
      <c r="G280" s="41" t="s">
        <v>451</v>
      </c>
      <c r="H280" s="44" t="str">
        <f aca="false">IF(G280="S1",'Cài đặt'!$B$7,'Cài đặt'!$B$8)</f>
        <v>20:00</v>
      </c>
      <c r="I280" s="44" t="str">
        <f aca="false">'Cài đặt'!$B$32</f>
        <v>Carousel</v>
      </c>
      <c r="J280" s="41" t="s">
        <v>132</v>
      </c>
      <c r="K280" s="41" t="s">
        <v>445</v>
      </c>
      <c r="L280" s="42" t="str">
        <f aca="false">C280&amp;"_"&amp;B280&amp;"_"&amp;IF(I280="Reel","R",IF(I280="Carousel","C","I"))&amp;"_"&amp;J280&amp;"_"&amp;IF(K280="AI tự động","AI","HU")&amp;"_"&amp;RIGHT(A280,3)</f>
        <v>P6_EXP2_C_A_AI_004</v>
      </c>
      <c r="M280" s="45"/>
      <c r="N280" s="45"/>
      <c r="O280" s="46"/>
      <c r="P280" s="46"/>
      <c r="Q280" s="46"/>
      <c r="R280" s="47"/>
      <c r="S280" s="45"/>
      <c r="T280" s="45"/>
      <c r="U280" s="48" t="str">
        <f aca="false">IF(O280&gt;0,P280/O280,"")</f>
        <v/>
      </c>
      <c r="V280" s="49" t="str">
        <f aca="false">IF(P280&gt;0,Q280/P280,"")</f>
        <v/>
      </c>
      <c r="W280" s="50" t="n">
        <f aca="false">IF(R280&lt;&gt;"",R280,Q280*'Cài đặt'!$B$12)</f>
        <v>0</v>
      </c>
      <c r="X280" s="50" t="str">
        <f aca="false">IF(O280&gt;0,W280/O280*1000,"")</f>
        <v/>
      </c>
      <c r="Y280" s="51" t="n">
        <f aca="false">IF(T280&lt;&gt;"",T280,INDEX('Cài đặt'!$B$20:$C$22,MATCH(I280,'Cài đặt'!$A$20:$A$22,0),IF(K280="AI tự động",1,2)))</f>
        <v>4</v>
      </c>
    </row>
    <row r="281" customFormat="false" ht="15" hidden="false" customHeight="false" outlineLevel="0" collapsed="false">
      <c r="A281" s="41" t="s">
        <v>729</v>
      </c>
      <c r="B281" s="41" t="s">
        <v>703</v>
      </c>
      <c r="C281" s="41" t="s">
        <v>154</v>
      </c>
      <c r="D281" s="42" t="str">
        <f aca="false">INDEX('Page và Ngách'!$B$5:$B$10,MATCH(C281,'Page và Ngách'!$A$5:$A$10,0))</f>
        <v>Werewolf / Rejected mate</v>
      </c>
      <c r="E281" s="41" t="n">
        <v>3</v>
      </c>
      <c r="F281" s="43" t="n">
        <f aca="false">'Cài đặt'!$B$38+E281-1</f>
        <v>46358</v>
      </c>
      <c r="G281" s="41" t="s">
        <v>444</v>
      </c>
      <c r="H281" s="44" t="str">
        <f aca="false">IF(G281="S1",'Cài đặt'!$B$7,'Cài đặt'!$B$8)</f>
        <v>12:00</v>
      </c>
      <c r="I281" s="44" t="str">
        <f aca="false">'Cài đặt'!$B$32</f>
        <v>Carousel</v>
      </c>
      <c r="J281" s="41" t="s">
        <v>706</v>
      </c>
      <c r="K281" s="41" t="s">
        <v>445</v>
      </c>
      <c r="L281" s="42" t="str">
        <f aca="false">C281&amp;"_"&amp;B281&amp;"_"&amp;IF(I281="Reel","R",IF(I281="Carousel","C","I"))&amp;"_"&amp;J281&amp;"_"&amp;IF(K281="AI tự động","AI","HU")&amp;"_"&amp;RIGHT(A281,3)</f>
        <v>P1_EXP2_C_C_AI_005</v>
      </c>
      <c r="M281" s="45"/>
      <c r="N281" s="45"/>
      <c r="O281" s="46"/>
      <c r="P281" s="46"/>
      <c r="Q281" s="46"/>
      <c r="R281" s="47"/>
      <c r="S281" s="45"/>
      <c r="T281" s="45"/>
      <c r="U281" s="48" t="str">
        <f aca="false">IF(O281&gt;0,P281/O281,"")</f>
        <v/>
      </c>
      <c r="V281" s="49" t="str">
        <f aca="false">IF(P281&gt;0,Q281/P281,"")</f>
        <v/>
      </c>
      <c r="W281" s="50" t="n">
        <f aca="false">IF(R281&lt;&gt;"",R281,Q281*'Cài đặt'!$B$12)</f>
        <v>0</v>
      </c>
      <c r="X281" s="50" t="str">
        <f aca="false">IF(O281&gt;0,W281/O281*1000,"")</f>
        <v/>
      </c>
      <c r="Y281" s="51" t="n">
        <f aca="false">IF(T281&lt;&gt;"",T281,INDEX('Cài đặt'!$B$20:$C$22,MATCH(I281,'Cài đặt'!$A$20:$A$22,0),IF(K281="AI tự động",1,2)))</f>
        <v>4</v>
      </c>
    </row>
    <row r="282" customFormat="false" ht="15" hidden="false" customHeight="false" outlineLevel="0" collapsed="false">
      <c r="A282" s="41" t="s">
        <v>730</v>
      </c>
      <c r="B282" s="41" t="s">
        <v>703</v>
      </c>
      <c r="C282" s="41" t="s">
        <v>154</v>
      </c>
      <c r="D282" s="42" t="str">
        <f aca="false">INDEX('Page và Ngách'!$B$5:$B$10,MATCH(C282,'Page và Ngách'!$A$5:$A$10,0))</f>
        <v>Werewolf / Rejected mate</v>
      </c>
      <c r="E282" s="41" t="n">
        <v>3</v>
      </c>
      <c r="F282" s="43" t="n">
        <f aca="false">'Cài đặt'!$B$38+E282-1</f>
        <v>46358</v>
      </c>
      <c r="G282" s="41" t="s">
        <v>451</v>
      </c>
      <c r="H282" s="44" t="str">
        <f aca="false">IF(G282="S1",'Cài đặt'!$B$7,'Cài đặt'!$B$8)</f>
        <v>20:00</v>
      </c>
      <c r="I282" s="44" t="str">
        <f aca="false">'Cài đặt'!$B$32</f>
        <v>Carousel</v>
      </c>
      <c r="J282" s="41" t="s">
        <v>132</v>
      </c>
      <c r="K282" s="41" t="s">
        <v>445</v>
      </c>
      <c r="L282" s="42" t="str">
        <f aca="false">C282&amp;"_"&amp;B282&amp;"_"&amp;IF(I282="Reel","R",IF(I282="Carousel","C","I"))&amp;"_"&amp;J282&amp;"_"&amp;IF(K282="AI tự động","AI","HU")&amp;"_"&amp;RIGHT(A282,3)</f>
        <v>P1_EXP2_C_A_AI_006</v>
      </c>
      <c r="M282" s="45"/>
      <c r="N282" s="45"/>
      <c r="O282" s="46"/>
      <c r="P282" s="46"/>
      <c r="Q282" s="46"/>
      <c r="R282" s="47"/>
      <c r="S282" s="45"/>
      <c r="T282" s="45"/>
      <c r="U282" s="48" t="str">
        <f aca="false">IF(O282&gt;0,P282/O282,"")</f>
        <v/>
      </c>
      <c r="V282" s="49" t="str">
        <f aca="false">IF(P282&gt;0,Q282/P282,"")</f>
        <v/>
      </c>
      <c r="W282" s="50" t="n">
        <f aca="false">IF(R282&lt;&gt;"",R282,Q282*'Cài đặt'!$B$12)</f>
        <v>0</v>
      </c>
      <c r="X282" s="50" t="str">
        <f aca="false">IF(O282&gt;0,W282/O282*1000,"")</f>
        <v/>
      </c>
      <c r="Y282" s="51" t="n">
        <f aca="false">IF(T282&lt;&gt;"",T282,INDEX('Cài đặt'!$B$20:$C$22,MATCH(I282,'Cài đặt'!$A$20:$A$22,0),IF(K282="AI tự động",1,2)))</f>
        <v>4</v>
      </c>
    </row>
    <row r="283" customFormat="false" ht="15" hidden="false" customHeight="false" outlineLevel="0" collapsed="false">
      <c r="A283" s="41" t="s">
        <v>731</v>
      </c>
      <c r="B283" s="41" t="s">
        <v>703</v>
      </c>
      <c r="C283" s="41" t="s">
        <v>163</v>
      </c>
      <c r="D283" s="42" t="str">
        <f aca="false">INDEX('Page và Ngách'!$B$5:$B$10,MATCH(C283,'Page và Ngách'!$A$5:$A$10,0))</f>
        <v>Secret billionaire / CEO</v>
      </c>
      <c r="E283" s="41" t="n">
        <v>3</v>
      </c>
      <c r="F283" s="43" t="n">
        <f aca="false">'Cài đặt'!$B$38+E283-1</f>
        <v>46358</v>
      </c>
      <c r="G283" s="41" t="s">
        <v>444</v>
      </c>
      <c r="H283" s="44" t="str">
        <f aca="false">IF(G283="S1",'Cài đặt'!$B$7,'Cài đặt'!$B$8)</f>
        <v>12:00</v>
      </c>
      <c r="I283" s="44" t="str">
        <f aca="false">'Cài đặt'!$B$32</f>
        <v>Carousel</v>
      </c>
      <c r="J283" s="41" t="s">
        <v>132</v>
      </c>
      <c r="K283" s="41" t="s">
        <v>445</v>
      </c>
      <c r="L283" s="42" t="str">
        <f aca="false">C283&amp;"_"&amp;B283&amp;"_"&amp;IF(I283="Reel","R",IF(I283="Carousel","C","I"))&amp;"_"&amp;J283&amp;"_"&amp;IF(K283="AI tự động","AI","HU")&amp;"_"&amp;RIGHT(A283,3)</f>
        <v>P2_EXP2_C_A_AI_005</v>
      </c>
      <c r="M283" s="45"/>
      <c r="N283" s="45"/>
      <c r="O283" s="46"/>
      <c r="P283" s="46"/>
      <c r="Q283" s="46"/>
      <c r="R283" s="47"/>
      <c r="S283" s="45"/>
      <c r="T283" s="45"/>
      <c r="U283" s="48" t="str">
        <f aca="false">IF(O283&gt;0,P283/O283,"")</f>
        <v/>
      </c>
      <c r="V283" s="49" t="str">
        <f aca="false">IF(P283&gt;0,Q283/P283,"")</f>
        <v/>
      </c>
      <c r="W283" s="50" t="n">
        <f aca="false">IF(R283&lt;&gt;"",R283,Q283*'Cài đặt'!$B$12)</f>
        <v>0</v>
      </c>
      <c r="X283" s="50" t="str">
        <f aca="false">IF(O283&gt;0,W283/O283*1000,"")</f>
        <v/>
      </c>
      <c r="Y283" s="51" t="n">
        <f aca="false">IF(T283&lt;&gt;"",T283,INDEX('Cài đặt'!$B$20:$C$22,MATCH(I283,'Cài đặt'!$A$20:$A$22,0),IF(K283="AI tự động",1,2)))</f>
        <v>4</v>
      </c>
    </row>
    <row r="284" customFormat="false" ht="15" hidden="false" customHeight="false" outlineLevel="0" collapsed="false">
      <c r="A284" s="41" t="s">
        <v>732</v>
      </c>
      <c r="B284" s="41" t="s">
        <v>703</v>
      </c>
      <c r="C284" s="41" t="s">
        <v>163</v>
      </c>
      <c r="D284" s="42" t="str">
        <f aca="false">INDEX('Page và Ngách'!$B$5:$B$10,MATCH(C284,'Page và Ngách'!$A$5:$A$10,0))</f>
        <v>Secret billionaire / CEO</v>
      </c>
      <c r="E284" s="41" t="n">
        <v>3</v>
      </c>
      <c r="F284" s="43" t="n">
        <f aca="false">'Cài đặt'!$B$38+E284-1</f>
        <v>46358</v>
      </c>
      <c r="G284" s="41" t="s">
        <v>451</v>
      </c>
      <c r="H284" s="44" t="str">
        <f aca="false">IF(G284="S1",'Cài đặt'!$B$7,'Cài đặt'!$B$8)</f>
        <v>20:00</v>
      </c>
      <c r="I284" s="44" t="str">
        <f aca="false">'Cài đặt'!$B$32</f>
        <v>Carousel</v>
      </c>
      <c r="J284" s="41" t="s">
        <v>704</v>
      </c>
      <c r="K284" s="41" t="s">
        <v>445</v>
      </c>
      <c r="L284" s="42" t="str">
        <f aca="false">C284&amp;"_"&amp;B284&amp;"_"&amp;IF(I284="Reel","R",IF(I284="Carousel","C","I"))&amp;"_"&amp;J284&amp;"_"&amp;IF(K284="AI tự động","AI","HU")&amp;"_"&amp;RIGHT(A284,3)</f>
        <v>P2_EXP2_C_B_AI_006</v>
      </c>
      <c r="M284" s="45"/>
      <c r="N284" s="45"/>
      <c r="O284" s="46"/>
      <c r="P284" s="46"/>
      <c r="Q284" s="46"/>
      <c r="R284" s="47"/>
      <c r="S284" s="45"/>
      <c r="T284" s="45"/>
      <c r="U284" s="48" t="str">
        <f aca="false">IF(O284&gt;0,P284/O284,"")</f>
        <v/>
      </c>
      <c r="V284" s="49" t="str">
        <f aca="false">IF(P284&gt;0,Q284/P284,"")</f>
        <v/>
      </c>
      <c r="W284" s="50" t="n">
        <f aca="false">IF(R284&lt;&gt;"",R284,Q284*'Cài đặt'!$B$12)</f>
        <v>0</v>
      </c>
      <c r="X284" s="50" t="str">
        <f aca="false">IF(O284&gt;0,W284/O284*1000,"")</f>
        <v/>
      </c>
      <c r="Y284" s="51" t="n">
        <f aca="false">IF(T284&lt;&gt;"",T284,INDEX('Cài đặt'!$B$20:$C$22,MATCH(I284,'Cài đặt'!$A$20:$A$22,0),IF(K284="AI tự động",1,2)))</f>
        <v>4</v>
      </c>
    </row>
    <row r="285" customFormat="false" ht="15" hidden="false" customHeight="false" outlineLevel="0" collapsed="false">
      <c r="A285" s="41" t="s">
        <v>733</v>
      </c>
      <c r="B285" s="41" t="s">
        <v>703</v>
      </c>
      <c r="C285" s="41" t="s">
        <v>171</v>
      </c>
      <c r="D285" s="42" t="str">
        <f aca="false">INDEX('Page và Ngách'!$B$5:$B$10,MATCH(C285,'Page và Ngách'!$A$5:$A$10,0))</f>
        <v>Contract marriage / Fake relationship</v>
      </c>
      <c r="E285" s="41" t="n">
        <v>3</v>
      </c>
      <c r="F285" s="43" t="n">
        <f aca="false">'Cài đặt'!$B$38+E285-1</f>
        <v>46358</v>
      </c>
      <c r="G285" s="41" t="s">
        <v>444</v>
      </c>
      <c r="H285" s="44" t="str">
        <f aca="false">IF(G285="S1",'Cài đặt'!$B$7,'Cài đặt'!$B$8)</f>
        <v>12:00</v>
      </c>
      <c r="I285" s="44" t="str">
        <f aca="false">'Cài đặt'!$B$32</f>
        <v>Carousel</v>
      </c>
      <c r="J285" s="41" t="s">
        <v>704</v>
      </c>
      <c r="K285" s="41" t="s">
        <v>445</v>
      </c>
      <c r="L285" s="42" t="str">
        <f aca="false">C285&amp;"_"&amp;B285&amp;"_"&amp;IF(I285="Reel","R",IF(I285="Carousel","C","I"))&amp;"_"&amp;J285&amp;"_"&amp;IF(K285="AI tự động","AI","HU")&amp;"_"&amp;RIGHT(A285,3)</f>
        <v>P3_EXP2_C_B_AI_005</v>
      </c>
      <c r="M285" s="45"/>
      <c r="N285" s="45"/>
      <c r="O285" s="46"/>
      <c r="P285" s="46"/>
      <c r="Q285" s="46"/>
      <c r="R285" s="47"/>
      <c r="S285" s="45"/>
      <c r="T285" s="45"/>
      <c r="U285" s="48" t="str">
        <f aca="false">IF(O285&gt;0,P285/O285,"")</f>
        <v/>
      </c>
      <c r="V285" s="49" t="str">
        <f aca="false">IF(P285&gt;0,Q285/P285,"")</f>
        <v/>
      </c>
      <c r="W285" s="50" t="n">
        <f aca="false">IF(R285&lt;&gt;"",R285,Q285*'Cài đặt'!$B$12)</f>
        <v>0</v>
      </c>
      <c r="X285" s="50" t="str">
        <f aca="false">IF(O285&gt;0,W285/O285*1000,"")</f>
        <v/>
      </c>
      <c r="Y285" s="51" t="n">
        <f aca="false">IF(T285&lt;&gt;"",T285,INDEX('Cài đặt'!$B$20:$C$22,MATCH(I285,'Cài đặt'!$A$20:$A$22,0),IF(K285="AI tự động",1,2)))</f>
        <v>4</v>
      </c>
    </row>
    <row r="286" customFormat="false" ht="15" hidden="false" customHeight="false" outlineLevel="0" collapsed="false">
      <c r="A286" s="41" t="s">
        <v>734</v>
      </c>
      <c r="B286" s="41" t="s">
        <v>703</v>
      </c>
      <c r="C286" s="41" t="s">
        <v>171</v>
      </c>
      <c r="D286" s="42" t="str">
        <f aca="false">INDEX('Page và Ngách'!$B$5:$B$10,MATCH(C286,'Page và Ngách'!$A$5:$A$10,0))</f>
        <v>Contract marriage / Fake relationship</v>
      </c>
      <c r="E286" s="41" t="n">
        <v>3</v>
      </c>
      <c r="F286" s="43" t="n">
        <f aca="false">'Cài đặt'!$B$38+E286-1</f>
        <v>46358</v>
      </c>
      <c r="G286" s="41" t="s">
        <v>451</v>
      </c>
      <c r="H286" s="44" t="str">
        <f aca="false">IF(G286="S1",'Cài đặt'!$B$7,'Cài đặt'!$B$8)</f>
        <v>20:00</v>
      </c>
      <c r="I286" s="44" t="str">
        <f aca="false">'Cài đặt'!$B$32</f>
        <v>Carousel</v>
      </c>
      <c r="J286" s="41" t="s">
        <v>706</v>
      </c>
      <c r="K286" s="41" t="s">
        <v>445</v>
      </c>
      <c r="L286" s="42" t="str">
        <f aca="false">C286&amp;"_"&amp;B286&amp;"_"&amp;IF(I286="Reel","R",IF(I286="Carousel","C","I"))&amp;"_"&amp;J286&amp;"_"&amp;IF(K286="AI tự động","AI","HU")&amp;"_"&amp;RIGHT(A286,3)</f>
        <v>P3_EXP2_C_C_AI_006</v>
      </c>
      <c r="M286" s="45"/>
      <c r="N286" s="45"/>
      <c r="O286" s="46"/>
      <c r="P286" s="46"/>
      <c r="Q286" s="46"/>
      <c r="R286" s="47"/>
      <c r="S286" s="45"/>
      <c r="T286" s="45"/>
      <c r="U286" s="48" t="str">
        <f aca="false">IF(O286&gt;0,P286/O286,"")</f>
        <v/>
      </c>
      <c r="V286" s="49" t="str">
        <f aca="false">IF(P286&gt;0,Q286/P286,"")</f>
        <v/>
      </c>
      <c r="W286" s="50" t="n">
        <f aca="false">IF(R286&lt;&gt;"",R286,Q286*'Cài đặt'!$B$12)</f>
        <v>0</v>
      </c>
      <c r="X286" s="50" t="str">
        <f aca="false">IF(O286&gt;0,W286/O286*1000,"")</f>
        <v/>
      </c>
      <c r="Y286" s="51" t="n">
        <f aca="false">IF(T286&lt;&gt;"",T286,INDEX('Cài đặt'!$B$20:$C$22,MATCH(I286,'Cài đặt'!$A$20:$A$22,0),IF(K286="AI tự động",1,2)))</f>
        <v>4</v>
      </c>
    </row>
    <row r="287" customFormat="false" ht="15" hidden="false" customHeight="false" outlineLevel="0" collapsed="false">
      <c r="A287" s="41" t="s">
        <v>735</v>
      </c>
      <c r="B287" s="41" t="s">
        <v>703</v>
      </c>
      <c r="C287" s="41" t="s">
        <v>178</v>
      </c>
      <c r="D287" s="42" t="str">
        <f aca="false">INDEX('Page và Ngách'!$B$5:$B$10,MATCH(C287,'Page và Ngách'!$A$5:$A$10,0))</f>
        <v>Revenge / Betrayal ("you'll regret it")</v>
      </c>
      <c r="E287" s="41" t="n">
        <v>3</v>
      </c>
      <c r="F287" s="43" t="n">
        <f aca="false">'Cài đặt'!$B$38+E287-1</f>
        <v>46358</v>
      </c>
      <c r="G287" s="41" t="s">
        <v>444</v>
      </c>
      <c r="H287" s="44" t="str">
        <f aca="false">IF(G287="S1",'Cài đặt'!$B$7,'Cài đặt'!$B$8)</f>
        <v>12:00</v>
      </c>
      <c r="I287" s="44" t="str">
        <f aca="false">'Cài đặt'!$B$32</f>
        <v>Carousel</v>
      </c>
      <c r="J287" s="41" t="s">
        <v>706</v>
      </c>
      <c r="K287" s="41" t="s">
        <v>445</v>
      </c>
      <c r="L287" s="42" t="str">
        <f aca="false">C287&amp;"_"&amp;B287&amp;"_"&amp;IF(I287="Reel","R",IF(I287="Carousel","C","I"))&amp;"_"&amp;J287&amp;"_"&amp;IF(K287="AI tự động","AI","HU")&amp;"_"&amp;RIGHT(A287,3)</f>
        <v>P4_EXP2_C_C_AI_005</v>
      </c>
      <c r="M287" s="45"/>
      <c r="N287" s="45"/>
      <c r="O287" s="46"/>
      <c r="P287" s="46"/>
      <c r="Q287" s="46"/>
      <c r="R287" s="47"/>
      <c r="S287" s="45"/>
      <c r="T287" s="45"/>
      <c r="U287" s="48" t="str">
        <f aca="false">IF(O287&gt;0,P287/O287,"")</f>
        <v/>
      </c>
      <c r="V287" s="49" t="str">
        <f aca="false">IF(P287&gt;0,Q287/P287,"")</f>
        <v/>
      </c>
      <c r="W287" s="50" t="n">
        <f aca="false">IF(R287&lt;&gt;"",R287,Q287*'Cài đặt'!$B$12)</f>
        <v>0</v>
      </c>
      <c r="X287" s="50" t="str">
        <f aca="false">IF(O287&gt;0,W287/O287*1000,"")</f>
        <v/>
      </c>
      <c r="Y287" s="51" t="n">
        <f aca="false">IF(T287&lt;&gt;"",T287,INDEX('Cài đặt'!$B$20:$C$22,MATCH(I287,'Cài đặt'!$A$20:$A$22,0),IF(K287="AI tự động",1,2)))</f>
        <v>4</v>
      </c>
    </row>
    <row r="288" customFormat="false" ht="15" hidden="false" customHeight="false" outlineLevel="0" collapsed="false">
      <c r="A288" s="41" t="s">
        <v>736</v>
      </c>
      <c r="B288" s="41" t="s">
        <v>703</v>
      </c>
      <c r="C288" s="41" t="s">
        <v>178</v>
      </c>
      <c r="D288" s="42" t="str">
        <f aca="false">INDEX('Page và Ngách'!$B$5:$B$10,MATCH(C288,'Page và Ngách'!$A$5:$A$10,0))</f>
        <v>Revenge / Betrayal ("you'll regret it")</v>
      </c>
      <c r="E288" s="41" t="n">
        <v>3</v>
      </c>
      <c r="F288" s="43" t="n">
        <f aca="false">'Cài đặt'!$B$38+E288-1</f>
        <v>46358</v>
      </c>
      <c r="G288" s="41" t="s">
        <v>451</v>
      </c>
      <c r="H288" s="44" t="str">
        <f aca="false">IF(G288="S1",'Cài đặt'!$B$7,'Cài đặt'!$B$8)</f>
        <v>20:00</v>
      </c>
      <c r="I288" s="44" t="str">
        <f aca="false">'Cài đặt'!$B$32</f>
        <v>Carousel</v>
      </c>
      <c r="J288" s="41" t="s">
        <v>132</v>
      </c>
      <c r="K288" s="41" t="s">
        <v>445</v>
      </c>
      <c r="L288" s="42" t="str">
        <f aca="false">C288&amp;"_"&amp;B288&amp;"_"&amp;IF(I288="Reel","R",IF(I288="Carousel","C","I"))&amp;"_"&amp;J288&amp;"_"&amp;IF(K288="AI tự động","AI","HU")&amp;"_"&amp;RIGHT(A288,3)</f>
        <v>P4_EXP2_C_A_AI_006</v>
      </c>
      <c r="M288" s="45"/>
      <c r="N288" s="45"/>
      <c r="O288" s="46"/>
      <c r="P288" s="46"/>
      <c r="Q288" s="46"/>
      <c r="R288" s="47"/>
      <c r="S288" s="45"/>
      <c r="T288" s="45"/>
      <c r="U288" s="48" t="str">
        <f aca="false">IF(O288&gt;0,P288/O288,"")</f>
        <v/>
      </c>
      <c r="V288" s="49" t="str">
        <f aca="false">IF(P288&gt;0,Q288/P288,"")</f>
        <v/>
      </c>
      <c r="W288" s="50" t="n">
        <f aca="false">IF(R288&lt;&gt;"",R288,Q288*'Cài đặt'!$B$12)</f>
        <v>0</v>
      </c>
      <c r="X288" s="50" t="str">
        <f aca="false">IF(O288&gt;0,W288/O288*1000,"")</f>
        <v/>
      </c>
      <c r="Y288" s="51" t="n">
        <f aca="false">IF(T288&lt;&gt;"",T288,INDEX('Cài đặt'!$B$20:$C$22,MATCH(I288,'Cài đặt'!$A$20:$A$22,0),IF(K288="AI tự động",1,2)))</f>
        <v>4</v>
      </c>
    </row>
    <row r="289" customFormat="false" ht="15" hidden="false" customHeight="false" outlineLevel="0" collapsed="false">
      <c r="A289" s="41" t="s">
        <v>737</v>
      </c>
      <c r="B289" s="41" t="s">
        <v>703</v>
      </c>
      <c r="C289" s="41" t="s">
        <v>185</v>
      </c>
      <c r="D289" s="42" t="str">
        <f aca="false">INDEX('Page và Ngách'!$B$5:$B$10,MATCH(C289,'Page và Ngách'!$A$5:$A$10,0))</f>
        <v>Mafia / Dark romance (teaser PG-13)</v>
      </c>
      <c r="E289" s="41" t="n">
        <v>3</v>
      </c>
      <c r="F289" s="43" t="n">
        <f aca="false">'Cài đặt'!$B$38+E289-1</f>
        <v>46358</v>
      </c>
      <c r="G289" s="41" t="s">
        <v>444</v>
      </c>
      <c r="H289" s="44" t="str">
        <f aca="false">IF(G289="S1",'Cài đặt'!$B$7,'Cài đặt'!$B$8)</f>
        <v>12:00</v>
      </c>
      <c r="I289" s="44" t="str">
        <f aca="false">'Cài đặt'!$B$32</f>
        <v>Carousel</v>
      </c>
      <c r="J289" s="41" t="s">
        <v>132</v>
      </c>
      <c r="K289" s="41" t="s">
        <v>445</v>
      </c>
      <c r="L289" s="42" t="str">
        <f aca="false">C289&amp;"_"&amp;B289&amp;"_"&amp;IF(I289="Reel","R",IF(I289="Carousel","C","I"))&amp;"_"&amp;J289&amp;"_"&amp;IF(K289="AI tự động","AI","HU")&amp;"_"&amp;RIGHT(A289,3)</f>
        <v>P5_EXP2_C_A_AI_005</v>
      </c>
      <c r="M289" s="45"/>
      <c r="N289" s="45"/>
      <c r="O289" s="46"/>
      <c r="P289" s="46"/>
      <c r="Q289" s="46"/>
      <c r="R289" s="47"/>
      <c r="S289" s="45"/>
      <c r="T289" s="45"/>
      <c r="U289" s="48" t="str">
        <f aca="false">IF(O289&gt;0,P289/O289,"")</f>
        <v/>
      </c>
      <c r="V289" s="49" t="str">
        <f aca="false">IF(P289&gt;0,Q289/P289,"")</f>
        <v/>
      </c>
      <c r="W289" s="50" t="n">
        <f aca="false">IF(R289&lt;&gt;"",R289,Q289*'Cài đặt'!$B$12)</f>
        <v>0</v>
      </c>
      <c r="X289" s="50" t="str">
        <f aca="false">IF(O289&gt;0,W289/O289*1000,"")</f>
        <v/>
      </c>
      <c r="Y289" s="51" t="n">
        <f aca="false">IF(T289&lt;&gt;"",T289,INDEX('Cài đặt'!$B$20:$C$22,MATCH(I289,'Cài đặt'!$A$20:$A$22,0),IF(K289="AI tự động",1,2)))</f>
        <v>4</v>
      </c>
    </row>
    <row r="290" customFormat="false" ht="15" hidden="false" customHeight="false" outlineLevel="0" collapsed="false">
      <c r="A290" s="41" t="s">
        <v>738</v>
      </c>
      <c r="B290" s="41" t="s">
        <v>703</v>
      </c>
      <c r="C290" s="41" t="s">
        <v>185</v>
      </c>
      <c r="D290" s="42" t="str">
        <f aca="false">INDEX('Page và Ngách'!$B$5:$B$10,MATCH(C290,'Page và Ngách'!$A$5:$A$10,0))</f>
        <v>Mafia / Dark romance (teaser PG-13)</v>
      </c>
      <c r="E290" s="41" t="n">
        <v>3</v>
      </c>
      <c r="F290" s="43" t="n">
        <f aca="false">'Cài đặt'!$B$38+E290-1</f>
        <v>46358</v>
      </c>
      <c r="G290" s="41" t="s">
        <v>451</v>
      </c>
      <c r="H290" s="44" t="str">
        <f aca="false">IF(G290="S1",'Cài đặt'!$B$7,'Cài đặt'!$B$8)</f>
        <v>20:00</v>
      </c>
      <c r="I290" s="44" t="str">
        <f aca="false">'Cài đặt'!$B$32</f>
        <v>Carousel</v>
      </c>
      <c r="J290" s="41" t="s">
        <v>704</v>
      </c>
      <c r="K290" s="41" t="s">
        <v>445</v>
      </c>
      <c r="L290" s="42" t="str">
        <f aca="false">C290&amp;"_"&amp;B290&amp;"_"&amp;IF(I290="Reel","R",IF(I290="Carousel","C","I"))&amp;"_"&amp;J290&amp;"_"&amp;IF(K290="AI tự động","AI","HU")&amp;"_"&amp;RIGHT(A290,3)</f>
        <v>P5_EXP2_C_B_AI_006</v>
      </c>
      <c r="M290" s="45"/>
      <c r="N290" s="45"/>
      <c r="O290" s="46"/>
      <c r="P290" s="46"/>
      <c r="Q290" s="46"/>
      <c r="R290" s="47"/>
      <c r="S290" s="45"/>
      <c r="T290" s="45"/>
      <c r="U290" s="48" t="str">
        <f aca="false">IF(O290&gt;0,P290/O290,"")</f>
        <v/>
      </c>
      <c r="V290" s="49" t="str">
        <f aca="false">IF(P290&gt;0,Q290/P290,"")</f>
        <v/>
      </c>
      <c r="W290" s="50" t="n">
        <f aca="false">IF(R290&lt;&gt;"",R290,Q290*'Cài đặt'!$B$12)</f>
        <v>0</v>
      </c>
      <c r="X290" s="50" t="str">
        <f aca="false">IF(O290&gt;0,W290/O290*1000,"")</f>
        <v/>
      </c>
      <c r="Y290" s="51" t="n">
        <f aca="false">IF(T290&lt;&gt;"",T290,INDEX('Cài đặt'!$B$20:$C$22,MATCH(I290,'Cài đặt'!$A$20:$A$22,0),IF(K290="AI tự động",1,2)))</f>
        <v>4</v>
      </c>
    </row>
    <row r="291" customFormat="false" ht="15" hidden="false" customHeight="false" outlineLevel="0" collapsed="false">
      <c r="A291" s="41" t="s">
        <v>739</v>
      </c>
      <c r="B291" s="41" t="s">
        <v>703</v>
      </c>
      <c r="C291" s="41" t="s">
        <v>193</v>
      </c>
      <c r="D291" s="42" t="str">
        <f aca="false">INDEX('Page và Ngách'!$B$5:$B$10,MATCH(C291,'Page và Ngách'!$A$5:$A$10,0))</f>
        <v>Second chance / Secret baby</v>
      </c>
      <c r="E291" s="41" t="n">
        <v>3</v>
      </c>
      <c r="F291" s="43" t="n">
        <f aca="false">'Cài đặt'!$B$38+E291-1</f>
        <v>46358</v>
      </c>
      <c r="G291" s="41" t="s">
        <v>444</v>
      </c>
      <c r="H291" s="44" t="str">
        <f aca="false">IF(G291="S1",'Cài đặt'!$B$7,'Cài đặt'!$B$8)</f>
        <v>12:00</v>
      </c>
      <c r="I291" s="44" t="str">
        <f aca="false">'Cài đặt'!$B$32</f>
        <v>Carousel</v>
      </c>
      <c r="J291" s="41" t="s">
        <v>704</v>
      </c>
      <c r="K291" s="41" t="s">
        <v>445</v>
      </c>
      <c r="L291" s="42" t="str">
        <f aca="false">C291&amp;"_"&amp;B291&amp;"_"&amp;IF(I291="Reel","R",IF(I291="Carousel","C","I"))&amp;"_"&amp;J291&amp;"_"&amp;IF(K291="AI tự động","AI","HU")&amp;"_"&amp;RIGHT(A291,3)</f>
        <v>P6_EXP2_C_B_AI_005</v>
      </c>
      <c r="M291" s="45"/>
      <c r="N291" s="45"/>
      <c r="O291" s="46"/>
      <c r="P291" s="46"/>
      <c r="Q291" s="46"/>
      <c r="R291" s="47"/>
      <c r="S291" s="45"/>
      <c r="T291" s="45"/>
      <c r="U291" s="48" t="str">
        <f aca="false">IF(O291&gt;0,P291/O291,"")</f>
        <v/>
      </c>
      <c r="V291" s="49" t="str">
        <f aca="false">IF(P291&gt;0,Q291/P291,"")</f>
        <v/>
      </c>
      <c r="W291" s="50" t="n">
        <f aca="false">IF(R291&lt;&gt;"",R291,Q291*'Cài đặt'!$B$12)</f>
        <v>0</v>
      </c>
      <c r="X291" s="50" t="str">
        <f aca="false">IF(O291&gt;0,W291/O291*1000,"")</f>
        <v/>
      </c>
      <c r="Y291" s="51" t="n">
        <f aca="false">IF(T291&lt;&gt;"",T291,INDEX('Cài đặt'!$B$20:$C$22,MATCH(I291,'Cài đặt'!$A$20:$A$22,0),IF(K291="AI tự động",1,2)))</f>
        <v>4</v>
      </c>
    </row>
    <row r="292" customFormat="false" ht="15" hidden="false" customHeight="false" outlineLevel="0" collapsed="false">
      <c r="A292" s="41" t="s">
        <v>740</v>
      </c>
      <c r="B292" s="41" t="s">
        <v>703</v>
      </c>
      <c r="C292" s="41" t="s">
        <v>193</v>
      </c>
      <c r="D292" s="42" t="str">
        <f aca="false">INDEX('Page và Ngách'!$B$5:$B$10,MATCH(C292,'Page và Ngách'!$A$5:$A$10,0))</f>
        <v>Second chance / Secret baby</v>
      </c>
      <c r="E292" s="41" t="n">
        <v>3</v>
      </c>
      <c r="F292" s="43" t="n">
        <f aca="false">'Cài đặt'!$B$38+E292-1</f>
        <v>46358</v>
      </c>
      <c r="G292" s="41" t="s">
        <v>451</v>
      </c>
      <c r="H292" s="44" t="str">
        <f aca="false">IF(G292="S1",'Cài đặt'!$B$7,'Cài đặt'!$B$8)</f>
        <v>20:00</v>
      </c>
      <c r="I292" s="44" t="str">
        <f aca="false">'Cài đặt'!$B$32</f>
        <v>Carousel</v>
      </c>
      <c r="J292" s="41" t="s">
        <v>706</v>
      </c>
      <c r="K292" s="41" t="s">
        <v>445</v>
      </c>
      <c r="L292" s="42" t="str">
        <f aca="false">C292&amp;"_"&amp;B292&amp;"_"&amp;IF(I292="Reel","R",IF(I292="Carousel","C","I"))&amp;"_"&amp;J292&amp;"_"&amp;IF(K292="AI tự động","AI","HU")&amp;"_"&amp;RIGHT(A292,3)</f>
        <v>P6_EXP2_C_C_AI_006</v>
      </c>
      <c r="M292" s="45"/>
      <c r="N292" s="45"/>
      <c r="O292" s="46"/>
      <c r="P292" s="46"/>
      <c r="Q292" s="46"/>
      <c r="R292" s="47"/>
      <c r="S292" s="45"/>
      <c r="T292" s="45"/>
      <c r="U292" s="48" t="str">
        <f aca="false">IF(O292&gt;0,P292/O292,"")</f>
        <v/>
      </c>
      <c r="V292" s="49" t="str">
        <f aca="false">IF(P292&gt;0,Q292/P292,"")</f>
        <v/>
      </c>
      <c r="W292" s="50" t="n">
        <f aca="false">IF(R292&lt;&gt;"",R292,Q292*'Cài đặt'!$B$12)</f>
        <v>0</v>
      </c>
      <c r="X292" s="50" t="str">
        <f aca="false">IF(O292&gt;0,W292/O292*1000,"")</f>
        <v/>
      </c>
      <c r="Y292" s="51" t="n">
        <f aca="false">IF(T292&lt;&gt;"",T292,INDEX('Cài đặt'!$B$20:$C$22,MATCH(I292,'Cài đặt'!$A$20:$A$22,0),IF(K292="AI tự động",1,2)))</f>
        <v>4</v>
      </c>
    </row>
    <row r="293" customFormat="false" ht="15" hidden="false" customHeight="false" outlineLevel="0" collapsed="false">
      <c r="A293" s="41" t="s">
        <v>741</v>
      </c>
      <c r="B293" s="41" t="s">
        <v>703</v>
      </c>
      <c r="C293" s="41" t="s">
        <v>154</v>
      </c>
      <c r="D293" s="42" t="str">
        <f aca="false">INDEX('Page và Ngách'!$B$5:$B$10,MATCH(C293,'Page và Ngách'!$A$5:$A$10,0))</f>
        <v>Werewolf / Rejected mate</v>
      </c>
      <c r="E293" s="41" t="n">
        <v>4</v>
      </c>
      <c r="F293" s="43" t="n">
        <f aca="false">'Cài đặt'!$B$38+E293-1</f>
        <v>46359</v>
      </c>
      <c r="G293" s="41" t="s">
        <v>444</v>
      </c>
      <c r="H293" s="44" t="str">
        <f aca="false">IF(G293="S1",'Cài đặt'!$B$7,'Cài đặt'!$B$8)</f>
        <v>12:00</v>
      </c>
      <c r="I293" s="44" t="str">
        <f aca="false">'Cài đặt'!$B$32</f>
        <v>Carousel</v>
      </c>
      <c r="J293" s="41" t="s">
        <v>704</v>
      </c>
      <c r="K293" s="41" t="s">
        <v>445</v>
      </c>
      <c r="L293" s="42" t="str">
        <f aca="false">C293&amp;"_"&amp;B293&amp;"_"&amp;IF(I293="Reel","R",IF(I293="Carousel","C","I"))&amp;"_"&amp;J293&amp;"_"&amp;IF(K293="AI tự động","AI","HU")&amp;"_"&amp;RIGHT(A293,3)</f>
        <v>P1_EXP2_C_B_AI_007</v>
      </c>
      <c r="M293" s="45"/>
      <c r="N293" s="45"/>
      <c r="O293" s="46"/>
      <c r="P293" s="46"/>
      <c r="Q293" s="46"/>
      <c r="R293" s="47"/>
      <c r="S293" s="45"/>
      <c r="T293" s="45"/>
      <c r="U293" s="48" t="str">
        <f aca="false">IF(O293&gt;0,P293/O293,"")</f>
        <v/>
      </c>
      <c r="V293" s="49" t="str">
        <f aca="false">IF(P293&gt;0,Q293/P293,"")</f>
        <v/>
      </c>
      <c r="W293" s="50" t="n">
        <f aca="false">IF(R293&lt;&gt;"",R293,Q293*'Cài đặt'!$B$12)</f>
        <v>0</v>
      </c>
      <c r="X293" s="50" t="str">
        <f aca="false">IF(O293&gt;0,W293/O293*1000,"")</f>
        <v/>
      </c>
      <c r="Y293" s="51" t="n">
        <f aca="false">IF(T293&lt;&gt;"",T293,INDEX('Cài đặt'!$B$20:$C$22,MATCH(I293,'Cài đặt'!$A$20:$A$22,0),IF(K293="AI tự động",1,2)))</f>
        <v>4</v>
      </c>
    </row>
    <row r="294" customFormat="false" ht="15" hidden="false" customHeight="false" outlineLevel="0" collapsed="false">
      <c r="A294" s="41" t="s">
        <v>742</v>
      </c>
      <c r="B294" s="41" t="s">
        <v>703</v>
      </c>
      <c r="C294" s="41" t="s">
        <v>154</v>
      </c>
      <c r="D294" s="42" t="str">
        <f aca="false">INDEX('Page và Ngách'!$B$5:$B$10,MATCH(C294,'Page và Ngách'!$A$5:$A$10,0))</f>
        <v>Werewolf / Rejected mate</v>
      </c>
      <c r="E294" s="41" t="n">
        <v>4</v>
      </c>
      <c r="F294" s="43" t="n">
        <f aca="false">'Cài đặt'!$B$38+E294-1</f>
        <v>46359</v>
      </c>
      <c r="G294" s="41" t="s">
        <v>451</v>
      </c>
      <c r="H294" s="44" t="str">
        <f aca="false">IF(G294="S1",'Cài đặt'!$B$7,'Cài đặt'!$B$8)</f>
        <v>20:00</v>
      </c>
      <c r="I294" s="44" t="str">
        <f aca="false">'Cài đặt'!$B$32</f>
        <v>Carousel</v>
      </c>
      <c r="J294" s="41" t="s">
        <v>706</v>
      </c>
      <c r="K294" s="41" t="s">
        <v>445</v>
      </c>
      <c r="L294" s="42" t="str">
        <f aca="false">C294&amp;"_"&amp;B294&amp;"_"&amp;IF(I294="Reel","R",IF(I294="Carousel","C","I"))&amp;"_"&amp;J294&amp;"_"&amp;IF(K294="AI tự động","AI","HU")&amp;"_"&amp;RIGHT(A294,3)</f>
        <v>P1_EXP2_C_C_AI_008</v>
      </c>
      <c r="M294" s="45"/>
      <c r="N294" s="45"/>
      <c r="O294" s="46"/>
      <c r="P294" s="46"/>
      <c r="Q294" s="46"/>
      <c r="R294" s="47"/>
      <c r="S294" s="45"/>
      <c r="T294" s="45"/>
      <c r="U294" s="48" t="str">
        <f aca="false">IF(O294&gt;0,P294/O294,"")</f>
        <v/>
      </c>
      <c r="V294" s="49" t="str">
        <f aca="false">IF(P294&gt;0,Q294/P294,"")</f>
        <v/>
      </c>
      <c r="W294" s="50" t="n">
        <f aca="false">IF(R294&lt;&gt;"",R294,Q294*'Cài đặt'!$B$12)</f>
        <v>0</v>
      </c>
      <c r="X294" s="50" t="str">
        <f aca="false">IF(O294&gt;0,W294/O294*1000,"")</f>
        <v/>
      </c>
      <c r="Y294" s="51" t="n">
        <f aca="false">IF(T294&lt;&gt;"",T294,INDEX('Cài đặt'!$B$20:$C$22,MATCH(I294,'Cài đặt'!$A$20:$A$22,0),IF(K294="AI tự động",1,2)))</f>
        <v>4</v>
      </c>
    </row>
    <row r="295" customFormat="false" ht="15" hidden="false" customHeight="false" outlineLevel="0" collapsed="false">
      <c r="A295" s="41" t="s">
        <v>743</v>
      </c>
      <c r="B295" s="41" t="s">
        <v>703</v>
      </c>
      <c r="C295" s="41" t="s">
        <v>163</v>
      </c>
      <c r="D295" s="42" t="str">
        <f aca="false">INDEX('Page và Ngách'!$B$5:$B$10,MATCH(C295,'Page và Ngách'!$A$5:$A$10,0))</f>
        <v>Secret billionaire / CEO</v>
      </c>
      <c r="E295" s="41" t="n">
        <v>4</v>
      </c>
      <c r="F295" s="43" t="n">
        <f aca="false">'Cài đặt'!$B$38+E295-1</f>
        <v>46359</v>
      </c>
      <c r="G295" s="41" t="s">
        <v>444</v>
      </c>
      <c r="H295" s="44" t="str">
        <f aca="false">IF(G295="S1",'Cài đặt'!$B$7,'Cài đặt'!$B$8)</f>
        <v>12:00</v>
      </c>
      <c r="I295" s="44" t="str">
        <f aca="false">'Cài đặt'!$B$32</f>
        <v>Carousel</v>
      </c>
      <c r="J295" s="41" t="s">
        <v>706</v>
      </c>
      <c r="K295" s="41" t="s">
        <v>445</v>
      </c>
      <c r="L295" s="42" t="str">
        <f aca="false">C295&amp;"_"&amp;B295&amp;"_"&amp;IF(I295="Reel","R",IF(I295="Carousel","C","I"))&amp;"_"&amp;J295&amp;"_"&amp;IF(K295="AI tự động","AI","HU")&amp;"_"&amp;RIGHT(A295,3)</f>
        <v>P2_EXP2_C_C_AI_007</v>
      </c>
      <c r="M295" s="45"/>
      <c r="N295" s="45"/>
      <c r="O295" s="46"/>
      <c r="P295" s="46"/>
      <c r="Q295" s="46"/>
      <c r="R295" s="47"/>
      <c r="S295" s="45"/>
      <c r="T295" s="45"/>
      <c r="U295" s="48" t="str">
        <f aca="false">IF(O295&gt;0,P295/O295,"")</f>
        <v/>
      </c>
      <c r="V295" s="49" t="str">
        <f aca="false">IF(P295&gt;0,Q295/P295,"")</f>
        <v/>
      </c>
      <c r="W295" s="50" t="n">
        <f aca="false">IF(R295&lt;&gt;"",R295,Q295*'Cài đặt'!$B$12)</f>
        <v>0</v>
      </c>
      <c r="X295" s="50" t="str">
        <f aca="false">IF(O295&gt;0,W295/O295*1000,"")</f>
        <v/>
      </c>
      <c r="Y295" s="51" t="n">
        <f aca="false">IF(T295&lt;&gt;"",T295,INDEX('Cài đặt'!$B$20:$C$22,MATCH(I295,'Cài đặt'!$A$20:$A$22,0),IF(K295="AI tự động",1,2)))</f>
        <v>4</v>
      </c>
    </row>
    <row r="296" customFormat="false" ht="15" hidden="false" customHeight="false" outlineLevel="0" collapsed="false">
      <c r="A296" s="41" t="s">
        <v>744</v>
      </c>
      <c r="B296" s="41" t="s">
        <v>703</v>
      </c>
      <c r="C296" s="41" t="s">
        <v>163</v>
      </c>
      <c r="D296" s="42" t="str">
        <f aca="false">INDEX('Page và Ngách'!$B$5:$B$10,MATCH(C296,'Page và Ngách'!$A$5:$A$10,0))</f>
        <v>Secret billionaire / CEO</v>
      </c>
      <c r="E296" s="41" t="n">
        <v>4</v>
      </c>
      <c r="F296" s="43" t="n">
        <f aca="false">'Cài đặt'!$B$38+E296-1</f>
        <v>46359</v>
      </c>
      <c r="G296" s="41" t="s">
        <v>451</v>
      </c>
      <c r="H296" s="44" t="str">
        <f aca="false">IF(G296="S1",'Cài đặt'!$B$7,'Cài đặt'!$B$8)</f>
        <v>20:00</v>
      </c>
      <c r="I296" s="44" t="str">
        <f aca="false">'Cài đặt'!$B$32</f>
        <v>Carousel</v>
      </c>
      <c r="J296" s="41" t="s">
        <v>132</v>
      </c>
      <c r="K296" s="41" t="s">
        <v>445</v>
      </c>
      <c r="L296" s="42" t="str">
        <f aca="false">C296&amp;"_"&amp;B296&amp;"_"&amp;IF(I296="Reel","R",IF(I296="Carousel","C","I"))&amp;"_"&amp;J296&amp;"_"&amp;IF(K296="AI tự động","AI","HU")&amp;"_"&amp;RIGHT(A296,3)</f>
        <v>P2_EXP2_C_A_AI_008</v>
      </c>
      <c r="M296" s="45"/>
      <c r="N296" s="45"/>
      <c r="O296" s="46"/>
      <c r="P296" s="46"/>
      <c r="Q296" s="46"/>
      <c r="R296" s="47"/>
      <c r="S296" s="45"/>
      <c r="T296" s="45"/>
      <c r="U296" s="48" t="str">
        <f aca="false">IF(O296&gt;0,P296/O296,"")</f>
        <v/>
      </c>
      <c r="V296" s="49" t="str">
        <f aca="false">IF(P296&gt;0,Q296/P296,"")</f>
        <v/>
      </c>
      <c r="W296" s="50" t="n">
        <f aca="false">IF(R296&lt;&gt;"",R296,Q296*'Cài đặt'!$B$12)</f>
        <v>0</v>
      </c>
      <c r="X296" s="50" t="str">
        <f aca="false">IF(O296&gt;0,W296/O296*1000,"")</f>
        <v/>
      </c>
      <c r="Y296" s="51" t="n">
        <f aca="false">IF(T296&lt;&gt;"",T296,INDEX('Cài đặt'!$B$20:$C$22,MATCH(I296,'Cài đặt'!$A$20:$A$22,0),IF(K296="AI tự động",1,2)))</f>
        <v>4</v>
      </c>
    </row>
    <row r="297" customFormat="false" ht="15" hidden="false" customHeight="false" outlineLevel="0" collapsed="false">
      <c r="A297" s="41" t="s">
        <v>745</v>
      </c>
      <c r="B297" s="41" t="s">
        <v>703</v>
      </c>
      <c r="C297" s="41" t="s">
        <v>171</v>
      </c>
      <c r="D297" s="42" t="str">
        <f aca="false">INDEX('Page và Ngách'!$B$5:$B$10,MATCH(C297,'Page và Ngách'!$A$5:$A$10,0))</f>
        <v>Contract marriage / Fake relationship</v>
      </c>
      <c r="E297" s="41" t="n">
        <v>4</v>
      </c>
      <c r="F297" s="43" t="n">
        <f aca="false">'Cài đặt'!$B$38+E297-1</f>
        <v>46359</v>
      </c>
      <c r="G297" s="41" t="s">
        <v>444</v>
      </c>
      <c r="H297" s="44" t="str">
        <f aca="false">IF(G297="S1",'Cài đặt'!$B$7,'Cài đặt'!$B$8)</f>
        <v>12:00</v>
      </c>
      <c r="I297" s="44" t="str">
        <f aca="false">'Cài đặt'!$B$32</f>
        <v>Carousel</v>
      </c>
      <c r="J297" s="41" t="s">
        <v>132</v>
      </c>
      <c r="K297" s="41" t="s">
        <v>445</v>
      </c>
      <c r="L297" s="42" t="str">
        <f aca="false">C297&amp;"_"&amp;B297&amp;"_"&amp;IF(I297="Reel","R",IF(I297="Carousel","C","I"))&amp;"_"&amp;J297&amp;"_"&amp;IF(K297="AI tự động","AI","HU")&amp;"_"&amp;RIGHT(A297,3)</f>
        <v>P3_EXP2_C_A_AI_007</v>
      </c>
      <c r="M297" s="45"/>
      <c r="N297" s="45"/>
      <c r="O297" s="46"/>
      <c r="P297" s="46"/>
      <c r="Q297" s="46"/>
      <c r="R297" s="47"/>
      <c r="S297" s="45"/>
      <c r="T297" s="45"/>
      <c r="U297" s="48" t="str">
        <f aca="false">IF(O297&gt;0,P297/O297,"")</f>
        <v/>
      </c>
      <c r="V297" s="49" t="str">
        <f aca="false">IF(P297&gt;0,Q297/P297,"")</f>
        <v/>
      </c>
      <c r="W297" s="50" t="n">
        <f aca="false">IF(R297&lt;&gt;"",R297,Q297*'Cài đặt'!$B$12)</f>
        <v>0</v>
      </c>
      <c r="X297" s="50" t="str">
        <f aca="false">IF(O297&gt;0,W297/O297*1000,"")</f>
        <v/>
      </c>
      <c r="Y297" s="51" t="n">
        <f aca="false">IF(T297&lt;&gt;"",T297,INDEX('Cài đặt'!$B$20:$C$22,MATCH(I297,'Cài đặt'!$A$20:$A$22,0),IF(K297="AI tự động",1,2)))</f>
        <v>4</v>
      </c>
    </row>
    <row r="298" customFormat="false" ht="15" hidden="false" customHeight="false" outlineLevel="0" collapsed="false">
      <c r="A298" s="41" t="s">
        <v>746</v>
      </c>
      <c r="B298" s="41" t="s">
        <v>703</v>
      </c>
      <c r="C298" s="41" t="s">
        <v>171</v>
      </c>
      <c r="D298" s="42" t="str">
        <f aca="false">INDEX('Page và Ngách'!$B$5:$B$10,MATCH(C298,'Page và Ngách'!$A$5:$A$10,0))</f>
        <v>Contract marriage / Fake relationship</v>
      </c>
      <c r="E298" s="41" t="n">
        <v>4</v>
      </c>
      <c r="F298" s="43" t="n">
        <f aca="false">'Cài đặt'!$B$38+E298-1</f>
        <v>46359</v>
      </c>
      <c r="G298" s="41" t="s">
        <v>451</v>
      </c>
      <c r="H298" s="44" t="str">
        <f aca="false">IF(G298="S1",'Cài đặt'!$B$7,'Cài đặt'!$B$8)</f>
        <v>20:00</v>
      </c>
      <c r="I298" s="44" t="str">
        <f aca="false">'Cài đặt'!$B$32</f>
        <v>Carousel</v>
      </c>
      <c r="J298" s="41" t="s">
        <v>704</v>
      </c>
      <c r="K298" s="41" t="s">
        <v>445</v>
      </c>
      <c r="L298" s="42" t="str">
        <f aca="false">C298&amp;"_"&amp;B298&amp;"_"&amp;IF(I298="Reel","R",IF(I298="Carousel","C","I"))&amp;"_"&amp;J298&amp;"_"&amp;IF(K298="AI tự động","AI","HU")&amp;"_"&amp;RIGHT(A298,3)</f>
        <v>P3_EXP2_C_B_AI_008</v>
      </c>
      <c r="M298" s="45"/>
      <c r="N298" s="45"/>
      <c r="O298" s="46"/>
      <c r="P298" s="46"/>
      <c r="Q298" s="46"/>
      <c r="R298" s="47"/>
      <c r="S298" s="45"/>
      <c r="T298" s="45"/>
      <c r="U298" s="48" t="str">
        <f aca="false">IF(O298&gt;0,P298/O298,"")</f>
        <v/>
      </c>
      <c r="V298" s="49" t="str">
        <f aca="false">IF(P298&gt;0,Q298/P298,"")</f>
        <v/>
      </c>
      <c r="W298" s="50" t="n">
        <f aca="false">IF(R298&lt;&gt;"",R298,Q298*'Cài đặt'!$B$12)</f>
        <v>0</v>
      </c>
      <c r="X298" s="50" t="str">
        <f aca="false">IF(O298&gt;0,W298/O298*1000,"")</f>
        <v/>
      </c>
      <c r="Y298" s="51" t="n">
        <f aca="false">IF(T298&lt;&gt;"",T298,INDEX('Cài đặt'!$B$20:$C$22,MATCH(I298,'Cài đặt'!$A$20:$A$22,0),IF(K298="AI tự động",1,2)))</f>
        <v>4</v>
      </c>
    </row>
    <row r="299" customFormat="false" ht="15" hidden="false" customHeight="false" outlineLevel="0" collapsed="false">
      <c r="A299" s="41" t="s">
        <v>747</v>
      </c>
      <c r="B299" s="41" t="s">
        <v>703</v>
      </c>
      <c r="C299" s="41" t="s">
        <v>178</v>
      </c>
      <c r="D299" s="42" t="str">
        <f aca="false">INDEX('Page và Ngách'!$B$5:$B$10,MATCH(C299,'Page và Ngách'!$A$5:$A$10,0))</f>
        <v>Revenge / Betrayal ("you'll regret it")</v>
      </c>
      <c r="E299" s="41" t="n">
        <v>4</v>
      </c>
      <c r="F299" s="43" t="n">
        <f aca="false">'Cài đặt'!$B$38+E299-1</f>
        <v>46359</v>
      </c>
      <c r="G299" s="41" t="s">
        <v>444</v>
      </c>
      <c r="H299" s="44" t="str">
        <f aca="false">IF(G299="S1",'Cài đặt'!$B$7,'Cài đặt'!$B$8)</f>
        <v>12:00</v>
      </c>
      <c r="I299" s="44" t="str">
        <f aca="false">'Cài đặt'!$B$32</f>
        <v>Carousel</v>
      </c>
      <c r="J299" s="41" t="s">
        <v>704</v>
      </c>
      <c r="K299" s="41" t="s">
        <v>445</v>
      </c>
      <c r="L299" s="42" t="str">
        <f aca="false">C299&amp;"_"&amp;B299&amp;"_"&amp;IF(I299="Reel","R",IF(I299="Carousel","C","I"))&amp;"_"&amp;J299&amp;"_"&amp;IF(K299="AI tự động","AI","HU")&amp;"_"&amp;RIGHT(A299,3)</f>
        <v>P4_EXP2_C_B_AI_007</v>
      </c>
      <c r="M299" s="45"/>
      <c r="N299" s="45"/>
      <c r="O299" s="46"/>
      <c r="P299" s="46"/>
      <c r="Q299" s="46"/>
      <c r="R299" s="47"/>
      <c r="S299" s="45"/>
      <c r="T299" s="45"/>
      <c r="U299" s="48" t="str">
        <f aca="false">IF(O299&gt;0,P299/O299,"")</f>
        <v/>
      </c>
      <c r="V299" s="49" t="str">
        <f aca="false">IF(P299&gt;0,Q299/P299,"")</f>
        <v/>
      </c>
      <c r="W299" s="50" t="n">
        <f aca="false">IF(R299&lt;&gt;"",R299,Q299*'Cài đặt'!$B$12)</f>
        <v>0</v>
      </c>
      <c r="X299" s="50" t="str">
        <f aca="false">IF(O299&gt;0,W299/O299*1000,"")</f>
        <v/>
      </c>
      <c r="Y299" s="51" t="n">
        <f aca="false">IF(T299&lt;&gt;"",T299,INDEX('Cài đặt'!$B$20:$C$22,MATCH(I299,'Cài đặt'!$A$20:$A$22,0),IF(K299="AI tự động",1,2)))</f>
        <v>4</v>
      </c>
    </row>
    <row r="300" customFormat="false" ht="15" hidden="false" customHeight="false" outlineLevel="0" collapsed="false">
      <c r="A300" s="41" t="s">
        <v>748</v>
      </c>
      <c r="B300" s="41" t="s">
        <v>703</v>
      </c>
      <c r="C300" s="41" t="s">
        <v>178</v>
      </c>
      <c r="D300" s="42" t="str">
        <f aca="false">INDEX('Page và Ngách'!$B$5:$B$10,MATCH(C300,'Page và Ngách'!$A$5:$A$10,0))</f>
        <v>Revenge / Betrayal ("you'll regret it")</v>
      </c>
      <c r="E300" s="41" t="n">
        <v>4</v>
      </c>
      <c r="F300" s="43" t="n">
        <f aca="false">'Cài đặt'!$B$38+E300-1</f>
        <v>46359</v>
      </c>
      <c r="G300" s="41" t="s">
        <v>451</v>
      </c>
      <c r="H300" s="44" t="str">
        <f aca="false">IF(G300="S1",'Cài đặt'!$B$7,'Cài đặt'!$B$8)</f>
        <v>20:00</v>
      </c>
      <c r="I300" s="44" t="str">
        <f aca="false">'Cài đặt'!$B$32</f>
        <v>Carousel</v>
      </c>
      <c r="J300" s="41" t="s">
        <v>706</v>
      </c>
      <c r="K300" s="41" t="s">
        <v>445</v>
      </c>
      <c r="L300" s="42" t="str">
        <f aca="false">C300&amp;"_"&amp;B300&amp;"_"&amp;IF(I300="Reel","R",IF(I300="Carousel","C","I"))&amp;"_"&amp;J300&amp;"_"&amp;IF(K300="AI tự động","AI","HU")&amp;"_"&amp;RIGHT(A300,3)</f>
        <v>P4_EXP2_C_C_AI_008</v>
      </c>
      <c r="M300" s="45"/>
      <c r="N300" s="45"/>
      <c r="O300" s="46"/>
      <c r="P300" s="46"/>
      <c r="Q300" s="46"/>
      <c r="R300" s="47"/>
      <c r="S300" s="45"/>
      <c r="T300" s="45"/>
      <c r="U300" s="48" t="str">
        <f aca="false">IF(O300&gt;0,P300/O300,"")</f>
        <v/>
      </c>
      <c r="V300" s="49" t="str">
        <f aca="false">IF(P300&gt;0,Q300/P300,"")</f>
        <v/>
      </c>
      <c r="W300" s="50" t="n">
        <f aca="false">IF(R300&lt;&gt;"",R300,Q300*'Cài đặt'!$B$12)</f>
        <v>0</v>
      </c>
      <c r="X300" s="50" t="str">
        <f aca="false">IF(O300&gt;0,W300/O300*1000,"")</f>
        <v/>
      </c>
      <c r="Y300" s="51" t="n">
        <f aca="false">IF(T300&lt;&gt;"",T300,INDEX('Cài đặt'!$B$20:$C$22,MATCH(I300,'Cài đặt'!$A$20:$A$22,0),IF(K300="AI tự động",1,2)))</f>
        <v>4</v>
      </c>
    </row>
    <row r="301" customFormat="false" ht="15" hidden="false" customHeight="false" outlineLevel="0" collapsed="false">
      <c r="A301" s="41" t="s">
        <v>749</v>
      </c>
      <c r="B301" s="41" t="s">
        <v>703</v>
      </c>
      <c r="C301" s="41" t="s">
        <v>185</v>
      </c>
      <c r="D301" s="42" t="str">
        <f aca="false">INDEX('Page và Ngách'!$B$5:$B$10,MATCH(C301,'Page và Ngách'!$A$5:$A$10,0))</f>
        <v>Mafia / Dark romance (teaser PG-13)</v>
      </c>
      <c r="E301" s="41" t="n">
        <v>4</v>
      </c>
      <c r="F301" s="43" t="n">
        <f aca="false">'Cài đặt'!$B$38+E301-1</f>
        <v>46359</v>
      </c>
      <c r="G301" s="41" t="s">
        <v>444</v>
      </c>
      <c r="H301" s="44" t="str">
        <f aca="false">IF(G301="S1",'Cài đặt'!$B$7,'Cài đặt'!$B$8)</f>
        <v>12:00</v>
      </c>
      <c r="I301" s="44" t="str">
        <f aca="false">'Cài đặt'!$B$32</f>
        <v>Carousel</v>
      </c>
      <c r="J301" s="41" t="s">
        <v>706</v>
      </c>
      <c r="K301" s="41" t="s">
        <v>445</v>
      </c>
      <c r="L301" s="42" t="str">
        <f aca="false">C301&amp;"_"&amp;B301&amp;"_"&amp;IF(I301="Reel","R",IF(I301="Carousel","C","I"))&amp;"_"&amp;J301&amp;"_"&amp;IF(K301="AI tự động","AI","HU")&amp;"_"&amp;RIGHT(A301,3)</f>
        <v>P5_EXP2_C_C_AI_007</v>
      </c>
      <c r="M301" s="45"/>
      <c r="N301" s="45"/>
      <c r="O301" s="46"/>
      <c r="P301" s="46"/>
      <c r="Q301" s="46"/>
      <c r="R301" s="47"/>
      <c r="S301" s="45"/>
      <c r="T301" s="45"/>
      <c r="U301" s="48" t="str">
        <f aca="false">IF(O301&gt;0,P301/O301,"")</f>
        <v/>
      </c>
      <c r="V301" s="49" t="str">
        <f aca="false">IF(P301&gt;0,Q301/P301,"")</f>
        <v/>
      </c>
      <c r="W301" s="50" t="n">
        <f aca="false">IF(R301&lt;&gt;"",R301,Q301*'Cài đặt'!$B$12)</f>
        <v>0</v>
      </c>
      <c r="X301" s="50" t="str">
        <f aca="false">IF(O301&gt;0,W301/O301*1000,"")</f>
        <v/>
      </c>
      <c r="Y301" s="51" t="n">
        <f aca="false">IF(T301&lt;&gt;"",T301,INDEX('Cài đặt'!$B$20:$C$22,MATCH(I301,'Cài đặt'!$A$20:$A$22,0),IF(K301="AI tự động",1,2)))</f>
        <v>4</v>
      </c>
    </row>
    <row r="302" customFormat="false" ht="15" hidden="false" customHeight="false" outlineLevel="0" collapsed="false">
      <c r="A302" s="41" t="s">
        <v>750</v>
      </c>
      <c r="B302" s="41" t="s">
        <v>703</v>
      </c>
      <c r="C302" s="41" t="s">
        <v>185</v>
      </c>
      <c r="D302" s="42" t="str">
        <f aca="false">INDEX('Page và Ngách'!$B$5:$B$10,MATCH(C302,'Page và Ngách'!$A$5:$A$10,0))</f>
        <v>Mafia / Dark romance (teaser PG-13)</v>
      </c>
      <c r="E302" s="41" t="n">
        <v>4</v>
      </c>
      <c r="F302" s="43" t="n">
        <f aca="false">'Cài đặt'!$B$38+E302-1</f>
        <v>46359</v>
      </c>
      <c r="G302" s="41" t="s">
        <v>451</v>
      </c>
      <c r="H302" s="44" t="str">
        <f aca="false">IF(G302="S1",'Cài đặt'!$B$7,'Cài đặt'!$B$8)</f>
        <v>20:00</v>
      </c>
      <c r="I302" s="44" t="str">
        <f aca="false">'Cài đặt'!$B$32</f>
        <v>Carousel</v>
      </c>
      <c r="J302" s="41" t="s">
        <v>132</v>
      </c>
      <c r="K302" s="41" t="s">
        <v>445</v>
      </c>
      <c r="L302" s="42" t="str">
        <f aca="false">C302&amp;"_"&amp;B302&amp;"_"&amp;IF(I302="Reel","R",IF(I302="Carousel","C","I"))&amp;"_"&amp;J302&amp;"_"&amp;IF(K302="AI tự động","AI","HU")&amp;"_"&amp;RIGHT(A302,3)</f>
        <v>P5_EXP2_C_A_AI_008</v>
      </c>
      <c r="M302" s="45"/>
      <c r="N302" s="45"/>
      <c r="O302" s="46"/>
      <c r="P302" s="46"/>
      <c r="Q302" s="46"/>
      <c r="R302" s="47"/>
      <c r="S302" s="45"/>
      <c r="T302" s="45"/>
      <c r="U302" s="48" t="str">
        <f aca="false">IF(O302&gt;0,P302/O302,"")</f>
        <v/>
      </c>
      <c r="V302" s="49" t="str">
        <f aca="false">IF(P302&gt;0,Q302/P302,"")</f>
        <v/>
      </c>
      <c r="W302" s="50" t="n">
        <f aca="false">IF(R302&lt;&gt;"",R302,Q302*'Cài đặt'!$B$12)</f>
        <v>0</v>
      </c>
      <c r="X302" s="50" t="str">
        <f aca="false">IF(O302&gt;0,W302/O302*1000,"")</f>
        <v/>
      </c>
      <c r="Y302" s="51" t="n">
        <f aca="false">IF(T302&lt;&gt;"",T302,INDEX('Cài đặt'!$B$20:$C$22,MATCH(I302,'Cài đặt'!$A$20:$A$22,0),IF(K302="AI tự động",1,2)))</f>
        <v>4</v>
      </c>
    </row>
    <row r="303" customFormat="false" ht="15" hidden="false" customHeight="false" outlineLevel="0" collapsed="false">
      <c r="A303" s="41" t="s">
        <v>751</v>
      </c>
      <c r="B303" s="41" t="s">
        <v>703</v>
      </c>
      <c r="C303" s="41" t="s">
        <v>193</v>
      </c>
      <c r="D303" s="42" t="str">
        <f aca="false">INDEX('Page và Ngách'!$B$5:$B$10,MATCH(C303,'Page và Ngách'!$A$5:$A$10,0))</f>
        <v>Second chance / Secret baby</v>
      </c>
      <c r="E303" s="41" t="n">
        <v>4</v>
      </c>
      <c r="F303" s="43" t="n">
        <f aca="false">'Cài đặt'!$B$38+E303-1</f>
        <v>46359</v>
      </c>
      <c r="G303" s="41" t="s">
        <v>444</v>
      </c>
      <c r="H303" s="44" t="str">
        <f aca="false">IF(G303="S1",'Cài đặt'!$B$7,'Cài đặt'!$B$8)</f>
        <v>12:00</v>
      </c>
      <c r="I303" s="44" t="str">
        <f aca="false">'Cài đặt'!$B$32</f>
        <v>Carousel</v>
      </c>
      <c r="J303" s="41" t="s">
        <v>132</v>
      </c>
      <c r="K303" s="41" t="s">
        <v>445</v>
      </c>
      <c r="L303" s="42" t="str">
        <f aca="false">C303&amp;"_"&amp;B303&amp;"_"&amp;IF(I303="Reel","R",IF(I303="Carousel","C","I"))&amp;"_"&amp;J303&amp;"_"&amp;IF(K303="AI tự động","AI","HU")&amp;"_"&amp;RIGHT(A303,3)</f>
        <v>P6_EXP2_C_A_AI_007</v>
      </c>
      <c r="M303" s="45"/>
      <c r="N303" s="45"/>
      <c r="O303" s="46"/>
      <c r="P303" s="46"/>
      <c r="Q303" s="46"/>
      <c r="R303" s="47"/>
      <c r="S303" s="45"/>
      <c r="T303" s="45"/>
      <c r="U303" s="48" t="str">
        <f aca="false">IF(O303&gt;0,P303/O303,"")</f>
        <v/>
      </c>
      <c r="V303" s="49" t="str">
        <f aca="false">IF(P303&gt;0,Q303/P303,"")</f>
        <v/>
      </c>
      <c r="W303" s="50" t="n">
        <f aca="false">IF(R303&lt;&gt;"",R303,Q303*'Cài đặt'!$B$12)</f>
        <v>0</v>
      </c>
      <c r="X303" s="50" t="str">
        <f aca="false">IF(O303&gt;0,W303/O303*1000,"")</f>
        <v/>
      </c>
      <c r="Y303" s="51" t="n">
        <f aca="false">IF(T303&lt;&gt;"",T303,INDEX('Cài đặt'!$B$20:$C$22,MATCH(I303,'Cài đặt'!$A$20:$A$22,0),IF(K303="AI tự động",1,2)))</f>
        <v>4</v>
      </c>
    </row>
    <row r="304" customFormat="false" ht="15" hidden="false" customHeight="false" outlineLevel="0" collapsed="false">
      <c r="A304" s="41" t="s">
        <v>752</v>
      </c>
      <c r="B304" s="41" t="s">
        <v>703</v>
      </c>
      <c r="C304" s="41" t="s">
        <v>193</v>
      </c>
      <c r="D304" s="42" t="str">
        <f aca="false">INDEX('Page và Ngách'!$B$5:$B$10,MATCH(C304,'Page và Ngách'!$A$5:$A$10,0))</f>
        <v>Second chance / Secret baby</v>
      </c>
      <c r="E304" s="41" t="n">
        <v>4</v>
      </c>
      <c r="F304" s="43" t="n">
        <f aca="false">'Cài đặt'!$B$38+E304-1</f>
        <v>46359</v>
      </c>
      <c r="G304" s="41" t="s">
        <v>451</v>
      </c>
      <c r="H304" s="44" t="str">
        <f aca="false">IF(G304="S1",'Cài đặt'!$B$7,'Cài đặt'!$B$8)</f>
        <v>20:00</v>
      </c>
      <c r="I304" s="44" t="str">
        <f aca="false">'Cài đặt'!$B$32</f>
        <v>Carousel</v>
      </c>
      <c r="J304" s="41" t="s">
        <v>704</v>
      </c>
      <c r="K304" s="41" t="s">
        <v>445</v>
      </c>
      <c r="L304" s="42" t="str">
        <f aca="false">C304&amp;"_"&amp;B304&amp;"_"&amp;IF(I304="Reel","R",IF(I304="Carousel","C","I"))&amp;"_"&amp;J304&amp;"_"&amp;IF(K304="AI tự động","AI","HU")&amp;"_"&amp;RIGHT(A304,3)</f>
        <v>P6_EXP2_C_B_AI_008</v>
      </c>
      <c r="M304" s="45"/>
      <c r="N304" s="45"/>
      <c r="O304" s="46"/>
      <c r="P304" s="46"/>
      <c r="Q304" s="46"/>
      <c r="R304" s="47"/>
      <c r="S304" s="45"/>
      <c r="T304" s="45"/>
      <c r="U304" s="48" t="str">
        <f aca="false">IF(O304&gt;0,P304/O304,"")</f>
        <v/>
      </c>
      <c r="V304" s="49" t="str">
        <f aca="false">IF(P304&gt;0,Q304/P304,"")</f>
        <v/>
      </c>
      <c r="W304" s="50" t="n">
        <f aca="false">IF(R304&lt;&gt;"",R304,Q304*'Cài đặt'!$B$12)</f>
        <v>0</v>
      </c>
      <c r="X304" s="50" t="str">
        <f aca="false">IF(O304&gt;0,W304/O304*1000,"")</f>
        <v/>
      </c>
      <c r="Y304" s="51" t="n">
        <f aca="false">IF(T304&lt;&gt;"",T304,INDEX('Cài đặt'!$B$20:$C$22,MATCH(I304,'Cài đặt'!$A$20:$A$22,0),IF(K304="AI tự động",1,2)))</f>
        <v>4</v>
      </c>
    </row>
    <row r="305" customFormat="false" ht="15" hidden="false" customHeight="false" outlineLevel="0" collapsed="false">
      <c r="A305" s="41" t="s">
        <v>753</v>
      </c>
      <c r="B305" s="41" t="s">
        <v>703</v>
      </c>
      <c r="C305" s="41" t="s">
        <v>154</v>
      </c>
      <c r="D305" s="42" t="str">
        <f aca="false">INDEX('Page và Ngách'!$B$5:$B$10,MATCH(C305,'Page và Ngách'!$A$5:$A$10,0))</f>
        <v>Werewolf / Rejected mate</v>
      </c>
      <c r="E305" s="41" t="n">
        <v>5</v>
      </c>
      <c r="F305" s="43" t="n">
        <f aca="false">'Cài đặt'!$B$38+E305-1</f>
        <v>46360</v>
      </c>
      <c r="G305" s="41" t="s">
        <v>444</v>
      </c>
      <c r="H305" s="44" t="str">
        <f aca="false">IF(G305="S1",'Cài đặt'!$B$7,'Cài đặt'!$B$8)</f>
        <v>12:00</v>
      </c>
      <c r="I305" s="44" t="str">
        <f aca="false">'Cài đặt'!$B$32</f>
        <v>Carousel</v>
      </c>
      <c r="J305" s="41" t="s">
        <v>132</v>
      </c>
      <c r="K305" s="41" t="s">
        <v>445</v>
      </c>
      <c r="L305" s="42" t="str">
        <f aca="false">C305&amp;"_"&amp;B305&amp;"_"&amp;IF(I305="Reel","R",IF(I305="Carousel","C","I"))&amp;"_"&amp;J305&amp;"_"&amp;IF(K305="AI tự động","AI","HU")&amp;"_"&amp;RIGHT(A305,3)</f>
        <v>P1_EXP2_C_A_AI_009</v>
      </c>
      <c r="M305" s="45"/>
      <c r="N305" s="45"/>
      <c r="O305" s="46"/>
      <c r="P305" s="46"/>
      <c r="Q305" s="46"/>
      <c r="R305" s="47"/>
      <c r="S305" s="45"/>
      <c r="T305" s="45"/>
      <c r="U305" s="48" t="str">
        <f aca="false">IF(O305&gt;0,P305/O305,"")</f>
        <v/>
      </c>
      <c r="V305" s="49" t="str">
        <f aca="false">IF(P305&gt;0,Q305/P305,"")</f>
        <v/>
      </c>
      <c r="W305" s="50" t="n">
        <f aca="false">IF(R305&lt;&gt;"",R305,Q305*'Cài đặt'!$B$12)</f>
        <v>0</v>
      </c>
      <c r="X305" s="50" t="str">
        <f aca="false">IF(O305&gt;0,W305/O305*1000,"")</f>
        <v/>
      </c>
      <c r="Y305" s="51" t="n">
        <f aca="false">IF(T305&lt;&gt;"",T305,INDEX('Cài đặt'!$B$20:$C$22,MATCH(I305,'Cài đặt'!$A$20:$A$22,0),IF(K305="AI tự động",1,2)))</f>
        <v>4</v>
      </c>
    </row>
    <row r="306" customFormat="false" ht="15" hidden="false" customHeight="false" outlineLevel="0" collapsed="false">
      <c r="A306" s="41" t="s">
        <v>754</v>
      </c>
      <c r="B306" s="41" t="s">
        <v>703</v>
      </c>
      <c r="C306" s="41" t="s">
        <v>154</v>
      </c>
      <c r="D306" s="42" t="str">
        <f aca="false">INDEX('Page và Ngách'!$B$5:$B$10,MATCH(C306,'Page và Ngách'!$A$5:$A$10,0))</f>
        <v>Werewolf / Rejected mate</v>
      </c>
      <c r="E306" s="41" t="n">
        <v>5</v>
      </c>
      <c r="F306" s="43" t="n">
        <f aca="false">'Cài đặt'!$B$38+E306-1</f>
        <v>46360</v>
      </c>
      <c r="G306" s="41" t="s">
        <v>451</v>
      </c>
      <c r="H306" s="44" t="str">
        <f aca="false">IF(G306="S1",'Cài đặt'!$B$7,'Cài đặt'!$B$8)</f>
        <v>20:00</v>
      </c>
      <c r="I306" s="44" t="str">
        <f aca="false">'Cài đặt'!$B$32</f>
        <v>Carousel</v>
      </c>
      <c r="J306" s="41" t="s">
        <v>704</v>
      </c>
      <c r="K306" s="41" t="s">
        <v>445</v>
      </c>
      <c r="L306" s="42" t="str">
        <f aca="false">C306&amp;"_"&amp;B306&amp;"_"&amp;IF(I306="Reel","R",IF(I306="Carousel","C","I"))&amp;"_"&amp;J306&amp;"_"&amp;IF(K306="AI tự động","AI","HU")&amp;"_"&amp;RIGHT(A306,3)</f>
        <v>P1_EXP2_C_B_AI_010</v>
      </c>
      <c r="M306" s="45"/>
      <c r="N306" s="45"/>
      <c r="O306" s="46"/>
      <c r="P306" s="46"/>
      <c r="Q306" s="46"/>
      <c r="R306" s="47"/>
      <c r="S306" s="45"/>
      <c r="T306" s="45"/>
      <c r="U306" s="48" t="str">
        <f aca="false">IF(O306&gt;0,P306/O306,"")</f>
        <v/>
      </c>
      <c r="V306" s="49" t="str">
        <f aca="false">IF(P306&gt;0,Q306/P306,"")</f>
        <v/>
      </c>
      <c r="W306" s="50" t="n">
        <f aca="false">IF(R306&lt;&gt;"",R306,Q306*'Cài đặt'!$B$12)</f>
        <v>0</v>
      </c>
      <c r="X306" s="50" t="str">
        <f aca="false">IF(O306&gt;0,W306/O306*1000,"")</f>
        <v/>
      </c>
      <c r="Y306" s="51" t="n">
        <f aca="false">IF(T306&lt;&gt;"",T306,INDEX('Cài đặt'!$B$20:$C$22,MATCH(I306,'Cài đặt'!$A$20:$A$22,0),IF(K306="AI tự động",1,2)))</f>
        <v>4</v>
      </c>
    </row>
    <row r="307" customFormat="false" ht="15" hidden="false" customHeight="false" outlineLevel="0" collapsed="false">
      <c r="A307" s="41" t="s">
        <v>755</v>
      </c>
      <c r="B307" s="41" t="s">
        <v>703</v>
      </c>
      <c r="C307" s="41" t="s">
        <v>163</v>
      </c>
      <c r="D307" s="42" t="str">
        <f aca="false">INDEX('Page và Ngách'!$B$5:$B$10,MATCH(C307,'Page và Ngách'!$A$5:$A$10,0))</f>
        <v>Secret billionaire / CEO</v>
      </c>
      <c r="E307" s="41" t="n">
        <v>5</v>
      </c>
      <c r="F307" s="43" t="n">
        <f aca="false">'Cài đặt'!$B$38+E307-1</f>
        <v>46360</v>
      </c>
      <c r="G307" s="41" t="s">
        <v>444</v>
      </c>
      <c r="H307" s="44" t="str">
        <f aca="false">IF(G307="S1",'Cài đặt'!$B$7,'Cài đặt'!$B$8)</f>
        <v>12:00</v>
      </c>
      <c r="I307" s="44" t="str">
        <f aca="false">'Cài đặt'!$B$32</f>
        <v>Carousel</v>
      </c>
      <c r="J307" s="41" t="s">
        <v>704</v>
      </c>
      <c r="K307" s="41" t="s">
        <v>445</v>
      </c>
      <c r="L307" s="42" t="str">
        <f aca="false">C307&amp;"_"&amp;B307&amp;"_"&amp;IF(I307="Reel","R",IF(I307="Carousel","C","I"))&amp;"_"&amp;J307&amp;"_"&amp;IF(K307="AI tự động","AI","HU")&amp;"_"&amp;RIGHT(A307,3)</f>
        <v>P2_EXP2_C_B_AI_009</v>
      </c>
      <c r="M307" s="45"/>
      <c r="N307" s="45"/>
      <c r="O307" s="46"/>
      <c r="P307" s="46"/>
      <c r="Q307" s="46"/>
      <c r="R307" s="47"/>
      <c r="S307" s="45"/>
      <c r="T307" s="45"/>
      <c r="U307" s="48" t="str">
        <f aca="false">IF(O307&gt;0,P307/O307,"")</f>
        <v/>
      </c>
      <c r="V307" s="49" t="str">
        <f aca="false">IF(P307&gt;0,Q307/P307,"")</f>
        <v/>
      </c>
      <c r="W307" s="50" t="n">
        <f aca="false">IF(R307&lt;&gt;"",R307,Q307*'Cài đặt'!$B$12)</f>
        <v>0</v>
      </c>
      <c r="X307" s="50" t="str">
        <f aca="false">IF(O307&gt;0,W307/O307*1000,"")</f>
        <v/>
      </c>
      <c r="Y307" s="51" t="n">
        <f aca="false">IF(T307&lt;&gt;"",T307,INDEX('Cài đặt'!$B$20:$C$22,MATCH(I307,'Cài đặt'!$A$20:$A$22,0),IF(K307="AI tự động",1,2)))</f>
        <v>4</v>
      </c>
    </row>
    <row r="308" customFormat="false" ht="15" hidden="false" customHeight="false" outlineLevel="0" collapsed="false">
      <c r="A308" s="41" t="s">
        <v>756</v>
      </c>
      <c r="B308" s="41" t="s">
        <v>703</v>
      </c>
      <c r="C308" s="41" t="s">
        <v>163</v>
      </c>
      <c r="D308" s="42" t="str">
        <f aca="false">INDEX('Page và Ngách'!$B$5:$B$10,MATCH(C308,'Page và Ngách'!$A$5:$A$10,0))</f>
        <v>Secret billionaire / CEO</v>
      </c>
      <c r="E308" s="41" t="n">
        <v>5</v>
      </c>
      <c r="F308" s="43" t="n">
        <f aca="false">'Cài đặt'!$B$38+E308-1</f>
        <v>46360</v>
      </c>
      <c r="G308" s="41" t="s">
        <v>451</v>
      </c>
      <c r="H308" s="44" t="str">
        <f aca="false">IF(G308="S1",'Cài đặt'!$B$7,'Cài đặt'!$B$8)</f>
        <v>20:00</v>
      </c>
      <c r="I308" s="44" t="str">
        <f aca="false">'Cài đặt'!$B$32</f>
        <v>Carousel</v>
      </c>
      <c r="J308" s="41" t="s">
        <v>706</v>
      </c>
      <c r="K308" s="41" t="s">
        <v>445</v>
      </c>
      <c r="L308" s="42" t="str">
        <f aca="false">C308&amp;"_"&amp;B308&amp;"_"&amp;IF(I308="Reel","R",IF(I308="Carousel","C","I"))&amp;"_"&amp;J308&amp;"_"&amp;IF(K308="AI tự động","AI","HU")&amp;"_"&amp;RIGHT(A308,3)</f>
        <v>P2_EXP2_C_C_AI_010</v>
      </c>
      <c r="M308" s="45"/>
      <c r="N308" s="45"/>
      <c r="O308" s="46"/>
      <c r="P308" s="46"/>
      <c r="Q308" s="46"/>
      <c r="R308" s="47"/>
      <c r="S308" s="45"/>
      <c r="T308" s="45"/>
      <c r="U308" s="48" t="str">
        <f aca="false">IF(O308&gt;0,P308/O308,"")</f>
        <v/>
      </c>
      <c r="V308" s="49" t="str">
        <f aca="false">IF(P308&gt;0,Q308/P308,"")</f>
        <v/>
      </c>
      <c r="W308" s="50" t="n">
        <f aca="false">IF(R308&lt;&gt;"",R308,Q308*'Cài đặt'!$B$12)</f>
        <v>0</v>
      </c>
      <c r="X308" s="50" t="str">
        <f aca="false">IF(O308&gt;0,W308/O308*1000,"")</f>
        <v/>
      </c>
      <c r="Y308" s="51" t="n">
        <f aca="false">IF(T308&lt;&gt;"",T308,INDEX('Cài đặt'!$B$20:$C$22,MATCH(I308,'Cài đặt'!$A$20:$A$22,0),IF(K308="AI tự động",1,2)))</f>
        <v>4</v>
      </c>
    </row>
    <row r="309" customFormat="false" ht="15" hidden="false" customHeight="false" outlineLevel="0" collapsed="false">
      <c r="A309" s="41" t="s">
        <v>757</v>
      </c>
      <c r="B309" s="41" t="s">
        <v>703</v>
      </c>
      <c r="C309" s="41" t="s">
        <v>171</v>
      </c>
      <c r="D309" s="42" t="str">
        <f aca="false">INDEX('Page và Ngách'!$B$5:$B$10,MATCH(C309,'Page và Ngách'!$A$5:$A$10,0))</f>
        <v>Contract marriage / Fake relationship</v>
      </c>
      <c r="E309" s="41" t="n">
        <v>5</v>
      </c>
      <c r="F309" s="43" t="n">
        <f aca="false">'Cài đặt'!$B$38+E309-1</f>
        <v>46360</v>
      </c>
      <c r="G309" s="41" t="s">
        <v>444</v>
      </c>
      <c r="H309" s="44" t="str">
        <f aca="false">IF(G309="S1",'Cài đặt'!$B$7,'Cài đặt'!$B$8)</f>
        <v>12:00</v>
      </c>
      <c r="I309" s="44" t="str">
        <f aca="false">'Cài đặt'!$B$32</f>
        <v>Carousel</v>
      </c>
      <c r="J309" s="41" t="s">
        <v>706</v>
      </c>
      <c r="K309" s="41" t="s">
        <v>445</v>
      </c>
      <c r="L309" s="42" t="str">
        <f aca="false">C309&amp;"_"&amp;B309&amp;"_"&amp;IF(I309="Reel","R",IF(I309="Carousel","C","I"))&amp;"_"&amp;J309&amp;"_"&amp;IF(K309="AI tự động","AI","HU")&amp;"_"&amp;RIGHT(A309,3)</f>
        <v>P3_EXP2_C_C_AI_009</v>
      </c>
      <c r="M309" s="45"/>
      <c r="N309" s="45"/>
      <c r="O309" s="46"/>
      <c r="P309" s="46"/>
      <c r="Q309" s="46"/>
      <c r="R309" s="47"/>
      <c r="S309" s="45"/>
      <c r="T309" s="45"/>
      <c r="U309" s="48" t="str">
        <f aca="false">IF(O309&gt;0,P309/O309,"")</f>
        <v/>
      </c>
      <c r="V309" s="49" t="str">
        <f aca="false">IF(P309&gt;0,Q309/P309,"")</f>
        <v/>
      </c>
      <c r="W309" s="50" t="n">
        <f aca="false">IF(R309&lt;&gt;"",R309,Q309*'Cài đặt'!$B$12)</f>
        <v>0</v>
      </c>
      <c r="X309" s="50" t="str">
        <f aca="false">IF(O309&gt;0,W309/O309*1000,"")</f>
        <v/>
      </c>
      <c r="Y309" s="51" t="n">
        <f aca="false">IF(T309&lt;&gt;"",T309,INDEX('Cài đặt'!$B$20:$C$22,MATCH(I309,'Cài đặt'!$A$20:$A$22,0),IF(K309="AI tự động",1,2)))</f>
        <v>4</v>
      </c>
    </row>
    <row r="310" customFormat="false" ht="15" hidden="false" customHeight="false" outlineLevel="0" collapsed="false">
      <c r="A310" s="41" t="s">
        <v>758</v>
      </c>
      <c r="B310" s="41" t="s">
        <v>703</v>
      </c>
      <c r="C310" s="41" t="s">
        <v>171</v>
      </c>
      <c r="D310" s="42" t="str">
        <f aca="false">INDEX('Page và Ngách'!$B$5:$B$10,MATCH(C310,'Page và Ngách'!$A$5:$A$10,0))</f>
        <v>Contract marriage / Fake relationship</v>
      </c>
      <c r="E310" s="41" t="n">
        <v>5</v>
      </c>
      <c r="F310" s="43" t="n">
        <f aca="false">'Cài đặt'!$B$38+E310-1</f>
        <v>46360</v>
      </c>
      <c r="G310" s="41" t="s">
        <v>451</v>
      </c>
      <c r="H310" s="44" t="str">
        <f aca="false">IF(G310="S1",'Cài đặt'!$B$7,'Cài đặt'!$B$8)</f>
        <v>20:00</v>
      </c>
      <c r="I310" s="44" t="str">
        <f aca="false">'Cài đặt'!$B$32</f>
        <v>Carousel</v>
      </c>
      <c r="J310" s="41" t="s">
        <v>132</v>
      </c>
      <c r="K310" s="41" t="s">
        <v>445</v>
      </c>
      <c r="L310" s="42" t="str">
        <f aca="false">C310&amp;"_"&amp;B310&amp;"_"&amp;IF(I310="Reel","R",IF(I310="Carousel","C","I"))&amp;"_"&amp;J310&amp;"_"&amp;IF(K310="AI tự động","AI","HU")&amp;"_"&amp;RIGHT(A310,3)</f>
        <v>P3_EXP2_C_A_AI_010</v>
      </c>
      <c r="M310" s="45"/>
      <c r="N310" s="45"/>
      <c r="O310" s="46"/>
      <c r="P310" s="46"/>
      <c r="Q310" s="46"/>
      <c r="R310" s="47"/>
      <c r="S310" s="45"/>
      <c r="T310" s="45"/>
      <c r="U310" s="48" t="str">
        <f aca="false">IF(O310&gt;0,P310/O310,"")</f>
        <v/>
      </c>
      <c r="V310" s="49" t="str">
        <f aca="false">IF(P310&gt;0,Q310/P310,"")</f>
        <v/>
      </c>
      <c r="W310" s="50" t="n">
        <f aca="false">IF(R310&lt;&gt;"",R310,Q310*'Cài đặt'!$B$12)</f>
        <v>0</v>
      </c>
      <c r="X310" s="50" t="str">
        <f aca="false">IF(O310&gt;0,W310/O310*1000,"")</f>
        <v/>
      </c>
      <c r="Y310" s="51" t="n">
        <f aca="false">IF(T310&lt;&gt;"",T310,INDEX('Cài đặt'!$B$20:$C$22,MATCH(I310,'Cài đặt'!$A$20:$A$22,0),IF(K310="AI tự động",1,2)))</f>
        <v>4</v>
      </c>
    </row>
    <row r="311" customFormat="false" ht="15" hidden="false" customHeight="false" outlineLevel="0" collapsed="false">
      <c r="A311" s="41" t="s">
        <v>759</v>
      </c>
      <c r="B311" s="41" t="s">
        <v>703</v>
      </c>
      <c r="C311" s="41" t="s">
        <v>178</v>
      </c>
      <c r="D311" s="42" t="str">
        <f aca="false">INDEX('Page và Ngách'!$B$5:$B$10,MATCH(C311,'Page và Ngách'!$A$5:$A$10,0))</f>
        <v>Revenge / Betrayal ("you'll regret it")</v>
      </c>
      <c r="E311" s="41" t="n">
        <v>5</v>
      </c>
      <c r="F311" s="43" t="n">
        <f aca="false">'Cài đặt'!$B$38+E311-1</f>
        <v>46360</v>
      </c>
      <c r="G311" s="41" t="s">
        <v>444</v>
      </c>
      <c r="H311" s="44" t="str">
        <f aca="false">IF(G311="S1",'Cài đặt'!$B$7,'Cài đặt'!$B$8)</f>
        <v>12:00</v>
      </c>
      <c r="I311" s="44" t="str">
        <f aca="false">'Cài đặt'!$B$32</f>
        <v>Carousel</v>
      </c>
      <c r="J311" s="41" t="s">
        <v>132</v>
      </c>
      <c r="K311" s="41" t="s">
        <v>445</v>
      </c>
      <c r="L311" s="42" t="str">
        <f aca="false">C311&amp;"_"&amp;B311&amp;"_"&amp;IF(I311="Reel","R",IF(I311="Carousel","C","I"))&amp;"_"&amp;J311&amp;"_"&amp;IF(K311="AI tự động","AI","HU")&amp;"_"&amp;RIGHT(A311,3)</f>
        <v>P4_EXP2_C_A_AI_009</v>
      </c>
      <c r="M311" s="45"/>
      <c r="N311" s="45"/>
      <c r="O311" s="46"/>
      <c r="P311" s="46"/>
      <c r="Q311" s="46"/>
      <c r="R311" s="47"/>
      <c r="S311" s="45"/>
      <c r="T311" s="45"/>
      <c r="U311" s="48" t="str">
        <f aca="false">IF(O311&gt;0,P311/O311,"")</f>
        <v/>
      </c>
      <c r="V311" s="49" t="str">
        <f aca="false">IF(P311&gt;0,Q311/P311,"")</f>
        <v/>
      </c>
      <c r="W311" s="50" t="n">
        <f aca="false">IF(R311&lt;&gt;"",R311,Q311*'Cài đặt'!$B$12)</f>
        <v>0</v>
      </c>
      <c r="X311" s="50" t="str">
        <f aca="false">IF(O311&gt;0,W311/O311*1000,"")</f>
        <v/>
      </c>
      <c r="Y311" s="51" t="n">
        <f aca="false">IF(T311&lt;&gt;"",T311,INDEX('Cài đặt'!$B$20:$C$22,MATCH(I311,'Cài đặt'!$A$20:$A$22,0),IF(K311="AI tự động",1,2)))</f>
        <v>4</v>
      </c>
    </row>
    <row r="312" customFormat="false" ht="15" hidden="false" customHeight="false" outlineLevel="0" collapsed="false">
      <c r="A312" s="41" t="s">
        <v>760</v>
      </c>
      <c r="B312" s="41" t="s">
        <v>703</v>
      </c>
      <c r="C312" s="41" t="s">
        <v>178</v>
      </c>
      <c r="D312" s="42" t="str">
        <f aca="false">INDEX('Page và Ngách'!$B$5:$B$10,MATCH(C312,'Page và Ngách'!$A$5:$A$10,0))</f>
        <v>Revenge / Betrayal ("you'll regret it")</v>
      </c>
      <c r="E312" s="41" t="n">
        <v>5</v>
      </c>
      <c r="F312" s="43" t="n">
        <f aca="false">'Cài đặt'!$B$38+E312-1</f>
        <v>46360</v>
      </c>
      <c r="G312" s="41" t="s">
        <v>451</v>
      </c>
      <c r="H312" s="44" t="str">
        <f aca="false">IF(G312="S1",'Cài đặt'!$B$7,'Cài đặt'!$B$8)</f>
        <v>20:00</v>
      </c>
      <c r="I312" s="44" t="str">
        <f aca="false">'Cài đặt'!$B$32</f>
        <v>Carousel</v>
      </c>
      <c r="J312" s="41" t="s">
        <v>704</v>
      </c>
      <c r="K312" s="41" t="s">
        <v>445</v>
      </c>
      <c r="L312" s="42" t="str">
        <f aca="false">C312&amp;"_"&amp;B312&amp;"_"&amp;IF(I312="Reel","R",IF(I312="Carousel","C","I"))&amp;"_"&amp;J312&amp;"_"&amp;IF(K312="AI tự động","AI","HU")&amp;"_"&amp;RIGHT(A312,3)</f>
        <v>P4_EXP2_C_B_AI_010</v>
      </c>
      <c r="M312" s="45"/>
      <c r="N312" s="45"/>
      <c r="O312" s="46"/>
      <c r="P312" s="46"/>
      <c r="Q312" s="46"/>
      <c r="R312" s="47"/>
      <c r="S312" s="45"/>
      <c r="T312" s="45"/>
      <c r="U312" s="48" t="str">
        <f aca="false">IF(O312&gt;0,P312/O312,"")</f>
        <v/>
      </c>
      <c r="V312" s="49" t="str">
        <f aca="false">IF(P312&gt;0,Q312/P312,"")</f>
        <v/>
      </c>
      <c r="W312" s="50" t="n">
        <f aca="false">IF(R312&lt;&gt;"",R312,Q312*'Cài đặt'!$B$12)</f>
        <v>0</v>
      </c>
      <c r="X312" s="50" t="str">
        <f aca="false">IF(O312&gt;0,W312/O312*1000,"")</f>
        <v/>
      </c>
      <c r="Y312" s="51" t="n">
        <f aca="false">IF(T312&lt;&gt;"",T312,INDEX('Cài đặt'!$B$20:$C$22,MATCH(I312,'Cài đặt'!$A$20:$A$22,0),IF(K312="AI tự động",1,2)))</f>
        <v>4</v>
      </c>
    </row>
    <row r="313" customFormat="false" ht="15" hidden="false" customHeight="false" outlineLevel="0" collapsed="false">
      <c r="A313" s="41" t="s">
        <v>761</v>
      </c>
      <c r="B313" s="41" t="s">
        <v>703</v>
      </c>
      <c r="C313" s="41" t="s">
        <v>185</v>
      </c>
      <c r="D313" s="42" t="str">
        <f aca="false">INDEX('Page và Ngách'!$B$5:$B$10,MATCH(C313,'Page và Ngách'!$A$5:$A$10,0))</f>
        <v>Mafia / Dark romance (teaser PG-13)</v>
      </c>
      <c r="E313" s="41" t="n">
        <v>5</v>
      </c>
      <c r="F313" s="43" t="n">
        <f aca="false">'Cài đặt'!$B$38+E313-1</f>
        <v>46360</v>
      </c>
      <c r="G313" s="41" t="s">
        <v>444</v>
      </c>
      <c r="H313" s="44" t="str">
        <f aca="false">IF(G313="S1",'Cài đặt'!$B$7,'Cài đặt'!$B$8)</f>
        <v>12:00</v>
      </c>
      <c r="I313" s="44" t="str">
        <f aca="false">'Cài đặt'!$B$32</f>
        <v>Carousel</v>
      </c>
      <c r="J313" s="41" t="s">
        <v>704</v>
      </c>
      <c r="K313" s="41" t="s">
        <v>445</v>
      </c>
      <c r="L313" s="42" t="str">
        <f aca="false">C313&amp;"_"&amp;B313&amp;"_"&amp;IF(I313="Reel","R",IF(I313="Carousel","C","I"))&amp;"_"&amp;J313&amp;"_"&amp;IF(K313="AI tự động","AI","HU")&amp;"_"&amp;RIGHT(A313,3)</f>
        <v>P5_EXP2_C_B_AI_009</v>
      </c>
      <c r="M313" s="45"/>
      <c r="N313" s="45"/>
      <c r="O313" s="46"/>
      <c r="P313" s="46"/>
      <c r="Q313" s="46"/>
      <c r="R313" s="47"/>
      <c r="S313" s="45"/>
      <c r="T313" s="45"/>
      <c r="U313" s="48" t="str">
        <f aca="false">IF(O313&gt;0,P313/O313,"")</f>
        <v/>
      </c>
      <c r="V313" s="49" t="str">
        <f aca="false">IF(P313&gt;0,Q313/P313,"")</f>
        <v/>
      </c>
      <c r="W313" s="50" t="n">
        <f aca="false">IF(R313&lt;&gt;"",R313,Q313*'Cài đặt'!$B$12)</f>
        <v>0</v>
      </c>
      <c r="X313" s="50" t="str">
        <f aca="false">IF(O313&gt;0,W313/O313*1000,"")</f>
        <v/>
      </c>
      <c r="Y313" s="51" t="n">
        <f aca="false">IF(T313&lt;&gt;"",T313,INDEX('Cài đặt'!$B$20:$C$22,MATCH(I313,'Cài đặt'!$A$20:$A$22,0),IF(K313="AI tự động",1,2)))</f>
        <v>4</v>
      </c>
    </row>
    <row r="314" customFormat="false" ht="15" hidden="false" customHeight="false" outlineLevel="0" collapsed="false">
      <c r="A314" s="41" t="s">
        <v>762</v>
      </c>
      <c r="B314" s="41" t="s">
        <v>703</v>
      </c>
      <c r="C314" s="41" t="s">
        <v>185</v>
      </c>
      <c r="D314" s="42" t="str">
        <f aca="false">INDEX('Page và Ngách'!$B$5:$B$10,MATCH(C314,'Page và Ngách'!$A$5:$A$10,0))</f>
        <v>Mafia / Dark romance (teaser PG-13)</v>
      </c>
      <c r="E314" s="41" t="n">
        <v>5</v>
      </c>
      <c r="F314" s="43" t="n">
        <f aca="false">'Cài đặt'!$B$38+E314-1</f>
        <v>46360</v>
      </c>
      <c r="G314" s="41" t="s">
        <v>451</v>
      </c>
      <c r="H314" s="44" t="str">
        <f aca="false">IF(G314="S1",'Cài đặt'!$B$7,'Cài đặt'!$B$8)</f>
        <v>20:00</v>
      </c>
      <c r="I314" s="44" t="str">
        <f aca="false">'Cài đặt'!$B$32</f>
        <v>Carousel</v>
      </c>
      <c r="J314" s="41" t="s">
        <v>706</v>
      </c>
      <c r="K314" s="41" t="s">
        <v>445</v>
      </c>
      <c r="L314" s="42" t="str">
        <f aca="false">C314&amp;"_"&amp;B314&amp;"_"&amp;IF(I314="Reel","R",IF(I314="Carousel","C","I"))&amp;"_"&amp;J314&amp;"_"&amp;IF(K314="AI tự động","AI","HU")&amp;"_"&amp;RIGHT(A314,3)</f>
        <v>P5_EXP2_C_C_AI_010</v>
      </c>
      <c r="M314" s="45"/>
      <c r="N314" s="45"/>
      <c r="O314" s="46"/>
      <c r="P314" s="46"/>
      <c r="Q314" s="46"/>
      <c r="R314" s="47"/>
      <c r="S314" s="45"/>
      <c r="T314" s="45"/>
      <c r="U314" s="48" t="str">
        <f aca="false">IF(O314&gt;0,P314/O314,"")</f>
        <v/>
      </c>
      <c r="V314" s="49" t="str">
        <f aca="false">IF(P314&gt;0,Q314/P314,"")</f>
        <v/>
      </c>
      <c r="W314" s="50" t="n">
        <f aca="false">IF(R314&lt;&gt;"",R314,Q314*'Cài đặt'!$B$12)</f>
        <v>0</v>
      </c>
      <c r="X314" s="50" t="str">
        <f aca="false">IF(O314&gt;0,W314/O314*1000,"")</f>
        <v/>
      </c>
      <c r="Y314" s="51" t="n">
        <f aca="false">IF(T314&lt;&gt;"",T314,INDEX('Cài đặt'!$B$20:$C$22,MATCH(I314,'Cài đặt'!$A$20:$A$22,0),IF(K314="AI tự động",1,2)))</f>
        <v>4</v>
      </c>
    </row>
    <row r="315" customFormat="false" ht="15" hidden="false" customHeight="false" outlineLevel="0" collapsed="false">
      <c r="A315" s="41" t="s">
        <v>763</v>
      </c>
      <c r="B315" s="41" t="s">
        <v>703</v>
      </c>
      <c r="C315" s="41" t="s">
        <v>193</v>
      </c>
      <c r="D315" s="42" t="str">
        <f aca="false">INDEX('Page và Ngách'!$B$5:$B$10,MATCH(C315,'Page và Ngách'!$A$5:$A$10,0))</f>
        <v>Second chance / Secret baby</v>
      </c>
      <c r="E315" s="41" t="n">
        <v>5</v>
      </c>
      <c r="F315" s="43" t="n">
        <f aca="false">'Cài đặt'!$B$38+E315-1</f>
        <v>46360</v>
      </c>
      <c r="G315" s="41" t="s">
        <v>444</v>
      </c>
      <c r="H315" s="44" t="str">
        <f aca="false">IF(G315="S1",'Cài đặt'!$B$7,'Cài đặt'!$B$8)</f>
        <v>12:00</v>
      </c>
      <c r="I315" s="44" t="str">
        <f aca="false">'Cài đặt'!$B$32</f>
        <v>Carousel</v>
      </c>
      <c r="J315" s="41" t="s">
        <v>706</v>
      </c>
      <c r="K315" s="41" t="s">
        <v>445</v>
      </c>
      <c r="L315" s="42" t="str">
        <f aca="false">C315&amp;"_"&amp;B315&amp;"_"&amp;IF(I315="Reel","R",IF(I315="Carousel","C","I"))&amp;"_"&amp;J315&amp;"_"&amp;IF(K315="AI tự động","AI","HU")&amp;"_"&amp;RIGHT(A315,3)</f>
        <v>P6_EXP2_C_C_AI_009</v>
      </c>
      <c r="M315" s="45"/>
      <c r="N315" s="45"/>
      <c r="O315" s="46"/>
      <c r="P315" s="46"/>
      <c r="Q315" s="46"/>
      <c r="R315" s="47"/>
      <c r="S315" s="45"/>
      <c r="T315" s="45"/>
      <c r="U315" s="48" t="str">
        <f aca="false">IF(O315&gt;0,P315/O315,"")</f>
        <v/>
      </c>
      <c r="V315" s="49" t="str">
        <f aca="false">IF(P315&gt;0,Q315/P315,"")</f>
        <v/>
      </c>
      <c r="W315" s="50" t="n">
        <f aca="false">IF(R315&lt;&gt;"",R315,Q315*'Cài đặt'!$B$12)</f>
        <v>0</v>
      </c>
      <c r="X315" s="50" t="str">
        <f aca="false">IF(O315&gt;0,W315/O315*1000,"")</f>
        <v/>
      </c>
      <c r="Y315" s="51" t="n">
        <f aca="false">IF(T315&lt;&gt;"",T315,INDEX('Cài đặt'!$B$20:$C$22,MATCH(I315,'Cài đặt'!$A$20:$A$22,0),IF(K315="AI tự động",1,2)))</f>
        <v>4</v>
      </c>
    </row>
    <row r="316" customFormat="false" ht="15" hidden="false" customHeight="false" outlineLevel="0" collapsed="false">
      <c r="A316" s="41" t="s">
        <v>764</v>
      </c>
      <c r="B316" s="41" t="s">
        <v>703</v>
      </c>
      <c r="C316" s="41" t="s">
        <v>193</v>
      </c>
      <c r="D316" s="42" t="str">
        <f aca="false">INDEX('Page và Ngách'!$B$5:$B$10,MATCH(C316,'Page và Ngách'!$A$5:$A$10,0))</f>
        <v>Second chance / Secret baby</v>
      </c>
      <c r="E316" s="41" t="n">
        <v>5</v>
      </c>
      <c r="F316" s="43" t="n">
        <f aca="false">'Cài đặt'!$B$38+E316-1</f>
        <v>46360</v>
      </c>
      <c r="G316" s="41" t="s">
        <v>451</v>
      </c>
      <c r="H316" s="44" t="str">
        <f aca="false">IF(G316="S1",'Cài đặt'!$B$7,'Cài đặt'!$B$8)</f>
        <v>20:00</v>
      </c>
      <c r="I316" s="44" t="str">
        <f aca="false">'Cài đặt'!$B$32</f>
        <v>Carousel</v>
      </c>
      <c r="J316" s="41" t="s">
        <v>132</v>
      </c>
      <c r="K316" s="41" t="s">
        <v>445</v>
      </c>
      <c r="L316" s="42" t="str">
        <f aca="false">C316&amp;"_"&amp;B316&amp;"_"&amp;IF(I316="Reel","R",IF(I316="Carousel","C","I"))&amp;"_"&amp;J316&amp;"_"&amp;IF(K316="AI tự động","AI","HU")&amp;"_"&amp;RIGHT(A316,3)</f>
        <v>P6_EXP2_C_A_AI_010</v>
      </c>
      <c r="M316" s="45"/>
      <c r="N316" s="45"/>
      <c r="O316" s="46"/>
      <c r="P316" s="46"/>
      <c r="Q316" s="46"/>
      <c r="R316" s="47"/>
      <c r="S316" s="45"/>
      <c r="T316" s="45"/>
      <c r="U316" s="48" t="str">
        <f aca="false">IF(O316&gt;0,P316/O316,"")</f>
        <v/>
      </c>
      <c r="V316" s="49" t="str">
        <f aca="false">IF(P316&gt;0,Q316/P316,"")</f>
        <v/>
      </c>
      <c r="W316" s="50" t="n">
        <f aca="false">IF(R316&lt;&gt;"",R316,Q316*'Cài đặt'!$B$12)</f>
        <v>0</v>
      </c>
      <c r="X316" s="50" t="str">
        <f aca="false">IF(O316&gt;0,W316/O316*1000,"")</f>
        <v/>
      </c>
      <c r="Y316" s="51" t="n">
        <f aca="false">IF(T316&lt;&gt;"",T316,INDEX('Cài đặt'!$B$20:$C$22,MATCH(I316,'Cài đặt'!$A$20:$A$22,0),IF(K316="AI tự động",1,2)))</f>
        <v>4</v>
      </c>
    </row>
    <row r="317" customFormat="false" ht="15" hidden="false" customHeight="false" outlineLevel="0" collapsed="false">
      <c r="A317" s="41" t="s">
        <v>765</v>
      </c>
      <c r="B317" s="41" t="s">
        <v>703</v>
      </c>
      <c r="C317" s="41" t="s">
        <v>154</v>
      </c>
      <c r="D317" s="42" t="str">
        <f aca="false">INDEX('Page và Ngách'!$B$5:$B$10,MATCH(C317,'Page và Ngách'!$A$5:$A$10,0))</f>
        <v>Werewolf / Rejected mate</v>
      </c>
      <c r="E317" s="41" t="n">
        <v>6</v>
      </c>
      <c r="F317" s="43" t="n">
        <f aca="false">'Cài đặt'!$B$38+E317-1</f>
        <v>46361</v>
      </c>
      <c r="G317" s="41" t="s">
        <v>444</v>
      </c>
      <c r="H317" s="44" t="str">
        <f aca="false">IF(G317="S1",'Cài đặt'!$B$7,'Cài đặt'!$B$8)</f>
        <v>12:00</v>
      </c>
      <c r="I317" s="44" t="str">
        <f aca="false">'Cài đặt'!$B$32</f>
        <v>Carousel</v>
      </c>
      <c r="J317" s="41" t="s">
        <v>706</v>
      </c>
      <c r="K317" s="41" t="s">
        <v>445</v>
      </c>
      <c r="L317" s="42" t="str">
        <f aca="false">C317&amp;"_"&amp;B317&amp;"_"&amp;IF(I317="Reel","R",IF(I317="Carousel","C","I"))&amp;"_"&amp;J317&amp;"_"&amp;IF(K317="AI tự động","AI","HU")&amp;"_"&amp;RIGHT(A317,3)</f>
        <v>P1_EXP2_C_C_AI_011</v>
      </c>
      <c r="M317" s="45"/>
      <c r="N317" s="45"/>
      <c r="O317" s="46"/>
      <c r="P317" s="46"/>
      <c r="Q317" s="46"/>
      <c r="R317" s="47"/>
      <c r="S317" s="45"/>
      <c r="T317" s="45"/>
      <c r="U317" s="48" t="str">
        <f aca="false">IF(O317&gt;0,P317/O317,"")</f>
        <v/>
      </c>
      <c r="V317" s="49" t="str">
        <f aca="false">IF(P317&gt;0,Q317/P317,"")</f>
        <v/>
      </c>
      <c r="W317" s="50" t="n">
        <f aca="false">IF(R317&lt;&gt;"",R317,Q317*'Cài đặt'!$B$12)</f>
        <v>0</v>
      </c>
      <c r="X317" s="50" t="str">
        <f aca="false">IF(O317&gt;0,W317/O317*1000,"")</f>
        <v/>
      </c>
      <c r="Y317" s="51" t="n">
        <f aca="false">IF(T317&lt;&gt;"",T317,INDEX('Cài đặt'!$B$20:$C$22,MATCH(I317,'Cài đặt'!$A$20:$A$22,0),IF(K317="AI tự động",1,2)))</f>
        <v>4</v>
      </c>
    </row>
    <row r="318" customFormat="false" ht="15" hidden="false" customHeight="false" outlineLevel="0" collapsed="false">
      <c r="A318" s="41" t="s">
        <v>766</v>
      </c>
      <c r="B318" s="41" t="s">
        <v>703</v>
      </c>
      <c r="C318" s="41" t="s">
        <v>154</v>
      </c>
      <c r="D318" s="42" t="str">
        <f aca="false">INDEX('Page và Ngách'!$B$5:$B$10,MATCH(C318,'Page và Ngách'!$A$5:$A$10,0))</f>
        <v>Werewolf / Rejected mate</v>
      </c>
      <c r="E318" s="41" t="n">
        <v>6</v>
      </c>
      <c r="F318" s="43" t="n">
        <f aca="false">'Cài đặt'!$B$38+E318-1</f>
        <v>46361</v>
      </c>
      <c r="G318" s="41" t="s">
        <v>451</v>
      </c>
      <c r="H318" s="44" t="str">
        <f aca="false">IF(G318="S1",'Cài đặt'!$B$7,'Cài đặt'!$B$8)</f>
        <v>20:00</v>
      </c>
      <c r="I318" s="44" t="str">
        <f aca="false">'Cài đặt'!$B$32</f>
        <v>Carousel</v>
      </c>
      <c r="J318" s="41" t="s">
        <v>132</v>
      </c>
      <c r="K318" s="41" t="s">
        <v>445</v>
      </c>
      <c r="L318" s="42" t="str">
        <f aca="false">C318&amp;"_"&amp;B318&amp;"_"&amp;IF(I318="Reel","R",IF(I318="Carousel","C","I"))&amp;"_"&amp;J318&amp;"_"&amp;IF(K318="AI tự động","AI","HU")&amp;"_"&amp;RIGHT(A318,3)</f>
        <v>P1_EXP2_C_A_AI_012</v>
      </c>
      <c r="M318" s="45"/>
      <c r="N318" s="45"/>
      <c r="O318" s="46"/>
      <c r="P318" s="46"/>
      <c r="Q318" s="46"/>
      <c r="R318" s="47"/>
      <c r="S318" s="45"/>
      <c r="T318" s="45"/>
      <c r="U318" s="48" t="str">
        <f aca="false">IF(O318&gt;0,P318/O318,"")</f>
        <v/>
      </c>
      <c r="V318" s="49" t="str">
        <f aca="false">IF(P318&gt;0,Q318/P318,"")</f>
        <v/>
      </c>
      <c r="W318" s="50" t="n">
        <f aca="false">IF(R318&lt;&gt;"",R318,Q318*'Cài đặt'!$B$12)</f>
        <v>0</v>
      </c>
      <c r="X318" s="50" t="str">
        <f aca="false">IF(O318&gt;0,W318/O318*1000,"")</f>
        <v/>
      </c>
      <c r="Y318" s="51" t="n">
        <f aca="false">IF(T318&lt;&gt;"",T318,INDEX('Cài đặt'!$B$20:$C$22,MATCH(I318,'Cài đặt'!$A$20:$A$22,0),IF(K318="AI tự động",1,2)))</f>
        <v>4</v>
      </c>
    </row>
    <row r="319" customFormat="false" ht="15" hidden="false" customHeight="false" outlineLevel="0" collapsed="false">
      <c r="A319" s="41" t="s">
        <v>767</v>
      </c>
      <c r="B319" s="41" t="s">
        <v>703</v>
      </c>
      <c r="C319" s="41" t="s">
        <v>163</v>
      </c>
      <c r="D319" s="42" t="str">
        <f aca="false">INDEX('Page và Ngách'!$B$5:$B$10,MATCH(C319,'Page và Ngách'!$A$5:$A$10,0))</f>
        <v>Secret billionaire / CEO</v>
      </c>
      <c r="E319" s="41" t="n">
        <v>6</v>
      </c>
      <c r="F319" s="43" t="n">
        <f aca="false">'Cài đặt'!$B$38+E319-1</f>
        <v>46361</v>
      </c>
      <c r="G319" s="41" t="s">
        <v>444</v>
      </c>
      <c r="H319" s="44" t="str">
        <f aca="false">IF(G319="S1",'Cài đặt'!$B$7,'Cài đặt'!$B$8)</f>
        <v>12:00</v>
      </c>
      <c r="I319" s="44" t="str">
        <f aca="false">'Cài đặt'!$B$32</f>
        <v>Carousel</v>
      </c>
      <c r="J319" s="41" t="s">
        <v>132</v>
      </c>
      <c r="K319" s="41" t="s">
        <v>445</v>
      </c>
      <c r="L319" s="42" t="str">
        <f aca="false">C319&amp;"_"&amp;B319&amp;"_"&amp;IF(I319="Reel","R",IF(I319="Carousel","C","I"))&amp;"_"&amp;J319&amp;"_"&amp;IF(K319="AI tự động","AI","HU")&amp;"_"&amp;RIGHT(A319,3)</f>
        <v>P2_EXP2_C_A_AI_011</v>
      </c>
      <c r="M319" s="45"/>
      <c r="N319" s="45"/>
      <c r="O319" s="46"/>
      <c r="P319" s="46"/>
      <c r="Q319" s="46"/>
      <c r="R319" s="47"/>
      <c r="S319" s="45"/>
      <c r="T319" s="45"/>
      <c r="U319" s="48" t="str">
        <f aca="false">IF(O319&gt;0,P319/O319,"")</f>
        <v/>
      </c>
      <c r="V319" s="49" t="str">
        <f aca="false">IF(P319&gt;0,Q319/P319,"")</f>
        <v/>
      </c>
      <c r="W319" s="50" t="n">
        <f aca="false">IF(R319&lt;&gt;"",R319,Q319*'Cài đặt'!$B$12)</f>
        <v>0</v>
      </c>
      <c r="X319" s="50" t="str">
        <f aca="false">IF(O319&gt;0,W319/O319*1000,"")</f>
        <v/>
      </c>
      <c r="Y319" s="51" t="n">
        <f aca="false">IF(T319&lt;&gt;"",T319,INDEX('Cài đặt'!$B$20:$C$22,MATCH(I319,'Cài đặt'!$A$20:$A$22,0),IF(K319="AI tự động",1,2)))</f>
        <v>4</v>
      </c>
    </row>
    <row r="320" customFormat="false" ht="15" hidden="false" customHeight="false" outlineLevel="0" collapsed="false">
      <c r="A320" s="41" t="s">
        <v>768</v>
      </c>
      <c r="B320" s="41" t="s">
        <v>703</v>
      </c>
      <c r="C320" s="41" t="s">
        <v>163</v>
      </c>
      <c r="D320" s="42" t="str">
        <f aca="false">INDEX('Page và Ngách'!$B$5:$B$10,MATCH(C320,'Page và Ngách'!$A$5:$A$10,0))</f>
        <v>Secret billionaire / CEO</v>
      </c>
      <c r="E320" s="41" t="n">
        <v>6</v>
      </c>
      <c r="F320" s="43" t="n">
        <f aca="false">'Cài đặt'!$B$38+E320-1</f>
        <v>46361</v>
      </c>
      <c r="G320" s="41" t="s">
        <v>451</v>
      </c>
      <c r="H320" s="44" t="str">
        <f aca="false">IF(G320="S1",'Cài đặt'!$B$7,'Cài đặt'!$B$8)</f>
        <v>20:00</v>
      </c>
      <c r="I320" s="44" t="str">
        <f aca="false">'Cài đặt'!$B$32</f>
        <v>Carousel</v>
      </c>
      <c r="J320" s="41" t="s">
        <v>704</v>
      </c>
      <c r="K320" s="41" t="s">
        <v>445</v>
      </c>
      <c r="L320" s="42" t="str">
        <f aca="false">C320&amp;"_"&amp;B320&amp;"_"&amp;IF(I320="Reel","R",IF(I320="Carousel","C","I"))&amp;"_"&amp;J320&amp;"_"&amp;IF(K320="AI tự động","AI","HU")&amp;"_"&amp;RIGHT(A320,3)</f>
        <v>P2_EXP2_C_B_AI_012</v>
      </c>
      <c r="M320" s="45"/>
      <c r="N320" s="45"/>
      <c r="O320" s="46"/>
      <c r="P320" s="46"/>
      <c r="Q320" s="46"/>
      <c r="R320" s="47"/>
      <c r="S320" s="45"/>
      <c r="T320" s="45"/>
      <c r="U320" s="48" t="str">
        <f aca="false">IF(O320&gt;0,P320/O320,"")</f>
        <v/>
      </c>
      <c r="V320" s="49" t="str">
        <f aca="false">IF(P320&gt;0,Q320/P320,"")</f>
        <v/>
      </c>
      <c r="W320" s="50" t="n">
        <f aca="false">IF(R320&lt;&gt;"",R320,Q320*'Cài đặt'!$B$12)</f>
        <v>0</v>
      </c>
      <c r="X320" s="50" t="str">
        <f aca="false">IF(O320&gt;0,W320/O320*1000,"")</f>
        <v/>
      </c>
      <c r="Y320" s="51" t="n">
        <f aca="false">IF(T320&lt;&gt;"",T320,INDEX('Cài đặt'!$B$20:$C$22,MATCH(I320,'Cài đặt'!$A$20:$A$22,0),IF(K320="AI tự động",1,2)))</f>
        <v>4</v>
      </c>
    </row>
    <row r="321" customFormat="false" ht="15" hidden="false" customHeight="false" outlineLevel="0" collapsed="false">
      <c r="A321" s="41" t="s">
        <v>769</v>
      </c>
      <c r="B321" s="41" t="s">
        <v>703</v>
      </c>
      <c r="C321" s="41" t="s">
        <v>171</v>
      </c>
      <c r="D321" s="42" t="str">
        <f aca="false">INDEX('Page và Ngách'!$B$5:$B$10,MATCH(C321,'Page và Ngách'!$A$5:$A$10,0))</f>
        <v>Contract marriage / Fake relationship</v>
      </c>
      <c r="E321" s="41" t="n">
        <v>6</v>
      </c>
      <c r="F321" s="43" t="n">
        <f aca="false">'Cài đặt'!$B$38+E321-1</f>
        <v>46361</v>
      </c>
      <c r="G321" s="41" t="s">
        <v>444</v>
      </c>
      <c r="H321" s="44" t="str">
        <f aca="false">IF(G321="S1",'Cài đặt'!$B$7,'Cài đặt'!$B$8)</f>
        <v>12:00</v>
      </c>
      <c r="I321" s="44" t="str">
        <f aca="false">'Cài đặt'!$B$32</f>
        <v>Carousel</v>
      </c>
      <c r="J321" s="41" t="s">
        <v>704</v>
      </c>
      <c r="K321" s="41" t="s">
        <v>445</v>
      </c>
      <c r="L321" s="42" t="str">
        <f aca="false">C321&amp;"_"&amp;B321&amp;"_"&amp;IF(I321="Reel","R",IF(I321="Carousel","C","I"))&amp;"_"&amp;J321&amp;"_"&amp;IF(K321="AI tự động","AI","HU")&amp;"_"&amp;RIGHT(A321,3)</f>
        <v>P3_EXP2_C_B_AI_011</v>
      </c>
      <c r="M321" s="45"/>
      <c r="N321" s="45"/>
      <c r="O321" s="46"/>
      <c r="P321" s="46"/>
      <c r="Q321" s="46"/>
      <c r="R321" s="47"/>
      <c r="S321" s="45"/>
      <c r="T321" s="45"/>
      <c r="U321" s="48" t="str">
        <f aca="false">IF(O321&gt;0,P321/O321,"")</f>
        <v/>
      </c>
      <c r="V321" s="49" t="str">
        <f aca="false">IF(P321&gt;0,Q321/P321,"")</f>
        <v/>
      </c>
      <c r="W321" s="50" t="n">
        <f aca="false">IF(R321&lt;&gt;"",R321,Q321*'Cài đặt'!$B$12)</f>
        <v>0</v>
      </c>
      <c r="X321" s="50" t="str">
        <f aca="false">IF(O321&gt;0,W321/O321*1000,"")</f>
        <v/>
      </c>
      <c r="Y321" s="51" t="n">
        <f aca="false">IF(T321&lt;&gt;"",T321,INDEX('Cài đặt'!$B$20:$C$22,MATCH(I321,'Cài đặt'!$A$20:$A$22,0),IF(K321="AI tự động",1,2)))</f>
        <v>4</v>
      </c>
    </row>
    <row r="322" customFormat="false" ht="15" hidden="false" customHeight="false" outlineLevel="0" collapsed="false">
      <c r="A322" s="41" t="s">
        <v>770</v>
      </c>
      <c r="B322" s="41" t="s">
        <v>703</v>
      </c>
      <c r="C322" s="41" t="s">
        <v>171</v>
      </c>
      <c r="D322" s="42" t="str">
        <f aca="false">INDEX('Page và Ngách'!$B$5:$B$10,MATCH(C322,'Page và Ngách'!$A$5:$A$10,0))</f>
        <v>Contract marriage / Fake relationship</v>
      </c>
      <c r="E322" s="41" t="n">
        <v>6</v>
      </c>
      <c r="F322" s="43" t="n">
        <f aca="false">'Cài đặt'!$B$38+E322-1</f>
        <v>46361</v>
      </c>
      <c r="G322" s="41" t="s">
        <v>451</v>
      </c>
      <c r="H322" s="44" t="str">
        <f aca="false">IF(G322="S1",'Cài đặt'!$B$7,'Cài đặt'!$B$8)</f>
        <v>20:00</v>
      </c>
      <c r="I322" s="44" t="str">
        <f aca="false">'Cài đặt'!$B$32</f>
        <v>Carousel</v>
      </c>
      <c r="J322" s="41" t="s">
        <v>706</v>
      </c>
      <c r="K322" s="41" t="s">
        <v>445</v>
      </c>
      <c r="L322" s="42" t="str">
        <f aca="false">C322&amp;"_"&amp;B322&amp;"_"&amp;IF(I322="Reel","R",IF(I322="Carousel","C","I"))&amp;"_"&amp;J322&amp;"_"&amp;IF(K322="AI tự động","AI","HU")&amp;"_"&amp;RIGHT(A322,3)</f>
        <v>P3_EXP2_C_C_AI_012</v>
      </c>
      <c r="M322" s="45"/>
      <c r="N322" s="45"/>
      <c r="O322" s="46"/>
      <c r="P322" s="46"/>
      <c r="Q322" s="46"/>
      <c r="R322" s="47"/>
      <c r="S322" s="45"/>
      <c r="T322" s="45"/>
      <c r="U322" s="48" t="str">
        <f aca="false">IF(O322&gt;0,P322/O322,"")</f>
        <v/>
      </c>
      <c r="V322" s="49" t="str">
        <f aca="false">IF(P322&gt;0,Q322/P322,"")</f>
        <v/>
      </c>
      <c r="W322" s="50" t="n">
        <f aca="false">IF(R322&lt;&gt;"",R322,Q322*'Cài đặt'!$B$12)</f>
        <v>0</v>
      </c>
      <c r="X322" s="50" t="str">
        <f aca="false">IF(O322&gt;0,W322/O322*1000,"")</f>
        <v/>
      </c>
      <c r="Y322" s="51" t="n">
        <f aca="false">IF(T322&lt;&gt;"",T322,INDEX('Cài đặt'!$B$20:$C$22,MATCH(I322,'Cài đặt'!$A$20:$A$22,0),IF(K322="AI tự động",1,2)))</f>
        <v>4</v>
      </c>
    </row>
    <row r="323" customFormat="false" ht="15" hidden="false" customHeight="false" outlineLevel="0" collapsed="false">
      <c r="A323" s="41" t="s">
        <v>771</v>
      </c>
      <c r="B323" s="41" t="s">
        <v>703</v>
      </c>
      <c r="C323" s="41" t="s">
        <v>178</v>
      </c>
      <c r="D323" s="42" t="str">
        <f aca="false">INDEX('Page và Ngách'!$B$5:$B$10,MATCH(C323,'Page và Ngách'!$A$5:$A$10,0))</f>
        <v>Revenge / Betrayal ("you'll regret it")</v>
      </c>
      <c r="E323" s="41" t="n">
        <v>6</v>
      </c>
      <c r="F323" s="43" t="n">
        <f aca="false">'Cài đặt'!$B$38+E323-1</f>
        <v>46361</v>
      </c>
      <c r="G323" s="41" t="s">
        <v>444</v>
      </c>
      <c r="H323" s="44" t="str">
        <f aca="false">IF(G323="S1",'Cài đặt'!$B$7,'Cài đặt'!$B$8)</f>
        <v>12:00</v>
      </c>
      <c r="I323" s="44" t="str">
        <f aca="false">'Cài đặt'!$B$32</f>
        <v>Carousel</v>
      </c>
      <c r="J323" s="41" t="s">
        <v>706</v>
      </c>
      <c r="K323" s="41" t="s">
        <v>445</v>
      </c>
      <c r="L323" s="42" t="str">
        <f aca="false">C323&amp;"_"&amp;B323&amp;"_"&amp;IF(I323="Reel","R",IF(I323="Carousel","C","I"))&amp;"_"&amp;J323&amp;"_"&amp;IF(K323="AI tự động","AI","HU")&amp;"_"&amp;RIGHT(A323,3)</f>
        <v>P4_EXP2_C_C_AI_011</v>
      </c>
      <c r="M323" s="45"/>
      <c r="N323" s="45"/>
      <c r="O323" s="46"/>
      <c r="P323" s="46"/>
      <c r="Q323" s="46"/>
      <c r="R323" s="47"/>
      <c r="S323" s="45"/>
      <c r="T323" s="45"/>
      <c r="U323" s="48" t="str">
        <f aca="false">IF(O323&gt;0,P323/O323,"")</f>
        <v/>
      </c>
      <c r="V323" s="49" t="str">
        <f aca="false">IF(P323&gt;0,Q323/P323,"")</f>
        <v/>
      </c>
      <c r="W323" s="50" t="n">
        <f aca="false">IF(R323&lt;&gt;"",R323,Q323*'Cài đặt'!$B$12)</f>
        <v>0</v>
      </c>
      <c r="X323" s="50" t="str">
        <f aca="false">IF(O323&gt;0,W323/O323*1000,"")</f>
        <v/>
      </c>
      <c r="Y323" s="51" t="n">
        <f aca="false">IF(T323&lt;&gt;"",T323,INDEX('Cài đặt'!$B$20:$C$22,MATCH(I323,'Cài đặt'!$A$20:$A$22,0),IF(K323="AI tự động",1,2)))</f>
        <v>4</v>
      </c>
    </row>
    <row r="324" customFormat="false" ht="15" hidden="false" customHeight="false" outlineLevel="0" collapsed="false">
      <c r="A324" s="41" t="s">
        <v>772</v>
      </c>
      <c r="B324" s="41" t="s">
        <v>703</v>
      </c>
      <c r="C324" s="41" t="s">
        <v>178</v>
      </c>
      <c r="D324" s="42" t="str">
        <f aca="false">INDEX('Page và Ngách'!$B$5:$B$10,MATCH(C324,'Page và Ngách'!$A$5:$A$10,0))</f>
        <v>Revenge / Betrayal ("you'll regret it")</v>
      </c>
      <c r="E324" s="41" t="n">
        <v>6</v>
      </c>
      <c r="F324" s="43" t="n">
        <f aca="false">'Cài đặt'!$B$38+E324-1</f>
        <v>46361</v>
      </c>
      <c r="G324" s="41" t="s">
        <v>451</v>
      </c>
      <c r="H324" s="44" t="str">
        <f aca="false">IF(G324="S1",'Cài đặt'!$B$7,'Cài đặt'!$B$8)</f>
        <v>20:00</v>
      </c>
      <c r="I324" s="44" t="str">
        <f aca="false">'Cài đặt'!$B$32</f>
        <v>Carousel</v>
      </c>
      <c r="J324" s="41" t="s">
        <v>132</v>
      </c>
      <c r="K324" s="41" t="s">
        <v>445</v>
      </c>
      <c r="L324" s="42" t="str">
        <f aca="false">C324&amp;"_"&amp;B324&amp;"_"&amp;IF(I324="Reel","R",IF(I324="Carousel","C","I"))&amp;"_"&amp;J324&amp;"_"&amp;IF(K324="AI tự động","AI","HU")&amp;"_"&amp;RIGHT(A324,3)</f>
        <v>P4_EXP2_C_A_AI_012</v>
      </c>
      <c r="M324" s="45"/>
      <c r="N324" s="45"/>
      <c r="O324" s="46"/>
      <c r="P324" s="46"/>
      <c r="Q324" s="46"/>
      <c r="R324" s="47"/>
      <c r="S324" s="45"/>
      <c r="T324" s="45"/>
      <c r="U324" s="48" t="str">
        <f aca="false">IF(O324&gt;0,P324/O324,"")</f>
        <v/>
      </c>
      <c r="V324" s="49" t="str">
        <f aca="false">IF(P324&gt;0,Q324/P324,"")</f>
        <v/>
      </c>
      <c r="W324" s="50" t="n">
        <f aca="false">IF(R324&lt;&gt;"",R324,Q324*'Cài đặt'!$B$12)</f>
        <v>0</v>
      </c>
      <c r="X324" s="50" t="str">
        <f aca="false">IF(O324&gt;0,W324/O324*1000,"")</f>
        <v/>
      </c>
      <c r="Y324" s="51" t="n">
        <f aca="false">IF(T324&lt;&gt;"",T324,INDEX('Cài đặt'!$B$20:$C$22,MATCH(I324,'Cài đặt'!$A$20:$A$22,0),IF(K324="AI tự động",1,2)))</f>
        <v>4</v>
      </c>
    </row>
    <row r="325" customFormat="false" ht="15" hidden="false" customHeight="false" outlineLevel="0" collapsed="false">
      <c r="A325" s="41" t="s">
        <v>773</v>
      </c>
      <c r="B325" s="41" t="s">
        <v>703</v>
      </c>
      <c r="C325" s="41" t="s">
        <v>185</v>
      </c>
      <c r="D325" s="42" t="str">
        <f aca="false">INDEX('Page và Ngách'!$B$5:$B$10,MATCH(C325,'Page và Ngách'!$A$5:$A$10,0))</f>
        <v>Mafia / Dark romance (teaser PG-13)</v>
      </c>
      <c r="E325" s="41" t="n">
        <v>6</v>
      </c>
      <c r="F325" s="43" t="n">
        <f aca="false">'Cài đặt'!$B$38+E325-1</f>
        <v>46361</v>
      </c>
      <c r="G325" s="41" t="s">
        <v>444</v>
      </c>
      <c r="H325" s="44" t="str">
        <f aca="false">IF(G325="S1",'Cài đặt'!$B$7,'Cài đặt'!$B$8)</f>
        <v>12:00</v>
      </c>
      <c r="I325" s="44" t="str">
        <f aca="false">'Cài đặt'!$B$32</f>
        <v>Carousel</v>
      </c>
      <c r="J325" s="41" t="s">
        <v>132</v>
      </c>
      <c r="K325" s="41" t="s">
        <v>445</v>
      </c>
      <c r="L325" s="42" t="str">
        <f aca="false">C325&amp;"_"&amp;B325&amp;"_"&amp;IF(I325="Reel","R",IF(I325="Carousel","C","I"))&amp;"_"&amp;J325&amp;"_"&amp;IF(K325="AI tự động","AI","HU")&amp;"_"&amp;RIGHT(A325,3)</f>
        <v>P5_EXP2_C_A_AI_011</v>
      </c>
      <c r="M325" s="45"/>
      <c r="N325" s="45"/>
      <c r="O325" s="46"/>
      <c r="P325" s="46"/>
      <c r="Q325" s="46"/>
      <c r="R325" s="47"/>
      <c r="S325" s="45"/>
      <c r="T325" s="45"/>
      <c r="U325" s="48" t="str">
        <f aca="false">IF(O325&gt;0,P325/O325,"")</f>
        <v/>
      </c>
      <c r="V325" s="49" t="str">
        <f aca="false">IF(P325&gt;0,Q325/P325,"")</f>
        <v/>
      </c>
      <c r="W325" s="50" t="n">
        <f aca="false">IF(R325&lt;&gt;"",R325,Q325*'Cài đặt'!$B$12)</f>
        <v>0</v>
      </c>
      <c r="X325" s="50" t="str">
        <f aca="false">IF(O325&gt;0,W325/O325*1000,"")</f>
        <v/>
      </c>
      <c r="Y325" s="51" t="n">
        <f aca="false">IF(T325&lt;&gt;"",T325,INDEX('Cài đặt'!$B$20:$C$22,MATCH(I325,'Cài đặt'!$A$20:$A$22,0),IF(K325="AI tự động",1,2)))</f>
        <v>4</v>
      </c>
    </row>
    <row r="326" customFormat="false" ht="15" hidden="false" customHeight="false" outlineLevel="0" collapsed="false">
      <c r="A326" s="41" t="s">
        <v>774</v>
      </c>
      <c r="B326" s="41" t="s">
        <v>703</v>
      </c>
      <c r="C326" s="41" t="s">
        <v>185</v>
      </c>
      <c r="D326" s="42" t="str">
        <f aca="false">INDEX('Page và Ngách'!$B$5:$B$10,MATCH(C326,'Page và Ngách'!$A$5:$A$10,0))</f>
        <v>Mafia / Dark romance (teaser PG-13)</v>
      </c>
      <c r="E326" s="41" t="n">
        <v>6</v>
      </c>
      <c r="F326" s="43" t="n">
        <f aca="false">'Cài đặt'!$B$38+E326-1</f>
        <v>46361</v>
      </c>
      <c r="G326" s="41" t="s">
        <v>451</v>
      </c>
      <c r="H326" s="44" t="str">
        <f aca="false">IF(G326="S1",'Cài đặt'!$B$7,'Cài đặt'!$B$8)</f>
        <v>20:00</v>
      </c>
      <c r="I326" s="44" t="str">
        <f aca="false">'Cài đặt'!$B$32</f>
        <v>Carousel</v>
      </c>
      <c r="J326" s="41" t="s">
        <v>704</v>
      </c>
      <c r="K326" s="41" t="s">
        <v>445</v>
      </c>
      <c r="L326" s="42" t="str">
        <f aca="false">C326&amp;"_"&amp;B326&amp;"_"&amp;IF(I326="Reel","R",IF(I326="Carousel","C","I"))&amp;"_"&amp;J326&amp;"_"&amp;IF(K326="AI tự động","AI","HU")&amp;"_"&amp;RIGHT(A326,3)</f>
        <v>P5_EXP2_C_B_AI_012</v>
      </c>
      <c r="M326" s="45"/>
      <c r="N326" s="45"/>
      <c r="O326" s="46"/>
      <c r="P326" s="46"/>
      <c r="Q326" s="46"/>
      <c r="R326" s="47"/>
      <c r="S326" s="45"/>
      <c r="T326" s="45"/>
      <c r="U326" s="48" t="str">
        <f aca="false">IF(O326&gt;0,P326/O326,"")</f>
        <v/>
      </c>
      <c r="V326" s="49" t="str">
        <f aca="false">IF(P326&gt;0,Q326/P326,"")</f>
        <v/>
      </c>
      <c r="W326" s="50" t="n">
        <f aca="false">IF(R326&lt;&gt;"",R326,Q326*'Cài đặt'!$B$12)</f>
        <v>0</v>
      </c>
      <c r="X326" s="50" t="str">
        <f aca="false">IF(O326&gt;0,W326/O326*1000,"")</f>
        <v/>
      </c>
      <c r="Y326" s="51" t="n">
        <f aca="false">IF(T326&lt;&gt;"",T326,INDEX('Cài đặt'!$B$20:$C$22,MATCH(I326,'Cài đặt'!$A$20:$A$22,0),IF(K326="AI tự động",1,2)))</f>
        <v>4</v>
      </c>
    </row>
    <row r="327" customFormat="false" ht="15" hidden="false" customHeight="false" outlineLevel="0" collapsed="false">
      <c r="A327" s="41" t="s">
        <v>775</v>
      </c>
      <c r="B327" s="41" t="s">
        <v>703</v>
      </c>
      <c r="C327" s="41" t="s">
        <v>193</v>
      </c>
      <c r="D327" s="42" t="str">
        <f aca="false">INDEX('Page và Ngách'!$B$5:$B$10,MATCH(C327,'Page và Ngách'!$A$5:$A$10,0))</f>
        <v>Second chance / Secret baby</v>
      </c>
      <c r="E327" s="41" t="n">
        <v>6</v>
      </c>
      <c r="F327" s="43" t="n">
        <f aca="false">'Cài đặt'!$B$38+E327-1</f>
        <v>46361</v>
      </c>
      <c r="G327" s="41" t="s">
        <v>444</v>
      </c>
      <c r="H327" s="44" t="str">
        <f aca="false">IF(G327="S1",'Cài đặt'!$B$7,'Cài đặt'!$B$8)</f>
        <v>12:00</v>
      </c>
      <c r="I327" s="44" t="str">
        <f aca="false">'Cài đặt'!$B$32</f>
        <v>Carousel</v>
      </c>
      <c r="J327" s="41" t="s">
        <v>704</v>
      </c>
      <c r="K327" s="41" t="s">
        <v>445</v>
      </c>
      <c r="L327" s="42" t="str">
        <f aca="false">C327&amp;"_"&amp;B327&amp;"_"&amp;IF(I327="Reel","R",IF(I327="Carousel","C","I"))&amp;"_"&amp;J327&amp;"_"&amp;IF(K327="AI tự động","AI","HU")&amp;"_"&amp;RIGHT(A327,3)</f>
        <v>P6_EXP2_C_B_AI_011</v>
      </c>
      <c r="M327" s="45"/>
      <c r="N327" s="45"/>
      <c r="O327" s="46"/>
      <c r="P327" s="46"/>
      <c r="Q327" s="46"/>
      <c r="R327" s="47"/>
      <c r="S327" s="45"/>
      <c r="T327" s="45"/>
      <c r="U327" s="48" t="str">
        <f aca="false">IF(O327&gt;0,P327/O327,"")</f>
        <v/>
      </c>
      <c r="V327" s="49" t="str">
        <f aca="false">IF(P327&gt;0,Q327/P327,"")</f>
        <v/>
      </c>
      <c r="W327" s="50" t="n">
        <f aca="false">IF(R327&lt;&gt;"",R327,Q327*'Cài đặt'!$B$12)</f>
        <v>0</v>
      </c>
      <c r="X327" s="50" t="str">
        <f aca="false">IF(O327&gt;0,W327/O327*1000,"")</f>
        <v/>
      </c>
      <c r="Y327" s="51" t="n">
        <f aca="false">IF(T327&lt;&gt;"",T327,INDEX('Cài đặt'!$B$20:$C$22,MATCH(I327,'Cài đặt'!$A$20:$A$22,0),IF(K327="AI tự động",1,2)))</f>
        <v>4</v>
      </c>
    </row>
    <row r="328" customFormat="false" ht="15" hidden="false" customHeight="false" outlineLevel="0" collapsed="false">
      <c r="A328" s="41" t="s">
        <v>776</v>
      </c>
      <c r="B328" s="41" t="s">
        <v>703</v>
      </c>
      <c r="C328" s="41" t="s">
        <v>193</v>
      </c>
      <c r="D328" s="42" t="str">
        <f aca="false">INDEX('Page và Ngách'!$B$5:$B$10,MATCH(C328,'Page và Ngách'!$A$5:$A$10,0))</f>
        <v>Second chance / Secret baby</v>
      </c>
      <c r="E328" s="41" t="n">
        <v>6</v>
      </c>
      <c r="F328" s="43" t="n">
        <f aca="false">'Cài đặt'!$B$38+E328-1</f>
        <v>46361</v>
      </c>
      <c r="G328" s="41" t="s">
        <v>451</v>
      </c>
      <c r="H328" s="44" t="str">
        <f aca="false">IF(G328="S1",'Cài đặt'!$B$7,'Cài đặt'!$B$8)</f>
        <v>20:00</v>
      </c>
      <c r="I328" s="44" t="str">
        <f aca="false">'Cài đặt'!$B$32</f>
        <v>Carousel</v>
      </c>
      <c r="J328" s="41" t="s">
        <v>706</v>
      </c>
      <c r="K328" s="41" t="s">
        <v>445</v>
      </c>
      <c r="L328" s="42" t="str">
        <f aca="false">C328&amp;"_"&amp;B328&amp;"_"&amp;IF(I328="Reel","R",IF(I328="Carousel","C","I"))&amp;"_"&amp;J328&amp;"_"&amp;IF(K328="AI tự động","AI","HU")&amp;"_"&amp;RIGHT(A328,3)</f>
        <v>P6_EXP2_C_C_AI_012</v>
      </c>
      <c r="M328" s="45"/>
      <c r="N328" s="45"/>
      <c r="O328" s="46"/>
      <c r="P328" s="46"/>
      <c r="Q328" s="46"/>
      <c r="R328" s="47"/>
      <c r="S328" s="45"/>
      <c r="T328" s="45"/>
      <c r="U328" s="48" t="str">
        <f aca="false">IF(O328&gt;0,P328/O328,"")</f>
        <v/>
      </c>
      <c r="V328" s="49" t="str">
        <f aca="false">IF(P328&gt;0,Q328/P328,"")</f>
        <v/>
      </c>
      <c r="W328" s="50" t="n">
        <f aca="false">IF(R328&lt;&gt;"",R328,Q328*'Cài đặt'!$B$12)</f>
        <v>0</v>
      </c>
      <c r="X328" s="50" t="str">
        <f aca="false">IF(O328&gt;0,W328/O328*1000,"")</f>
        <v/>
      </c>
      <c r="Y328" s="51" t="n">
        <f aca="false">IF(T328&lt;&gt;"",T328,INDEX('Cài đặt'!$B$20:$C$22,MATCH(I328,'Cài đặt'!$A$20:$A$22,0),IF(K328="AI tự động",1,2)))</f>
        <v>4</v>
      </c>
    </row>
    <row r="329" customFormat="false" ht="15" hidden="false" customHeight="false" outlineLevel="0" collapsed="false">
      <c r="A329" s="41" t="s">
        <v>777</v>
      </c>
      <c r="B329" s="41" t="s">
        <v>703</v>
      </c>
      <c r="C329" s="41" t="s">
        <v>154</v>
      </c>
      <c r="D329" s="42" t="str">
        <f aca="false">INDEX('Page và Ngách'!$B$5:$B$10,MATCH(C329,'Page và Ngách'!$A$5:$A$10,0))</f>
        <v>Werewolf / Rejected mate</v>
      </c>
      <c r="E329" s="41" t="n">
        <v>7</v>
      </c>
      <c r="F329" s="43" t="n">
        <f aca="false">'Cài đặt'!$B$38+E329-1</f>
        <v>46362</v>
      </c>
      <c r="G329" s="41" t="s">
        <v>444</v>
      </c>
      <c r="H329" s="44" t="str">
        <f aca="false">IF(G329="S1",'Cài đặt'!$B$7,'Cài đặt'!$B$8)</f>
        <v>12:00</v>
      </c>
      <c r="I329" s="44" t="str">
        <f aca="false">'Cài đặt'!$B$32</f>
        <v>Carousel</v>
      </c>
      <c r="J329" s="41" t="s">
        <v>704</v>
      </c>
      <c r="K329" s="41" t="s">
        <v>445</v>
      </c>
      <c r="L329" s="42" t="str">
        <f aca="false">C329&amp;"_"&amp;B329&amp;"_"&amp;IF(I329="Reel","R",IF(I329="Carousel","C","I"))&amp;"_"&amp;J329&amp;"_"&amp;IF(K329="AI tự động","AI","HU")&amp;"_"&amp;RIGHT(A329,3)</f>
        <v>P1_EXP2_C_B_AI_013</v>
      </c>
      <c r="M329" s="45"/>
      <c r="N329" s="45"/>
      <c r="O329" s="46"/>
      <c r="P329" s="46"/>
      <c r="Q329" s="46"/>
      <c r="R329" s="47"/>
      <c r="S329" s="45"/>
      <c r="T329" s="45"/>
      <c r="U329" s="48" t="str">
        <f aca="false">IF(O329&gt;0,P329/O329,"")</f>
        <v/>
      </c>
      <c r="V329" s="49" t="str">
        <f aca="false">IF(P329&gt;0,Q329/P329,"")</f>
        <v/>
      </c>
      <c r="W329" s="50" t="n">
        <f aca="false">IF(R329&lt;&gt;"",R329,Q329*'Cài đặt'!$B$12)</f>
        <v>0</v>
      </c>
      <c r="X329" s="50" t="str">
        <f aca="false">IF(O329&gt;0,W329/O329*1000,"")</f>
        <v/>
      </c>
      <c r="Y329" s="51" t="n">
        <f aca="false">IF(T329&lt;&gt;"",T329,INDEX('Cài đặt'!$B$20:$C$22,MATCH(I329,'Cài đặt'!$A$20:$A$22,0),IF(K329="AI tự động",1,2)))</f>
        <v>4</v>
      </c>
    </row>
    <row r="330" customFormat="false" ht="15" hidden="false" customHeight="false" outlineLevel="0" collapsed="false">
      <c r="A330" s="41" t="s">
        <v>778</v>
      </c>
      <c r="B330" s="41" t="s">
        <v>703</v>
      </c>
      <c r="C330" s="41" t="s">
        <v>154</v>
      </c>
      <c r="D330" s="42" t="str">
        <f aca="false">INDEX('Page và Ngách'!$B$5:$B$10,MATCH(C330,'Page và Ngách'!$A$5:$A$10,0))</f>
        <v>Werewolf / Rejected mate</v>
      </c>
      <c r="E330" s="41" t="n">
        <v>7</v>
      </c>
      <c r="F330" s="43" t="n">
        <f aca="false">'Cài đặt'!$B$38+E330-1</f>
        <v>46362</v>
      </c>
      <c r="G330" s="41" t="s">
        <v>451</v>
      </c>
      <c r="H330" s="44" t="str">
        <f aca="false">IF(G330="S1",'Cài đặt'!$B$7,'Cài đặt'!$B$8)</f>
        <v>20:00</v>
      </c>
      <c r="I330" s="44" t="str">
        <f aca="false">'Cài đặt'!$B$32</f>
        <v>Carousel</v>
      </c>
      <c r="J330" s="41" t="s">
        <v>706</v>
      </c>
      <c r="K330" s="41" t="s">
        <v>445</v>
      </c>
      <c r="L330" s="42" t="str">
        <f aca="false">C330&amp;"_"&amp;B330&amp;"_"&amp;IF(I330="Reel","R",IF(I330="Carousel","C","I"))&amp;"_"&amp;J330&amp;"_"&amp;IF(K330="AI tự động","AI","HU")&amp;"_"&amp;RIGHT(A330,3)</f>
        <v>P1_EXP2_C_C_AI_014</v>
      </c>
      <c r="M330" s="45"/>
      <c r="N330" s="45"/>
      <c r="O330" s="46"/>
      <c r="P330" s="46"/>
      <c r="Q330" s="46"/>
      <c r="R330" s="47"/>
      <c r="S330" s="45"/>
      <c r="T330" s="45"/>
      <c r="U330" s="48" t="str">
        <f aca="false">IF(O330&gt;0,P330/O330,"")</f>
        <v/>
      </c>
      <c r="V330" s="49" t="str">
        <f aca="false">IF(P330&gt;0,Q330/P330,"")</f>
        <v/>
      </c>
      <c r="W330" s="50" t="n">
        <f aca="false">IF(R330&lt;&gt;"",R330,Q330*'Cài đặt'!$B$12)</f>
        <v>0</v>
      </c>
      <c r="X330" s="50" t="str">
        <f aca="false">IF(O330&gt;0,W330/O330*1000,"")</f>
        <v/>
      </c>
      <c r="Y330" s="51" t="n">
        <f aca="false">IF(T330&lt;&gt;"",T330,INDEX('Cài đặt'!$B$20:$C$22,MATCH(I330,'Cài đặt'!$A$20:$A$22,0),IF(K330="AI tự động",1,2)))</f>
        <v>4</v>
      </c>
    </row>
    <row r="331" customFormat="false" ht="15" hidden="false" customHeight="false" outlineLevel="0" collapsed="false">
      <c r="A331" s="41" t="s">
        <v>779</v>
      </c>
      <c r="B331" s="41" t="s">
        <v>703</v>
      </c>
      <c r="C331" s="41" t="s">
        <v>163</v>
      </c>
      <c r="D331" s="42" t="str">
        <f aca="false">INDEX('Page và Ngách'!$B$5:$B$10,MATCH(C331,'Page và Ngách'!$A$5:$A$10,0))</f>
        <v>Secret billionaire / CEO</v>
      </c>
      <c r="E331" s="41" t="n">
        <v>7</v>
      </c>
      <c r="F331" s="43" t="n">
        <f aca="false">'Cài đặt'!$B$38+E331-1</f>
        <v>46362</v>
      </c>
      <c r="G331" s="41" t="s">
        <v>444</v>
      </c>
      <c r="H331" s="44" t="str">
        <f aca="false">IF(G331="S1",'Cài đặt'!$B$7,'Cài đặt'!$B$8)</f>
        <v>12:00</v>
      </c>
      <c r="I331" s="44" t="str">
        <f aca="false">'Cài đặt'!$B$32</f>
        <v>Carousel</v>
      </c>
      <c r="J331" s="41" t="s">
        <v>706</v>
      </c>
      <c r="K331" s="41" t="s">
        <v>445</v>
      </c>
      <c r="L331" s="42" t="str">
        <f aca="false">C331&amp;"_"&amp;B331&amp;"_"&amp;IF(I331="Reel","R",IF(I331="Carousel","C","I"))&amp;"_"&amp;J331&amp;"_"&amp;IF(K331="AI tự động","AI","HU")&amp;"_"&amp;RIGHT(A331,3)</f>
        <v>P2_EXP2_C_C_AI_013</v>
      </c>
      <c r="M331" s="45"/>
      <c r="N331" s="45"/>
      <c r="O331" s="46"/>
      <c r="P331" s="46"/>
      <c r="Q331" s="46"/>
      <c r="R331" s="47"/>
      <c r="S331" s="45"/>
      <c r="T331" s="45"/>
      <c r="U331" s="48" t="str">
        <f aca="false">IF(O331&gt;0,P331/O331,"")</f>
        <v/>
      </c>
      <c r="V331" s="49" t="str">
        <f aca="false">IF(P331&gt;0,Q331/P331,"")</f>
        <v/>
      </c>
      <c r="W331" s="50" t="n">
        <f aca="false">IF(R331&lt;&gt;"",R331,Q331*'Cài đặt'!$B$12)</f>
        <v>0</v>
      </c>
      <c r="X331" s="50" t="str">
        <f aca="false">IF(O331&gt;0,W331/O331*1000,"")</f>
        <v/>
      </c>
      <c r="Y331" s="51" t="n">
        <f aca="false">IF(T331&lt;&gt;"",T331,INDEX('Cài đặt'!$B$20:$C$22,MATCH(I331,'Cài đặt'!$A$20:$A$22,0),IF(K331="AI tự động",1,2)))</f>
        <v>4</v>
      </c>
    </row>
    <row r="332" customFormat="false" ht="15" hidden="false" customHeight="false" outlineLevel="0" collapsed="false">
      <c r="A332" s="41" t="s">
        <v>780</v>
      </c>
      <c r="B332" s="41" t="s">
        <v>703</v>
      </c>
      <c r="C332" s="41" t="s">
        <v>163</v>
      </c>
      <c r="D332" s="42" t="str">
        <f aca="false">INDEX('Page và Ngách'!$B$5:$B$10,MATCH(C332,'Page và Ngách'!$A$5:$A$10,0))</f>
        <v>Secret billionaire / CEO</v>
      </c>
      <c r="E332" s="41" t="n">
        <v>7</v>
      </c>
      <c r="F332" s="43" t="n">
        <f aca="false">'Cài đặt'!$B$38+E332-1</f>
        <v>46362</v>
      </c>
      <c r="G332" s="41" t="s">
        <v>451</v>
      </c>
      <c r="H332" s="44" t="str">
        <f aca="false">IF(G332="S1",'Cài đặt'!$B$7,'Cài đặt'!$B$8)</f>
        <v>20:00</v>
      </c>
      <c r="I332" s="44" t="str">
        <f aca="false">'Cài đặt'!$B$32</f>
        <v>Carousel</v>
      </c>
      <c r="J332" s="41" t="s">
        <v>132</v>
      </c>
      <c r="K332" s="41" t="s">
        <v>445</v>
      </c>
      <c r="L332" s="42" t="str">
        <f aca="false">C332&amp;"_"&amp;B332&amp;"_"&amp;IF(I332="Reel","R",IF(I332="Carousel","C","I"))&amp;"_"&amp;J332&amp;"_"&amp;IF(K332="AI tự động","AI","HU")&amp;"_"&amp;RIGHT(A332,3)</f>
        <v>P2_EXP2_C_A_AI_014</v>
      </c>
      <c r="M332" s="45"/>
      <c r="N332" s="45"/>
      <c r="O332" s="46"/>
      <c r="P332" s="46"/>
      <c r="Q332" s="46"/>
      <c r="R332" s="47"/>
      <c r="S332" s="45"/>
      <c r="T332" s="45"/>
      <c r="U332" s="48" t="str">
        <f aca="false">IF(O332&gt;0,P332/O332,"")</f>
        <v/>
      </c>
      <c r="V332" s="49" t="str">
        <f aca="false">IF(P332&gt;0,Q332/P332,"")</f>
        <v/>
      </c>
      <c r="W332" s="50" t="n">
        <f aca="false">IF(R332&lt;&gt;"",R332,Q332*'Cài đặt'!$B$12)</f>
        <v>0</v>
      </c>
      <c r="X332" s="50" t="str">
        <f aca="false">IF(O332&gt;0,W332/O332*1000,"")</f>
        <v/>
      </c>
      <c r="Y332" s="51" t="n">
        <f aca="false">IF(T332&lt;&gt;"",T332,INDEX('Cài đặt'!$B$20:$C$22,MATCH(I332,'Cài đặt'!$A$20:$A$22,0),IF(K332="AI tự động",1,2)))</f>
        <v>4</v>
      </c>
    </row>
    <row r="333" customFormat="false" ht="15" hidden="false" customHeight="false" outlineLevel="0" collapsed="false">
      <c r="A333" s="41" t="s">
        <v>781</v>
      </c>
      <c r="B333" s="41" t="s">
        <v>703</v>
      </c>
      <c r="C333" s="41" t="s">
        <v>171</v>
      </c>
      <c r="D333" s="42" t="str">
        <f aca="false">INDEX('Page và Ngách'!$B$5:$B$10,MATCH(C333,'Page và Ngách'!$A$5:$A$10,0))</f>
        <v>Contract marriage / Fake relationship</v>
      </c>
      <c r="E333" s="41" t="n">
        <v>7</v>
      </c>
      <c r="F333" s="43" t="n">
        <f aca="false">'Cài đặt'!$B$38+E333-1</f>
        <v>46362</v>
      </c>
      <c r="G333" s="41" t="s">
        <v>444</v>
      </c>
      <c r="H333" s="44" t="str">
        <f aca="false">IF(G333="S1",'Cài đặt'!$B$7,'Cài đặt'!$B$8)</f>
        <v>12:00</v>
      </c>
      <c r="I333" s="44" t="str">
        <f aca="false">'Cài đặt'!$B$32</f>
        <v>Carousel</v>
      </c>
      <c r="J333" s="41" t="s">
        <v>132</v>
      </c>
      <c r="K333" s="41" t="s">
        <v>445</v>
      </c>
      <c r="L333" s="42" t="str">
        <f aca="false">C333&amp;"_"&amp;B333&amp;"_"&amp;IF(I333="Reel","R",IF(I333="Carousel","C","I"))&amp;"_"&amp;J333&amp;"_"&amp;IF(K333="AI tự động","AI","HU")&amp;"_"&amp;RIGHT(A333,3)</f>
        <v>P3_EXP2_C_A_AI_013</v>
      </c>
      <c r="M333" s="45"/>
      <c r="N333" s="45"/>
      <c r="O333" s="46"/>
      <c r="P333" s="46"/>
      <c r="Q333" s="46"/>
      <c r="R333" s="47"/>
      <c r="S333" s="45"/>
      <c r="T333" s="45"/>
      <c r="U333" s="48" t="str">
        <f aca="false">IF(O333&gt;0,P333/O333,"")</f>
        <v/>
      </c>
      <c r="V333" s="49" t="str">
        <f aca="false">IF(P333&gt;0,Q333/P333,"")</f>
        <v/>
      </c>
      <c r="W333" s="50" t="n">
        <f aca="false">IF(R333&lt;&gt;"",R333,Q333*'Cài đặt'!$B$12)</f>
        <v>0</v>
      </c>
      <c r="X333" s="50" t="str">
        <f aca="false">IF(O333&gt;0,W333/O333*1000,"")</f>
        <v/>
      </c>
      <c r="Y333" s="51" t="n">
        <f aca="false">IF(T333&lt;&gt;"",T333,INDEX('Cài đặt'!$B$20:$C$22,MATCH(I333,'Cài đặt'!$A$20:$A$22,0),IF(K333="AI tự động",1,2)))</f>
        <v>4</v>
      </c>
    </row>
    <row r="334" customFormat="false" ht="15" hidden="false" customHeight="false" outlineLevel="0" collapsed="false">
      <c r="A334" s="41" t="s">
        <v>782</v>
      </c>
      <c r="B334" s="41" t="s">
        <v>703</v>
      </c>
      <c r="C334" s="41" t="s">
        <v>171</v>
      </c>
      <c r="D334" s="42" t="str">
        <f aca="false">INDEX('Page và Ngách'!$B$5:$B$10,MATCH(C334,'Page và Ngách'!$A$5:$A$10,0))</f>
        <v>Contract marriage / Fake relationship</v>
      </c>
      <c r="E334" s="41" t="n">
        <v>7</v>
      </c>
      <c r="F334" s="43" t="n">
        <f aca="false">'Cài đặt'!$B$38+E334-1</f>
        <v>46362</v>
      </c>
      <c r="G334" s="41" t="s">
        <v>451</v>
      </c>
      <c r="H334" s="44" t="str">
        <f aca="false">IF(G334="S1",'Cài đặt'!$B$7,'Cài đặt'!$B$8)</f>
        <v>20:00</v>
      </c>
      <c r="I334" s="44" t="str">
        <f aca="false">'Cài đặt'!$B$32</f>
        <v>Carousel</v>
      </c>
      <c r="J334" s="41" t="s">
        <v>704</v>
      </c>
      <c r="K334" s="41" t="s">
        <v>445</v>
      </c>
      <c r="L334" s="42" t="str">
        <f aca="false">C334&amp;"_"&amp;B334&amp;"_"&amp;IF(I334="Reel","R",IF(I334="Carousel","C","I"))&amp;"_"&amp;J334&amp;"_"&amp;IF(K334="AI tự động","AI","HU")&amp;"_"&amp;RIGHT(A334,3)</f>
        <v>P3_EXP2_C_B_AI_014</v>
      </c>
      <c r="M334" s="45"/>
      <c r="N334" s="45"/>
      <c r="O334" s="46"/>
      <c r="P334" s="46"/>
      <c r="Q334" s="46"/>
      <c r="R334" s="47"/>
      <c r="S334" s="45"/>
      <c r="T334" s="45"/>
      <c r="U334" s="48" t="str">
        <f aca="false">IF(O334&gt;0,P334/O334,"")</f>
        <v/>
      </c>
      <c r="V334" s="49" t="str">
        <f aca="false">IF(P334&gt;0,Q334/P334,"")</f>
        <v/>
      </c>
      <c r="W334" s="50" t="n">
        <f aca="false">IF(R334&lt;&gt;"",R334,Q334*'Cài đặt'!$B$12)</f>
        <v>0</v>
      </c>
      <c r="X334" s="50" t="str">
        <f aca="false">IF(O334&gt;0,W334/O334*1000,"")</f>
        <v/>
      </c>
      <c r="Y334" s="51" t="n">
        <f aca="false">IF(T334&lt;&gt;"",T334,INDEX('Cài đặt'!$B$20:$C$22,MATCH(I334,'Cài đặt'!$A$20:$A$22,0),IF(K334="AI tự động",1,2)))</f>
        <v>4</v>
      </c>
    </row>
    <row r="335" customFormat="false" ht="15" hidden="false" customHeight="false" outlineLevel="0" collapsed="false">
      <c r="A335" s="41" t="s">
        <v>783</v>
      </c>
      <c r="B335" s="41" t="s">
        <v>703</v>
      </c>
      <c r="C335" s="41" t="s">
        <v>178</v>
      </c>
      <c r="D335" s="42" t="str">
        <f aca="false">INDEX('Page và Ngách'!$B$5:$B$10,MATCH(C335,'Page và Ngách'!$A$5:$A$10,0))</f>
        <v>Revenge / Betrayal ("you'll regret it")</v>
      </c>
      <c r="E335" s="41" t="n">
        <v>7</v>
      </c>
      <c r="F335" s="43" t="n">
        <f aca="false">'Cài đặt'!$B$38+E335-1</f>
        <v>46362</v>
      </c>
      <c r="G335" s="41" t="s">
        <v>444</v>
      </c>
      <c r="H335" s="44" t="str">
        <f aca="false">IF(G335="S1",'Cài đặt'!$B$7,'Cài đặt'!$B$8)</f>
        <v>12:00</v>
      </c>
      <c r="I335" s="44" t="str">
        <f aca="false">'Cài đặt'!$B$32</f>
        <v>Carousel</v>
      </c>
      <c r="J335" s="41" t="s">
        <v>704</v>
      </c>
      <c r="K335" s="41" t="s">
        <v>445</v>
      </c>
      <c r="L335" s="42" t="str">
        <f aca="false">C335&amp;"_"&amp;B335&amp;"_"&amp;IF(I335="Reel","R",IF(I335="Carousel","C","I"))&amp;"_"&amp;J335&amp;"_"&amp;IF(K335="AI tự động","AI","HU")&amp;"_"&amp;RIGHT(A335,3)</f>
        <v>P4_EXP2_C_B_AI_013</v>
      </c>
      <c r="M335" s="45"/>
      <c r="N335" s="45"/>
      <c r="O335" s="46"/>
      <c r="P335" s="46"/>
      <c r="Q335" s="46"/>
      <c r="R335" s="47"/>
      <c r="S335" s="45"/>
      <c r="T335" s="45"/>
      <c r="U335" s="48" t="str">
        <f aca="false">IF(O335&gt;0,P335/O335,"")</f>
        <v/>
      </c>
      <c r="V335" s="49" t="str">
        <f aca="false">IF(P335&gt;0,Q335/P335,"")</f>
        <v/>
      </c>
      <c r="W335" s="50" t="n">
        <f aca="false">IF(R335&lt;&gt;"",R335,Q335*'Cài đặt'!$B$12)</f>
        <v>0</v>
      </c>
      <c r="X335" s="50" t="str">
        <f aca="false">IF(O335&gt;0,W335/O335*1000,"")</f>
        <v/>
      </c>
      <c r="Y335" s="51" t="n">
        <f aca="false">IF(T335&lt;&gt;"",T335,INDEX('Cài đặt'!$B$20:$C$22,MATCH(I335,'Cài đặt'!$A$20:$A$22,0),IF(K335="AI tự động",1,2)))</f>
        <v>4</v>
      </c>
    </row>
    <row r="336" customFormat="false" ht="15" hidden="false" customHeight="false" outlineLevel="0" collapsed="false">
      <c r="A336" s="41" t="s">
        <v>784</v>
      </c>
      <c r="B336" s="41" t="s">
        <v>703</v>
      </c>
      <c r="C336" s="41" t="s">
        <v>178</v>
      </c>
      <c r="D336" s="42" t="str">
        <f aca="false">INDEX('Page và Ngách'!$B$5:$B$10,MATCH(C336,'Page và Ngách'!$A$5:$A$10,0))</f>
        <v>Revenge / Betrayal ("you'll regret it")</v>
      </c>
      <c r="E336" s="41" t="n">
        <v>7</v>
      </c>
      <c r="F336" s="43" t="n">
        <f aca="false">'Cài đặt'!$B$38+E336-1</f>
        <v>46362</v>
      </c>
      <c r="G336" s="41" t="s">
        <v>451</v>
      </c>
      <c r="H336" s="44" t="str">
        <f aca="false">IF(G336="S1",'Cài đặt'!$B$7,'Cài đặt'!$B$8)</f>
        <v>20:00</v>
      </c>
      <c r="I336" s="44" t="str">
        <f aca="false">'Cài đặt'!$B$32</f>
        <v>Carousel</v>
      </c>
      <c r="J336" s="41" t="s">
        <v>706</v>
      </c>
      <c r="K336" s="41" t="s">
        <v>445</v>
      </c>
      <c r="L336" s="42" t="str">
        <f aca="false">C336&amp;"_"&amp;B336&amp;"_"&amp;IF(I336="Reel","R",IF(I336="Carousel","C","I"))&amp;"_"&amp;J336&amp;"_"&amp;IF(K336="AI tự động","AI","HU")&amp;"_"&amp;RIGHT(A336,3)</f>
        <v>P4_EXP2_C_C_AI_014</v>
      </c>
      <c r="M336" s="45"/>
      <c r="N336" s="45"/>
      <c r="O336" s="46"/>
      <c r="P336" s="46"/>
      <c r="Q336" s="46"/>
      <c r="R336" s="47"/>
      <c r="S336" s="45"/>
      <c r="T336" s="45"/>
      <c r="U336" s="48" t="str">
        <f aca="false">IF(O336&gt;0,P336/O336,"")</f>
        <v/>
      </c>
      <c r="V336" s="49" t="str">
        <f aca="false">IF(P336&gt;0,Q336/P336,"")</f>
        <v/>
      </c>
      <c r="W336" s="50" t="n">
        <f aca="false">IF(R336&lt;&gt;"",R336,Q336*'Cài đặt'!$B$12)</f>
        <v>0</v>
      </c>
      <c r="X336" s="50" t="str">
        <f aca="false">IF(O336&gt;0,W336/O336*1000,"")</f>
        <v/>
      </c>
      <c r="Y336" s="51" t="n">
        <f aca="false">IF(T336&lt;&gt;"",T336,INDEX('Cài đặt'!$B$20:$C$22,MATCH(I336,'Cài đặt'!$A$20:$A$22,0),IF(K336="AI tự động",1,2)))</f>
        <v>4</v>
      </c>
    </row>
    <row r="337" customFormat="false" ht="15" hidden="false" customHeight="false" outlineLevel="0" collapsed="false">
      <c r="A337" s="41" t="s">
        <v>785</v>
      </c>
      <c r="B337" s="41" t="s">
        <v>703</v>
      </c>
      <c r="C337" s="41" t="s">
        <v>185</v>
      </c>
      <c r="D337" s="42" t="str">
        <f aca="false">INDEX('Page và Ngách'!$B$5:$B$10,MATCH(C337,'Page và Ngách'!$A$5:$A$10,0))</f>
        <v>Mafia / Dark romance (teaser PG-13)</v>
      </c>
      <c r="E337" s="41" t="n">
        <v>7</v>
      </c>
      <c r="F337" s="43" t="n">
        <f aca="false">'Cài đặt'!$B$38+E337-1</f>
        <v>46362</v>
      </c>
      <c r="G337" s="41" t="s">
        <v>444</v>
      </c>
      <c r="H337" s="44" t="str">
        <f aca="false">IF(G337="S1",'Cài đặt'!$B$7,'Cài đặt'!$B$8)</f>
        <v>12:00</v>
      </c>
      <c r="I337" s="44" t="str">
        <f aca="false">'Cài đặt'!$B$32</f>
        <v>Carousel</v>
      </c>
      <c r="J337" s="41" t="s">
        <v>706</v>
      </c>
      <c r="K337" s="41" t="s">
        <v>445</v>
      </c>
      <c r="L337" s="42" t="str">
        <f aca="false">C337&amp;"_"&amp;B337&amp;"_"&amp;IF(I337="Reel","R",IF(I337="Carousel","C","I"))&amp;"_"&amp;J337&amp;"_"&amp;IF(K337="AI tự động","AI","HU")&amp;"_"&amp;RIGHT(A337,3)</f>
        <v>P5_EXP2_C_C_AI_013</v>
      </c>
      <c r="M337" s="45"/>
      <c r="N337" s="45"/>
      <c r="O337" s="46"/>
      <c r="P337" s="46"/>
      <c r="Q337" s="46"/>
      <c r="R337" s="47"/>
      <c r="S337" s="45"/>
      <c r="T337" s="45"/>
      <c r="U337" s="48" t="str">
        <f aca="false">IF(O337&gt;0,P337/O337,"")</f>
        <v/>
      </c>
      <c r="V337" s="49" t="str">
        <f aca="false">IF(P337&gt;0,Q337/P337,"")</f>
        <v/>
      </c>
      <c r="W337" s="50" t="n">
        <f aca="false">IF(R337&lt;&gt;"",R337,Q337*'Cài đặt'!$B$12)</f>
        <v>0</v>
      </c>
      <c r="X337" s="50" t="str">
        <f aca="false">IF(O337&gt;0,W337/O337*1000,"")</f>
        <v/>
      </c>
      <c r="Y337" s="51" t="n">
        <f aca="false">IF(T337&lt;&gt;"",T337,INDEX('Cài đặt'!$B$20:$C$22,MATCH(I337,'Cài đặt'!$A$20:$A$22,0),IF(K337="AI tự động",1,2)))</f>
        <v>4</v>
      </c>
    </row>
    <row r="338" customFormat="false" ht="15" hidden="false" customHeight="false" outlineLevel="0" collapsed="false">
      <c r="A338" s="41" t="s">
        <v>786</v>
      </c>
      <c r="B338" s="41" t="s">
        <v>703</v>
      </c>
      <c r="C338" s="41" t="s">
        <v>185</v>
      </c>
      <c r="D338" s="42" t="str">
        <f aca="false">INDEX('Page và Ngách'!$B$5:$B$10,MATCH(C338,'Page và Ngách'!$A$5:$A$10,0))</f>
        <v>Mafia / Dark romance (teaser PG-13)</v>
      </c>
      <c r="E338" s="41" t="n">
        <v>7</v>
      </c>
      <c r="F338" s="43" t="n">
        <f aca="false">'Cài đặt'!$B$38+E338-1</f>
        <v>46362</v>
      </c>
      <c r="G338" s="41" t="s">
        <v>451</v>
      </c>
      <c r="H338" s="44" t="str">
        <f aca="false">IF(G338="S1",'Cài đặt'!$B$7,'Cài đặt'!$B$8)</f>
        <v>20:00</v>
      </c>
      <c r="I338" s="44" t="str">
        <f aca="false">'Cài đặt'!$B$32</f>
        <v>Carousel</v>
      </c>
      <c r="J338" s="41" t="s">
        <v>132</v>
      </c>
      <c r="K338" s="41" t="s">
        <v>445</v>
      </c>
      <c r="L338" s="42" t="str">
        <f aca="false">C338&amp;"_"&amp;B338&amp;"_"&amp;IF(I338="Reel","R",IF(I338="Carousel","C","I"))&amp;"_"&amp;J338&amp;"_"&amp;IF(K338="AI tự động","AI","HU")&amp;"_"&amp;RIGHT(A338,3)</f>
        <v>P5_EXP2_C_A_AI_014</v>
      </c>
      <c r="M338" s="45"/>
      <c r="N338" s="45"/>
      <c r="O338" s="46"/>
      <c r="P338" s="46"/>
      <c r="Q338" s="46"/>
      <c r="R338" s="47"/>
      <c r="S338" s="45"/>
      <c r="T338" s="45"/>
      <c r="U338" s="48" t="str">
        <f aca="false">IF(O338&gt;0,P338/O338,"")</f>
        <v/>
      </c>
      <c r="V338" s="49" t="str">
        <f aca="false">IF(P338&gt;0,Q338/P338,"")</f>
        <v/>
      </c>
      <c r="W338" s="50" t="n">
        <f aca="false">IF(R338&lt;&gt;"",R338,Q338*'Cài đặt'!$B$12)</f>
        <v>0</v>
      </c>
      <c r="X338" s="50" t="str">
        <f aca="false">IF(O338&gt;0,W338/O338*1000,"")</f>
        <v/>
      </c>
      <c r="Y338" s="51" t="n">
        <f aca="false">IF(T338&lt;&gt;"",T338,INDEX('Cài đặt'!$B$20:$C$22,MATCH(I338,'Cài đặt'!$A$20:$A$22,0),IF(K338="AI tự động",1,2)))</f>
        <v>4</v>
      </c>
    </row>
    <row r="339" customFormat="false" ht="15" hidden="false" customHeight="false" outlineLevel="0" collapsed="false">
      <c r="A339" s="41" t="s">
        <v>787</v>
      </c>
      <c r="B339" s="41" t="s">
        <v>703</v>
      </c>
      <c r="C339" s="41" t="s">
        <v>193</v>
      </c>
      <c r="D339" s="42" t="str">
        <f aca="false">INDEX('Page và Ngách'!$B$5:$B$10,MATCH(C339,'Page và Ngách'!$A$5:$A$10,0))</f>
        <v>Second chance / Secret baby</v>
      </c>
      <c r="E339" s="41" t="n">
        <v>7</v>
      </c>
      <c r="F339" s="43" t="n">
        <f aca="false">'Cài đặt'!$B$38+E339-1</f>
        <v>46362</v>
      </c>
      <c r="G339" s="41" t="s">
        <v>444</v>
      </c>
      <c r="H339" s="44" t="str">
        <f aca="false">IF(G339="S1",'Cài đặt'!$B$7,'Cài đặt'!$B$8)</f>
        <v>12:00</v>
      </c>
      <c r="I339" s="44" t="str">
        <f aca="false">'Cài đặt'!$B$32</f>
        <v>Carousel</v>
      </c>
      <c r="J339" s="41" t="s">
        <v>132</v>
      </c>
      <c r="K339" s="41" t="s">
        <v>445</v>
      </c>
      <c r="L339" s="42" t="str">
        <f aca="false">C339&amp;"_"&amp;B339&amp;"_"&amp;IF(I339="Reel","R",IF(I339="Carousel","C","I"))&amp;"_"&amp;J339&amp;"_"&amp;IF(K339="AI tự động","AI","HU")&amp;"_"&amp;RIGHT(A339,3)</f>
        <v>P6_EXP2_C_A_AI_013</v>
      </c>
      <c r="M339" s="45"/>
      <c r="N339" s="45"/>
      <c r="O339" s="46"/>
      <c r="P339" s="46"/>
      <c r="Q339" s="46"/>
      <c r="R339" s="47"/>
      <c r="S339" s="45"/>
      <c r="T339" s="45"/>
      <c r="U339" s="48" t="str">
        <f aca="false">IF(O339&gt;0,P339/O339,"")</f>
        <v/>
      </c>
      <c r="V339" s="49" t="str">
        <f aca="false">IF(P339&gt;0,Q339/P339,"")</f>
        <v/>
      </c>
      <c r="W339" s="50" t="n">
        <f aca="false">IF(R339&lt;&gt;"",R339,Q339*'Cài đặt'!$B$12)</f>
        <v>0</v>
      </c>
      <c r="X339" s="50" t="str">
        <f aca="false">IF(O339&gt;0,W339/O339*1000,"")</f>
        <v/>
      </c>
      <c r="Y339" s="51" t="n">
        <f aca="false">IF(T339&lt;&gt;"",T339,INDEX('Cài đặt'!$B$20:$C$22,MATCH(I339,'Cài đặt'!$A$20:$A$22,0),IF(K339="AI tự động",1,2)))</f>
        <v>4</v>
      </c>
    </row>
    <row r="340" customFormat="false" ht="15" hidden="false" customHeight="false" outlineLevel="0" collapsed="false">
      <c r="A340" s="41" t="s">
        <v>788</v>
      </c>
      <c r="B340" s="41" t="s">
        <v>703</v>
      </c>
      <c r="C340" s="41" t="s">
        <v>193</v>
      </c>
      <c r="D340" s="42" t="str">
        <f aca="false">INDEX('Page và Ngách'!$B$5:$B$10,MATCH(C340,'Page và Ngách'!$A$5:$A$10,0))</f>
        <v>Second chance / Secret baby</v>
      </c>
      <c r="E340" s="41" t="n">
        <v>7</v>
      </c>
      <c r="F340" s="43" t="n">
        <f aca="false">'Cài đặt'!$B$38+E340-1</f>
        <v>46362</v>
      </c>
      <c r="G340" s="41" t="s">
        <v>451</v>
      </c>
      <c r="H340" s="44" t="str">
        <f aca="false">IF(G340="S1",'Cài đặt'!$B$7,'Cài đặt'!$B$8)</f>
        <v>20:00</v>
      </c>
      <c r="I340" s="44" t="str">
        <f aca="false">'Cài đặt'!$B$32</f>
        <v>Carousel</v>
      </c>
      <c r="J340" s="41" t="s">
        <v>704</v>
      </c>
      <c r="K340" s="41" t="s">
        <v>445</v>
      </c>
      <c r="L340" s="42" t="str">
        <f aca="false">C340&amp;"_"&amp;B340&amp;"_"&amp;IF(I340="Reel","R",IF(I340="Carousel","C","I"))&amp;"_"&amp;J340&amp;"_"&amp;IF(K340="AI tự động","AI","HU")&amp;"_"&amp;RIGHT(A340,3)</f>
        <v>P6_EXP2_C_B_AI_014</v>
      </c>
      <c r="M340" s="45"/>
      <c r="N340" s="45"/>
      <c r="O340" s="46"/>
      <c r="P340" s="46"/>
      <c r="Q340" s="46"/>
      <c r="R340" s="47"/>
      <c r="S340" s="45"/>
      <c r="T340" s="45"/>
      <c r="U340" s="48" t="str">
        <f aca="false">IF(O340&gt;0,P340/O340,"")</f>
        <v/>
      </c>
      <c r="V340" s="49" t="str">
        <f aca="false">IF(P340&gt;0,Q340/P340,"")</f>
        <v/>
      </c>
      <c r="W340" s="50" t="n">
        <f aca="false">IF(R340&lt;&gt;"",R340,Q340*'Cài đặt'!$B$12)</f>
        <v>0</v>
      </c>
      <c r="X340" s="50" t="str">
        <f aca="false">IF(O340&gt;0,W340/O340*1000,"")</f>
        <v/>
      </c>
      <c r="Y340" s="51" t="n">
        <f aca="false">IF(T340&lt;&gt;"",T340,INDEX('Cài đặt'!$B$20:$C$22,MATCH(I340,'Cài đặt'!$A$20:$A$22,0),IF(K340="AI tự động",1,2)))</f>
        <v>4</v>
      </c>
    </row>
    <row r="341" customFormat="false" ht="15" hidden="false" customHeight="false" outlineLevel="0" collapsed="false">
      <c r="A341" s="41" t="s">
        <v>789</v>
      </c>
      <c r="B341" s="41" t="s">
        <v>703</v>
      </c>
      <c r="C341" s="41" t="s">
        <v>154</v>
      </c>
      <c r="D341" s="42" t="str">
        <f aca="false">INDEX('Page và Ngách'!$B$5:$B$10,MATCH(C341,'Page và Ngách'!$A$5:$A$10,0))</f>
        <v>Werewolf / Rejected mate</v>
      </c>
      <c r="E341" s="41" t="n">
        <v>8</v>
      </c>
      <c r="F341" s="43" t="n">
        <f aca="false">'Cài đặt'!$B$38+E341-1</f>
        <v>46363</v>
      </c>
      <c r="G341" s="41" t="s">
        <v>444</v>
      </c>
      <c r="H341" s="44" t="str">
        <f aca="false">IF(G341="S1",'Cài đặt'!$B$7,'Cài đặt'!$B$8)</f>
        <v>12:00</v>
      </c>
      <c r="I341" s="44" t="str">
        <f aca="false">'Cài đặt'!$B$32</f>
        <v>Carousel</v>
      </c>
      <c r="J341" s="41" t="s">
        <v>132</v>
      </c>
      <c r="K341" s="41" t="s">
        <v>445</v>
      </c>
      <c r="L341" s="42" t="str">
        <f aca="false">C341&amp;"_"&amp;B341&amp;"_"&amp;IF(I341="Reel","R",IF(I341="Carousel","C","I"))&amp;"_"&amp;J341&amp;"_"&amp;IF(K341="AI tự động","AI","HU")&amp;"_"&amp;RIGHT(A341,3)</f>
        <v>P1_EXP2_C_A_AI_015</v>
      </c>
      <c r="M341" s="45"/>
      <c r="N341" s="45"/>
      <c r="O341" s="46"/>
      <c r="P341" s="46"/>
      <c r="Q341" s="46"/>
      <c r="R341" s="47"/>
      <c r="S341" s="45"/>
      <c r="T341" s="45"/>
      <c r="U341" s="48" t="str">
        <f aca="false">IF(O341&gt;0,P341/O341,"")</f>
        <v/>
      </c>
      <c r="V341" s="49" t="str">
        <f aca="false">IF(P341&gt;0,Q341/P341,"")</f>
        <v/>
      </c>
      <c r="W341" s="50" t="n">
        <f aca="false">IF(R341&lt;&gt;"",R341,Q341*'Cài đặt'!$B$12)</f>
        <v>0</v>
      </c>
      <c r="X341" s="50" t="str">
        <f aca="false">IF(O341&gt;0,W341/O341*1000,"")</f>
        <v/>
      </c>
      <c r="Y341" s="51" t="n">
        <f aca="false">IF(T341&lt;&gt;"",T341,INDEX('Cài đặt'!$B$20:$C$22,MATCH(I341,'Cài đặt'!$A$20:$A$22,0),IF(K341="AI tự động",1,2)))</f>
        <v>4</v>
      </c>
    </row>
    <row r="342" customFormat="false" ht="15" hidden="false" customHeight="false" outlineLevel="0" collapsed="false">
      <c r="A342" s="41" t="s">
        <v>790</v>
      </c>
      <c r="B342" s="41" t="s">
        <v>703</v>
      </c>
      <c r="C342" s="41" t="s">
        <v>154</v>
      </c>
      <c r="D342" s="42" t="str">
        <f aca="false">INDEX('Page và Ngách'!$B$5:$B$10,MATCH(C342,'Page và Ngách'!$A$5:$A$10,0))</f>
        <v>Werewolf / Rejected mate</v>
      </c>
      <c r="E342" s="41" t="n">
        <v>8</v>
      </c>
      <c r="F342" s="43" t="n">
        <f aca="false">'Cài đặt'!$B$38+E342-1</f>
        <v>46363</v>
      </c>
      <c r="G342" s="41" t="s">
        <v>451</v>
      </c>
      <c r="H342" s="44" t="str">
        <f aca="false">IF(G342="S1",'Cài đặt'!$B$7,'Cài đặt'!$B$8)</f>
        <v>20:00</v>
      </c>
      <c r="I342" s="44" t="str">
        <f aca="false">'Cài đặt'!$B$32</f>
        <v>Carousel</v>
      </c>
      <c r="J342" s="41" t="s">
        <v>704</v>
      </c>
      <c r="K342" s="41" t="s">
        <v>445</v>
      </c>
      <c r="L342" s="42" t="str">
        <f aca="false">C342&amp;"_"&amp;B342&amp;"_"&amp;IF(I342="Reel","R",IF(I342="Carousel","C","I"))&amp;"_"&amp;J342&amp;"_"&amp;IF(K342="AI tự động","AI","HU")&amp;"_"&amp;RIGHT(A342,3)</f>
        <v>P1_EXP2_C_B_AI_016</v>
      </c>
      <c r="M342" s="45"/>
      <c r="N342" s="45"/>
      <c r="O342" s="46"/>
      <c r="P342" s="46"/>
      <c r="Q342" s="46"/>
      <c r="R342" s="47"/>
      <c r="S342" s="45"/>
      <c r="T342" s="45"/>
      <c r="U342" s="48" t="str">
        <f aca="false">IF(O342&gt;0,P342/O342,"")</f>
        <v/>
      </c>
      <c r="V342" s="49" t="str">
        <f aca="false">IF(P342&gt;0,Q342/P342,"")</f>
        <v/>
      </c>
      <c r="W342" s="50" t="n">
        <f aca="false">IF(R342&lt;&gt;"",R342,Q342*'Cài đặt'!$B$12)</f>
        <v>0</v>
      </c>
      <c r="X342" s="50" t="str">
        <f aca="false">IF(O342&gt;0,W342/O342*1000,"")</f>
        <v/>
      </c>
      <c r="Y342" s="51" t="n">
        <f aca="false">IF(T342&lt;&gt;"",T342,INDEX('Cài đặt'!$B$20:$C$22,MATCH(I342,'Cài đặt'!$A$20:$A$22,0),IF(K342="AI tự động",1,2)))</f>
        <v>4</v>
      </c>
    </row>
    <row r="343" customFormat="false" ht="15" hidden="false" customHeight="false" outlineLevel="0" collapsed="false">
      <c r="A343" s="41" t="s">
        <v>791</v>
      </c>
      <c r="B343" s="41" t="s">
        <v>703</v>
      </c>
      <c r="C343" s="41" t="s">
        <v>163</v>
      </c>
      <c r="D343" s="42" t="str">
        <f aca="false">INDEX('Page và Ngách'!$B$5:$B$10,MATCH(C343,'Page và Ngách'!$A$5:$A$10,0))</f>
        <v>Secret billionaire / CEO</v>
      </c>
      <c r="E343" s="41" t="n">
        <v>8</v>
      </c>
      <c r="F343" s="43" t="n">
        <f aca="false">'Cài đặt'!$B$38+E343-1</f>
        <v>46363</v>
      </c>
      <c r="G343" s="41" t="s">
        <v>444</v>
      </c>
      <c r="H343" s="44" t="str">
        <f aca="false">IF(G343="S1",'Cài đặt'!$B$7,'Cài đặt'!$B$8)</f>
        <v>12:00</v>
      </c>
      <c r="I343" s="44" t="str">
        <f aca="false">'Cài đặt'!$B$32</f>
        <v>Carousel</v>
      </c>
      <c r="J343" s="41" t="s">
        <v>704</v>
      </c>
      <c r="K343" s="41" t="s">
        <v>445</v>
      </c>
      <c r="L343" s="42" t="str">
        <f aca="false">C343&amp;"_"&amp;B343&amp;"_"&amp;IF(I343="Reel","R",IF(I343="Carousel","C","I"))&amp;"_"&amp;J343&amp;"_"&amp;IF(K343="AI tự động","AI","HU")&amp;"_"&amp;RIGHT(A343,3)</f>
        <v>P2_EXP2_C_B_AI_015</v>
      </c>
      <c r="M343" s="45"/>
      <c r="N343" s="45"/>
      <c r="O343" s="46"/>
      <c r="P343" s="46"/>
      <c r="Q343" s="46"/>
      <c r="R343" s="47"/>
      <c r="S343" s="45"/>
      <c r="T343" s="45"/>
      <c r="U343" s="48" t="str">
        <f aca="false">IF(O343&gt;0,P343/O343,"")</f>
        <v/>
      </c>
      <c r="V343" s="49" t="str">
        <f aca="false">IF(P343&gt;0,Q343/P343,"")</f>
        <v/>
      </c>
      <c r="W343" s="50" t="n">
        <f aca="false">IF(R343&lt;&gt;"",R343,Q343*'Cài đặt'!$B$12)</f>
        <v>0</v>
      </c>
      <c r="X343" s="50" t="str">
        <f aca="false">IF(O343&gt;0,W343/O343*1000,"")</f>
        <v/>
      </c>
      <c r="Y343" s="51" t="n">
        <f aca="false">IF(T343&lt;&gt;"",T343,INDEX('Cài đặt'!$B$20:$C$22,MATCH(I343,'Cài đặt'!$A$20:$A$22,0),IF(K343="AI tự động",1,2)))</f>
        <v>4</v>
      </c>
    </row>
    <row r="344" customFormat="false" ht="15" hidden="false" customHeight="false" outlineLevel="0" collapsed="false">
      <c r="A344" s="41" t="s">
        <v>792</v>
      </c>
      <c r="B344" s="41" t="s">
        <v>703</v>
      </c>
      <c r="C344" s="41" t="s">
        <v>163</v>
      </c>
      <c r="D344" s="42" t="str">
        <f aca="false">INDEX('Page và Ngách'!$B$5:$B$10,MATCH(C344,'Page và Ngách'!$A$5:$A$10,0))</f>
        <v>Secret billionaire / CEO</v>
      </c>
      <c r="E344" s="41" t="n">
        <v>8</v>
      </c>
      <c r="F344" s="43" t="n">
        <f aca="false">'Cài đặt'!$B$38+E344-1</f>
        <v>46363</v>
      </c>
      <c r="G344" s="41" t="s">
        <v>451</v>
      </c>
      <c r="H344" s="44" t="str">
        <f aca="false">IF(G344="S1",'Cài đặt'!$B$7,'Cài đặt'!$B$8)</f>
        <v>20:00</v>
      </c>
      <c r="I344" s="44" t="str">
        <f aca="false">'Cài đặt'!$B$32</f>
        <v>Carousel</v>
      </c>
      <c r="J344" s="41" t="s">
        <v>706</v>
      </c>
      <c r="K344" s="41" t="s">
        <v>445</v>
      </c>
      <c r="L344" s="42" t="str">
        <f aca="false">C344&amp;"_"&amp;B344&amp;"_"&amp;IF(I344="Reel","R",IF(I344="Carousel","C","I"))&amp;"_"&amp;J344&amp;"_"&amp;IF(K344="AI tự động","AI","HU")&amp;"_"&amp;RIGHT(A344,3)</f>
        <v>P2_EXP2_C_C_AI_016</v>
      </c>
      <c r="M344" s="45"/>
      <c r="N344" s="45"/>
      <c r="O344" s="46"/>
      <c r="P344" s="46"/>
      <c r="Q344" s="46"/>
      <c r="R344" s="47"/>
      <c r="S344" s="45"/>
      <c r="T344" s="45"/>
      <c r="U344" s="48" t="str">
        <f aca="false">IF(O344&gt;0,P344/O344,"")</f>
        <v/>
      </c>
      <c r="V344" s="49" t="str">
        <f aca="false">IF(P344&gt;0,Q344/P344,"")</f>
        <v/>
      </c>
      <c r="W344" s="50" t="n">
        <f aca="false">IF(R344&lt;&gt;"",R344,Q344*'Cài đặt'!$B$12)</f>
        <v>0</v>
      </c>
      <c r="X344" s="50" t="str">
        <f aca="false">IF(O344&gt;0,W344/O344*1000,"")</f>
        <v/>
      </c>
      <c r="Y344" s="51" t="n">
        <f aca="false">IF(T344&lt;&gt;"",T344,INDEX('Cài đặt'!$B$20:$C$22,MATCH(I344,'Cài đặt'!$A$20:$A$22,0),IF(K344="AI tự động",1,2)))</f>
        <v>4</v>
      </c>
    </row>
    <row r="345" customFormat="false" ht="15" hidden="false" customHeight="false" outlineLevel="0" collapsed="false">
      <c r="A345" s="41" t="s">
        <v>793</v>
      </c>
      <c r="B345" s="41" t="s">
        <v>703</v>
      </c>
      <c r="C345" s="41" t="s">
        <v>171</v>
      </c>
      <c r="D345" s="42" t="str">
        <f aca="false">INDEX('Page và Ngách'!$B$5:$B$10,MATCH(C345,'Page và Ngách'!$A$5:$A$10,0))</f>
        <v>Contract marriage / Fake relationship</v>
      </c>
      <c r="E345" s="41" t="n">
        <v>8</v>
      </c>
      <c r="F345" s="43" t="n">
        <f aca="false">'Cài đặt'!$B$38+E345-1</f>
        <v>46363</v>
      </c>
      <c r="G345" s="41" t="s">
        <v>444</v>
      </c>
      <c r="H345" s="44" t="str">
        <f aca="false">IF(G345="S1",'Cài đặt'!$B$7,'Cài đặt'!$B$8)</f>
        <v>12:00</v>
      </c>
      <c r="I345" s="44" t="str">
        <f aca="false">'Cài đặt'!$B$32</f>
        <v>Carousel</v>
      </c>
      <c r="J345" s="41" t="s">
        <v>706</v>
      </c>
      <c r="K345" s="41" t="s">
        <v>445</v>
      </c>
      <c r="L345" s="42" t="str">
        <f aca="false">C345&amp;"_"&amp;B345&amp;"_"&amp;IF(I345="Reel","R",IF(I345="Carousel","C","I"))&amp;"_"&amp;J345&amp;"_"&amp;IF(K345="AI tự động","AI","HU")&amp;"_"&amp;RIGHT(A345,3)</f>
        <v>P3_EXP2_C_C_AI_015</v>
      </c>
      <c r="M345" s="45"/>
      <c r="N345" s="45"/>
      <c r="O345" s="46"/>
      <c r="P345" s="46"/>
      <c r="Q345" s="46"/>
      <c r="R345" s="47"/>
      <c r="S345" s="45"/>
      <c r="T345" s="45"/>
      <c r="U345" s="48" t="str">
        <f aca="false">IF(O345&gt;0,P345/O345,"")</f>
        <v/>
      </c>
      <c r="V345" s="49" t="str">
        <f aca="false">IF(P345&gt;0,Q345/P345,"")</f>
        <v/>
      </c>
      <c r="W345" s="50" t="n">
        <f aca="false">IF(R345&lt;&gt;"",R345,Q345*'Cài đặt'!$B$12)</f>
        <v>0</v>
      </c>
      <c r="X345" s="50" t="str">
        <f aca="false">IF(O345&gt;0,W345/O345*1000,"")</f>
        <v/>
      </c>
      <c r="Y345" s="51" t="n">
        <f aca="false">IF(T345&lt;&gt;"",T345,INDEX('Cài đặt'!$B$20:$C$22,MATCH(I345,'Cài đặt'!$A$20:$A$22,0),IF(K345="AI tự động",1,2)))</f>
        <v>4</v>
      </c>
    </row>
    <row r="346" customFormat="false" ht="15" hidden="false" customHeight="false" outlineLevel="0" collapsed="false">
      <c r="A346" s="41" t="s">
        <v>794</v>
      </c>
      <c r="B346" s="41" t="s">
        <v>703</v>
      </c>
      <c r="C346" s="41" t="s">
        <v>171</v>
      </c>
      <c r="D346" s="42" t="str">
        <f aca="false">INDEX('Page và Ngách'!$B$5:$B$10,MATCH(C346,'Page và Ngách'!$A$5:$A$10,0))</f>
        <v>Contract marriage / Fake relationship</v>
      </c>
      <c r="E346" s="41" t="n">
        <v>8</v>
      </c>
      <c r="F346" s="43" t="n">
        <f aca="false">'Cài đặt'!$B$38+E346-1</f>
        <v>46363</v>
      </c>
      <c r="G346" s="41" t="s">
        <v>451</v>
      </c>
      <c r="H346" s="44" t="str">
        <f aca="false">IF(G346="S1",'Cài đặt'!$B$7,'Cài đặt'!$B$8)</f>
        <v>20:00</v>
      </c>
      <c r="I346" s="44" t="str">
        <f aca="false">'Cài đặt'!$B$32</f>
        <v>Carousel</v>
      </c>
      <c r="J346" s="41" t="s">
        <v>132</v>
      </c>
      <c r="K346" s="41" t="s">
        <v>445</v>
      </c>
      <c r="L346" s="42" t="str">
        <f aca="false">C346&amp;"_"&amp;B346&amp;"_"&amp;IF(I346="Reel","R",IF(I346="Carousel","C","I"))&amp;"_"&amp;J346&amp;"_"&amp;IF(K346="AI tự động","AI","HU")&amp;"_"&amp;RIGHT(A346,3)</f>
        <v>P3_EXP2_C_A_AI_016</v>
      </c>
      <c r="M346" s="45"/>
      <c r="N346" s="45"/>
      <c r="O346" s="46"/>
      <c r="P346" s="46"/>
      <c r="Q346" s="46"/>
      <c r="R346" s="47"/>
      <c r="S346" s="45"/>
      <c r="T346" s="45"/>
      <c r="U346" s="48" t="str">
        <f aca="false">IF(O346&gt;0,P346/O346,"")</f>
        <v/>
      </c>
      <c r="V346" s="49" t="str">
        <f aca="false">IF(P346&gt;0,Q346/P346,"")</f>
        <v/>
      </c>
      <c r="W346" s="50" t="n">
        <f aca="false">IF(R346&lt;&gt;"",R346,Q346*'Cài đặt'!$B$12)</f>
        <v>0</v>
      </c>
      <c r="X346" s="50" t="str">
        <f aca="false">IF(O346&gt;0,W346/O346*1000,"")</f>
        <v/>
      </c>
      <c r="Y346" s="51" t="n">
        <f aca="false">IF(T346&lt;&gt;"",T346,INDEX('Cài đặt'!$B$20:$C$22,MATCH(I346,'Cài đặt'!$A$20:$A$22,0),IF(K346="AI tự động",1,2)))</f>
        <v>4</v>
      </c>
    </row>
    <row r="347" customFormat="false" ht="15" hidden="false" customHeight="false" outlineLevel="0" collapsed="false">
      <c r="A347" s="41" t="s">
        <v>795</v>
      </c>
      <c r="B347" s="41" t="s">
        <v>703</v>
      </c>
      <c r="C347" s="41" t="s">
        <v>178</v>
      </c>
      <c r="D347" s="42" t="str">
        <f aca="false">INDEX('Page và Ngách'!$B$5:$B$10,MATCH(C347,'Page và Ngách'!$A$5:$A$10,0))</f>
        <v>Revenge / Betrayal ("you'll regret it")</v>
      </c>
      <c r="E347" s="41" t="n">
        <v>8</v>
      </c>
      <c r="F347" s="43" t="n">
        <f aca="false">'Cài đặt'!$B$38+E347-1</f>
        <v>46363</v>
      </c>
      <c r="G347" s="41" t="s">
        <v>444</v>
      </c>
      <c r="H347" s="44" t="str">
        <f aca="false">IF(G347="S1",'Cài đặt'!$B$7,'Cài đặt'!$B$8)</f>
        <v>12:00</v>
      </c>
      <c r="I347" s="44" t="str">
        <f aca="false">'Cài đặt'!$B$32</f>
        <v>Carousel</v>
      </c>
      <c r="J347" s="41" t="s">
        <v>132</v>
      </c>
      <c r="K347" s="41" t="s">
        <v>445</v>
      </c>
      <c r="L347" s="42" t="str">
        <f aca="false">C347&amp;"_"&amp;B347&amp;"_"&amp;IF(I347="Reel","R",IF(I347="Carousel","C","I"))&amp;"_"&amp;J347&amp;"_"&amp;IF(K347="AI tự động","AI","HU")&amp;"_"&amp;RIGHT(A347,3)</f>
        <v>P4_EXP2_C_A_AI_015</v>
      </c>
      <c r="M347" s="45"/>
      <c r="N347" s="45"/>
      <c r="O347" s="46"/>
      <c r="P347" s="46"/>
      <c r="Q347" s="46"/>
      <c r="R347" s="47"/>
      <c r="S347" s="45"/>
      <c r="T347" s="45"/>
      <c r="U347" s="48" t="str">
        <f aca="false">IF(O347&gt;0,P347/O347,"")</f>
        <v/>
      </c>
      <c r="V347" s="49" t="str">
        <f aca="false">IF(P347&gt;0,Q347/P347,"")</f>
        <v/>
      </c>
      <c r="W347" s="50" t="n">
        <f aca="false">IF(R347&lt;&gt;"",R347,Q347*'Cài đặt'!$B$12)</f>
        <v>0</v>
      </c>
      <c r="X347" s="50" t="str">
        <f aca="false">IF(O347&gt;0,W347/O347*1000,"")</f>
        <v/>
      </c>
      <c r="Y347" s="51" t="n">
        <f aca="false">IF(T347&lt;&gt;"",T347,INDEX('Cài đặt'!$B$20:$C$22,MATCH(I347,'Cài đặt'!$A$20:$A$22,0),IF(K347="AI tự động",1,2)))</f>
        <v>4</v>
      </c>
    </row>
    <row r="348" customFormat="false" ht="15" hidden="false" customHeight="false" outlineLevel="0" collapsed="false">
      <c r="A348" s="41" t="s">
        <v>796</v>
      </c>
      <c r="B348" s="41" t="s">
        <v>703</v>
      </c>
      <c r="C348" s="41" t="s">
        <v>178</v>
      </c>
      <c r="D348" s="42" t="str">
        <f aca="false">INDEX('Page và Ngách'!$B$5:$B$10,MATCH(C348,'Page và Ngách'!$A$5:$A$10,0))</f>
        <v>Revenge / Betrayal ("you'll regret it")</v>
      </c>
      <c r="E348" s="41" t="n">
        <v>8</v>
      </c>
      <c r="F348" s="43" t="n">
        <f aca="false">'Cài đặt'!$B$38+E348-1</f>
        <v>46363</v>
      </c>
      <c r="G348" s="41" t="s">
        <v>451</v>
      </c>
      <c r="H348" s="44" t="str">
        <f aca="false">IF(G348="S1",'Cài đặt'!$B$7,'Cài đặt'!$B$8)</f>
        <v>20:00</v>
      </c>
      <c r="I348" s="44" t="str">
        <f aca="false">'Cài đặt'!$B$32</f>
        <v>Carousel</v>
      </c>
      <c r="J348" s="41" t="s">
        <v>704</v>
      </c>
      <c r="K348" s="41" t="s">
        <v>445</v>
      </c>
      <c r="L348" s="42" t="str">
        <f aca="false">C348&amp;"_"&amp;B348&amp;"_"&amp;IF(I348="Reel","R",IF(I348="Carousel","C","I"))&amp;"_"&amp;J348&amp;"_"&amp;IF(K348="AI tự động","AI","HU")&amp;"_"&amp;RIGHT(A348,3)</f>
        <v>P4_EXP2_C_B_AI_016</v>
      </c>
      <c r="M348" s="45"/>
      <c r="N348" s="45"/>
      <c r="O348" s="46"/>
      <c r="P348" s="46"/>
      <c r="Q348" s="46"/>
      <c r="R348" s="47"/>
      <c r="S348" s="45"/>
      <c r="T348" s="45"/>
      <c r="U348" s="48" t="str">
        <f aca="false">IF(O348&gt;0,P348/O348,"")</f>
        <v/>
      </c>
      <c r="V348" s="49" t="str">
        <f aca="false">IF(P348&gt;0,Q348/P348,"")</f>
        <v/>
      </c>
      <c r="W348" s="50" t="n">
        <f aca="false">IF(R348&lt;&gt;"",R348,Q348*'Cài đặt'!$B$12)</f>
        <v>0</v>
      </c>
      <c r="X348" s="50" t="str">
        <f aca="false">IF(O348&gt;0,W348/O348*1000,"")</f>
        <v/>
      </c>
      <c r="Y348" s="51" t="n">
        <f aca="false">IF(T348&lt;&gt;"",T348,INDEX('Cài đặt'!$B$20:$C$22,MATCH(I348,'Cài đặt'!$A$20:$A$22,0),IF(K348="AI tự động",1,2)))</f>
        <v>4</v>
      </c>
    </row>
    <row r="349" customFormat="false" ht="15" hidden="false" customHeight="false" outlineLevel="0" collapsed="false">
      <c r="A349" s="41" t="s">
        <v>797</v>
      </c>
      <c r="B349" s="41" t="s">
        <v>703</v>
      </c>
      <c r="C349" s="41" t="s">
        <v>185</v>
      </c>
      <c r="D349" s="42" t="str">
        <f aca="false">INDEX('Page và Ngách'!$B$5:$B$10,MATCH(C349,'Page và Ngách'!$A$5:$A$10,0))</f>
        <v>Mafia / Dark romance (teaser PG-13)</v>
      </c>
      <c r="E349" s="41" t="n">
        <v>8</v>
      </c>
      <c r="F349" s="43" t="n">
        <f aca="false">'Cài đặt'!$B$38+E349-1</f>
        <v>46363</v>
      </c>
      <c r="G349" s="41" t="s">
        <v>444</v>
      </c>
      <c r="H349" s="44" t="str">
        <f aca="false">IF(G349="S1",'Cài đặt'!$B$7,'Cài đặt'!$B$8)</f>
        <v>12:00</v>
      </c>
      <c r="I349" s="44" t="str">
        <f aca="false">'Cài đặt'!$B$32</f>
        <v>Carousel</v>
      </c>
      <c r="J349" s="41" t="s">
        <v>704</v>
      </c>
      <c r="K349" s="41" t="s">
        <v>445</v>
      </c>
      <c r="L349" s="42" t="str">
        <f aca="false">C349&amp;"_"&amp;B349&amp;"_"&amp;IF(I349="Reel","R",IF(I349="Carousel","C","I"))&amp;"_"&amp;J349&amp;"_"&amp;IF(K349="AI tự động","AI","HU")&amp;"_"&amp;RIGHT(A349,3)</f>
        <v>P5_EXP2_C_B_AI_015</v>
      </c>
      <c r="M349" s="45"/>
      <c r="N349" s="45"/>
      <c r="O349" s="46"/>
      <c r="P349" s="46"/>
      <c r="Q349" s="46"/>
      <c r="R349" s="47"/>
      <c r="S349" s="45"/>
      <c r="T349" s="45"/>
      <c r="U349" s="48" t="str">
        <f aca="false">IF(O349&gt;0,P349/O349,"")</f>
        <v/>
      </c>
      <c r="V349" s="49" t="str">
        <f aca="false">IF(P349&gt;0,Q349/P349,"")</f>
        <v/>
      </c>
      <c r="W349" s="50" t="n">
        <f aca="false">IF(R349&lt;&gt;"",R349,Q349*'Cài đặt'!$B$12)</f>
        <v>0</v>
      </c>
      <c r="X349" s="50" t="str">
        <f aca="false">IF(O349&gt;0,W349/O349*1000,"")</f>
        <v/>
      </c>
      <c r="Y349" s="51" t="n">
        <f aca="false">IF(T349&lt;&gt;"",T349,INDEX('Cài đặt'!$B$20:$C$22,MATCH(I349,'Cài đặt'!$A$20:$A$22,0),IF(K349="AI tự động",1,2)))</f>
        <v>4</v>
      </c>
    </row>
    <row r="350" customFormat="false" ht="15" hidden="false" customHeight="false" outlineLevel="0" collapsed="false">
      <c r="A350" s="41" t="s">
        <v>798</v>
      </c>
      <c r="B350" s="41" t="s">
        <v>703</v>
      </c>
      <c r="C350" s="41" t="s">
        <v>185</v>
      </c>
      <c r="D350" s="42" t="str">
        <f aca="false">INDEX('Page và Ngách'!$B$5:$B$10,MATCH(C350,'Page và Ngách'!$A$5:$A$10,0))</f>
        <v>Mafia / Dark romance (teaser PG-13)</v>
      </c>
      <c r="E350" s="41" t="n">
        <v>8</v>
      </c>
      <c r="F350" s="43" t="n">
        <f aca="false">'Cài đặt'!$B$38+E350-1</f>
        <v>46363</v>
      </c>
      <c r="G350" s="41" t="s">
        <v>451</v>
      </c>
      <c r="H350" s="44" t="str">
        <f aca="false">IF(G350="S1",'Cài đặt'!$B$7,'Cài đặt'!$B$8)</f>
        <v>20:00</v>
      </c>
      <c r="I350" s="44" t="str">
        <f aca="false">'Cài đặt'!$B$32</f>
        <v>Carousel</v>
      </c>
      <c r="J350" s="41" t="s">
        <v>706</v>
      </c>
      <c r="K350" s="41" t="s">
        <v>445</v>
      </c>
      <c r="L350" s="42" t="str">
        <f aca="false">C350&amp;"_"&amp;B350&amp;"_"&amp;IF(I350="Reel","R",IF(I350="Carousel","C","I"))&amp;"_"&amp;J350&amp;"_"&amp;IF(K350="AI tự động","AI","HU")&amp;"_"&amp;RIGHT(A350,3)</f>
        <v>P5_EXP2_C_C_AI_016</v>
      </c>
      <c r="M350" s="45"/>
      <c r="N350" s="45"/>
      <c r="O350" s="46"/>
      <c r="P350" s="46"/>
      <c r="Q350" s="46"/>
      <c r="R350" s="47"/>
      <c r="S350" s="45"/>
      <c r="T350" s="45"/>
      <c r="U350" s="48" t="str">
        <f aca="false">IF(O350&gt;0,P350/O350,"")</f>
        <v/>
      </c>
      <c r="V350" s="49" t="str">
        <f aca="false">IF(P350&gt;0,Q350/P350,"")</f>
        <v/>
      </c>
      <c r="W350" s="50" t="n">
        <f aca="false">IF(R350&lt;&gt;"",R350,Q350*'Cài đặt'!$B$12)</f>
        <v>0</v>
      </c>
      <c r="X350" s="50" t="str">
        <f aca="false">IF(O350&gt;0,W350/O350*1000,"")</f>
        <v/>
      </c>
      <c r="Y350" s="51" t="n">
        <f aca="false">IF(T350&lt;&gt;"",T350,INDEX('Cài đặt'!$B$20:$C$22,MATCH(I350,'Cài đặt'!$A$20:$A$22,0),IF(K350="AI tự động",1,2)))</f>
        <v>4</v>
      </c>
    </row>
    <row r="351" customFormat="false" ht="15" hidden="false" customHeight="false" outlineLevel="0" collapsed="false">
      <c r="A351" s="41" t="s">
        <v>799</v>
      </c>
      <c r="B351" s="41" t="s">
        <v>703</v>
      </c>
      <c r="C351" s="41" t="s">
        <v>193</v>
      </c>
      <c r="D351" s="42" t="str">
        <f aca="false">INDEX('Page và Ngách'!$B$5:$B$10,MATCH(C351,'Page và Ngách'!$A$5:$A$10,0))</f>
        <v>Second chance / Secret baby</v>
      </c>
      <c r="E351" s="41" t="n">
        <v>8</v>
      </c>
      <c r="F351" s="43" t="n">
        <f aca="false">'Cài đặt'!$B$38+E351-1</f>
        <v>46363</v>
      </c>
      <c r="G351" s="41" t="s">
        <v>444</v>
      </c>
      <c r="H351" s="44" t="str">
        <f aca="false">IF(G351="S1",'Cài đặt'!$B$7,'Cài đặt'!$B$8)</f>
        <v>12:00</v>
      </c>
      <c r="I351" s="44" t="str">
        <f aca="false">'Cài đặt'!$B$32</f>
        <v>Carousel</v>
      </c>
      <c r="J351" s="41" t="s">
        <v>706</v>
      </c>
      <c r="K351" s="41" t="s">
        <v>445</v>
      </c>
      <c r="L351" s="42" t="str">
        <f aca="false">C351&amp;"_"&amp;B351&amp;"_"&amp;IF(I351="Reel","R",IF(I351="Carousel","C","I"))&amp;"_"&amp;J351&amp;"_"&amp;IF(K351="AI tự động","AI","HU")&amp;"_"&amp;RIGHT(A351,3)</f>
        <v>P6_EXP2_C_C_AI_015</v>
      </c>
      <c r="M351" s="45"/>
      <c r="N351" s="45"/>
      <c r="O351" s="46"/>
      <c r="P351" s="46"/>
      <c r="Q351" s="46"/>
      <c r="R351" s="47"/>
      <c r="S351" s="45"/>
      <c r="T351" s="45"/>
      <c r="U351" s="48" t="str">
        <f aca="false">IF(O351&gt;0,P351/O351,"")</f>
        <v/>
      </c>
      <c r="V351" s="49" t="str">
        <f aca="false">IF(P351&gt;0,Q351/P351,"")</f>
        <v/>
      </c>
      <c r="W351" s="50" t="n">
        <f aca="false">IF(R351&lt;&gt;"",R351,Q351*'Cài đặt'!$B$12)</f>
        <v>0</v>
      </c>
      <c r="X351" s="50" t="str">
        <f aca="false">IF(O351&gt;0,W351/O351*1000,"")</f>
        <v/>
      </c>
      <c r="Y351" s="51" t="n">
        <f aca="false">IF(T351&lt;&gt;"",T351,INDEX('Cài đặt'!$B$20:$C$22,MATCH(I351,'Cài đặt'!$A$20:$A$22,0),IF(K351="AI tự động",1,2)))</f>
        <v>4</v>
      </c>
    </row>
    <row r="352" customFormat="false" ht="15" hidden="false" customHeight="false" outlineLevel="0" collapsed="false">
      <c r="A352" s="41" t="s">
        <v>800</v>
      </c>
      <c r="B352" s="41" t="s">
        <v>703</v>
      </c>
      <c r="C352" s="41" t="s">
        <v>193</v>
      </c>
      <c r="D352" s="42" t="str">
        <f aca="false">INDEX('Page và Ngách'!$B$5:$B$10,MATCH(C352,'Page và Ngách'!$A$5:$A$10,0))</f>
        <v>Second chance / Secret baby</v>
      </c>
      <c r="E352" s="41" t="n">
        <v>8</v>
      </c>
      <c r="F352" s="43" t="n">
        <f aca="false">'Cài đặt'!$B$38+E352-1</f>
        <v>46363</v>
      </c>
      <c r="G352" s="41" t="s">
        <v>451</v>
      </c>
      <c r="H352" s="44" t="str">
        <f aca="false">IF(G352="S1",'Cài đặt'!$B$7,'Cài đặt'!$B$8)</f>
        <v>20:00</v>
      </c>
      <c r="I352" s="44" t="str">
        <f aca="false">'Cài đặt'!$B$32</f>
        <v>Carousel</v>
      </c>
      <c r="J352" s="41" t="s">
        <v>132</v>
      </c>
      <c r="K352" s="41" t="s">
        <v>445</v>
      </c>
      <c r="L352" s="42" t="str">
        <f aca="false">C352&amp;"_"&amp;B352&amp;"_"&amp;IF(I352="Reel","R",IF(I352="Carousel","C","I"))&amp;"_"&amp;J352&amp;"_"&amp;IF(K352="AI tự động","AI","HU")&amp;"_"&amp;RIGHT(A352,3)</f>
        <v>P6_EXP2_C_A_AI_016</v>
      </c>
      <c r="M352" s="45"/>
      <c r="N352" s="45"/>
      <c r="O352" s="46"/>
      <c r="P352" s="46"/>
      <c r="Q352" s="46"/>
      <c r="R352" s="47"/>
      <c r="S352" s="45"/>
      <c r="T352" s="45"/>
      <c r="U352" s="48" t="str">
        <f aca="false">IF(O352&gt;0,P352/O352,"")</f>
        <v/>
      </c>
      <c r="V352" s="49" t="str">
        <f aca="false">IF(P352&gt;0,Q352/P352,"")</f>
        <v/>
      </c>
      <c r="W352" s="50" t="n">
        <f aca="false">IF(R352&lt;&gt;"",R352,Q352*'Cài đặt'!$B$12)</f>
        <v>0</v>
      </c>
      <c r="X352" s="50" t="str">
        <f aca="false">IF(O352&gt;0,W352/O352*1000,"")</f>
        <v/>
      </c>
      <c r="Y352" s="51" t="n">
        <f aca="false">IF(T352&lt;&gt;"",T352,INDEX('Cài đặt'!$B$20:$C$22,MATCH(I352,'Cài đặt'!$A$20:$A$22,0),IF(K352="AI tự động",1,2)))</f>
        <v>4</v>
      </c>
    </row>
    <row r="353" customFormat="false" ht="15" hidden="false" customHeight="false" outlineLevel="0" collapsed="false">
      <c r="A353" s="41" t="s">
        <v>801</v>
      </c>
      <c r="B353" s="41" t="s">
        <v>703</v>
      </c>
      <c r="C353" s="41" t="s">
        <v>154</v>
      </c>
      <c r="D353" s="42" t="str">
        <f aca="false">INDEX('Page và Ngách'!$B$5:$B$10,MATCH(C353,'Page và Ngách'!$A$5:$A$10,0))</f>
        <v>Werewolf / Rejected mate</v>
      </c>
      <c r="E353" s="41" t="n">
        <v>9</v>
      </c>
      <c r="F353" s="43" t="n">
        <f aca="false">'Cài đặt'!$B$38+E353-1</f>
        <v>46364</v>
      </c>
      <c r="G353" s="41" t="s">
        <v>444</v>
      </c>
      <c r="H353" s="44" t="str">
        <f aca="false">IF(G353="S1",'Cài đặt'!$B$7,'Cài đặt'!$B$8)</f>
        <v>12:00</v>
      </c>
      <c r="I353" s="44" t="str">
        <f aca="false">'Cài đặt'!$B$32</f>
        <v>Carousel</v>
      </c>
      <c r="J353" s="41" t="s">
        <v>706</v>
      </c>
      <c r="K353" s="41" t="s">
        <v>445</v>
      </c>
      <c r="L353" s="42" t="str">
        <f aca="false">C353&amp;"_"&amp;B353&amp;"_"&amp;IF(I353="Reel","R",IF(I353="Carousel","C","I"))&amp;"_"&amp;J353&amp;"_"&amp;IF(K353="AI tự động","AI","HU")&amp;"_"&amp;RIGHT(A353,3)</f>
        <v>P1_EXP2_C_C_AI_017</v>
      </c>
      <c r="M353" s="45"/>
      <c r="N353" s="45"/>
      <c r="O353" s="46"/>
      <c r="P353" s="46"/>
      <c r="Q353" s="46"/>
      <c r="R353" s="47"/>
      <c r="S353" s="45"/>
      <c r="T353" s="45"/>
      <c r="U353" s="48" t="str">
        <f aca="false">IF(O353&gt;0,P353/O353,"")</f>
        <v/>
      </c>
      <c r="V353" s="49" t="str">
        <f aca="false">IF(P353&gt;0,Q353/P353,"")</f>
        <v/>
      </c>
      <c r="W353" s="50" t="n">
        <f aca="false">IF(R353&lt;&gt;"",R353,Q353*'Cài đặt'!$B$12)</f>
        <v>0</v>
      </c>
      <c r="X353" s="50" t="str">
        <f aca="false">IF(O353&gt;0,W353/O353*1000,"")</f>
        <v/>
      </c>
      <c r="Y353" s="51" t="n">
        <f aca="false">IF(T353&lt;&gt;"",T353,INDEX('Cài đặt'!$B$20:$C$22,MATCH(I353,'Cài đặt'!$A$20:$A$22,0),IF(K353="AI tự động",1,2)))</f>
        <v>4</v>
      </c>
    </row>
    <row r="354" customFormat="false" ht="15" hidden="false" customHeight="false" outlineLevel="0" collapsed="false">
      <c r="A354" s="41" t="s">
        <v>802</v>
      </c>
      <c r="B354" s="41" t="s">
        <v>703</v>
      </c>
      <c r="C354" s="41" t="s">
        <v>154</v>
      </c>
      <c r="D354" s="42" t="str">
        <f aca="false">INDEX('Page và Ngách'!$B$5:$B$10,MATCH(C354,'Page và Ngách'!$A$5:$A$10,0))</f>
        <v>Werewolf / Rejected mate</v>
      </c>
      <c r="E354" s="41" t="n">
        <v>9</v>
      </c>
      <c r="F354" s="43" t="n">
        <f aca="false">'Cài đặt'!$B$38+E354-1</f>
        <v>46364</v>
      </c>
      <c r="G354" s="41" t="s">
        <v>451</v>
      </c>
      <c r="H354" s="44" t="str">
        <f aca="false">IF(G354="S1",'Cài đặt'!$B$7,'Cài đặt'!$B$8)</f>
        <v>20:00</v>
      </c>
      <c r="I354" s="44" t="str">
        <f aca="false">'Cài đặt'!$B$32</f>
        <v>Carousel</v>
      </c>
      <c r="J354" s="41" t="s">
        <v>132</v>
      </c>
      <c r="K354" s="41" t="s">
        <v>445</v>
      </c>
      <c r="L354" s="42" t="str">
        <f aca="false">C354&amp;"_"&amp;B354&amp;"_"&amp;IF(I354="Reel","R",IF(I354="Carousel","C","I"))&amp;"_"&amp;J354&amp;"_"&amp;IF(K354="AI tự động","AI","HU")&amp;"_"&amp;RIGHT(A354,3)</f>
        <v>P1_EXP2_C_A_AI_018</v>
      </c>
      <c r="M354" s="45"/>
      <c r="N354" s="45"/>
      <c r="O354" s="46"/>
      <c r="P354" s="46"/>
      <c r="Q354" s="46"/>
      <c r="R354" s="47"/>
      <c r="S354" s="45"/>
      <c r="T354" s="45"/>
      <c r="U354" s="48" t="str">
        <f aca="false">IF(O354&gt;0,P354/O354,"")</f>
        <v/>
      </c>
      <c r="V354" s="49" t="str">
        <f aca="false">IF(P354&gt;0,Q354/P354,"")</f>
        <v/>
      </c>
      <c r="W354" s="50" t="n">
        <f aca="false">IF(R354&lt;&gt;"",R354,Q354*'Cài đặt'!$B$12)</f>
        <v>0</v>
      </c>
      <c r="X354" s="50" t="str">
        <f aca="false">IF(O354&gt;0,W354/O354*1000,"")</f>
        <v/>
      </c>
      <c r="Y354" s="51" t="n">
        <f aca="false">IF(T354&lt;&gt;"",T354,INDEX('Cài đặt'!$B$20:$C$22,MATCH(I354,'Cài đặt'!$A$20:$A$22,0),IF(K354="AI tự động",1,2)))</f>
        <v>4</v>
      </c>
    </row>
    <row r="355" customFormat="false" ht="15" hidden="false" customHeight="false" outlineLevel="0" collapsed="false">
      <c r="A355" s="41" t="s">
        <v>803</v>
      </c>
      <c r="B355" s="41" t="s">
        <v>703</v>
      </c>
      <c r="C355" s="41" t="s">
        <v>163</v>
      </c>
      <c r="D355" s="42" t="str">
        <f aca="false">INDEX('Page và Ngách'!$B$5:$B$10,MATCH(C355,'Page và Ngách'!$A$5:$A$10,0))</f>
        <v>Secret billionaire / CEO</v>
      </c>
      <c r="E355" s="41" t="n">
        <v>9</v>
      </c>
      <c r="F355" s="43" t="n">
        <f aca="false">'Cài đặt'!$B$38+E355-1</f>
        <v>46364</v>
      </c>
      <c r="G355" s="41" t="s">
        <v>444</v>
      </c>
      <c r="H355" s="44" t="str">
        <f aca="false">IF(G355="S1",'Cài đặt'!$B$7,'Cài đặt'!$B$8)</f>
        <v>12:00</v>
      </c>
      <c r="I355" s="44" t="str">
        <f aca="false">'Cài đặt'!$B$32</f>
        <v>Carousel</v>
      </c>
      <c r="J355" s="41" t="s">
        <v>132</v>
      </c>
      <c r="K355" s="41" t="s">
        <v>445</v>
      </c>
      <c r="L355" s="42" t="str">
        <f aca="false">C355&amp;"_"&amp;B355&amp;"_"&amp;IF(I355="Reel","R",IF(I355="Carousel","C","I"))&amp;"_"&amp;J355&amp;"_"&amp;IF(K355="AI tự động","AI","HU")&amp;"_"&amp;RIGHT(A355,3)</f>
        <v>P2_EXP2_C_A_AI_017</v>
      </c>
      <c r="M355" s="45"/>
      <c r="N355" s="45"/>
      <c r="O355" s="46"/>
      <c r="P355" s="46"/>
      <c r="Q355" s="46"/>
      <c r="R355" s="47"/>
      <c r="S355" s="45"/>
      <c r="T355" s="45"/>
      <c r="U355" s="48" t="str">
        <f aca="false">IF(O355&gt;0,P355/O355,"")</f>
        <v/>
      </c>
      <c r="V355" s="49" t="str">
        <f aca="false">IF(P355&gt;0,Q355/P355,"")</f>
        <v/>
      </c>
      <c r="W355" s="50" t="n">
        <f aca="false">IF(R355&lt;&gt;"",R355,Q355*'Cài đặt'!$B$12)</f>
        <v>0</v>
      </c>
      <c r="X355" s="50" t="str">
        <f aca="false">IF(O355&gt;0,W355/O355*1000,"")</f>
        <v/>
      </c>
      <c r="Y355" s="51" t="n">
        <f aca="false">IF(T355&lt;&gt;"",T355,INDEX('Cài đặt'!$B$20:$C$22,MATCH(I355,'Cài đặt'!$A$20:$A$22,0),IF(K355="AI tự động",1,2)))</f>
        <v>4</v>
      </c>
    </row>
    <row r="356" customFormat="false" ht="15" hidden="false" customHeight="false" outlineLevel="0" collapsed="false">
      <c r="A356" s="41" t="s">
        <v>804</v>
      </c>
      <c r="B356" s="41" t="s">
        <v>703</v>
      </c>
      <c r="C356" s="41" t="s">
        <v>163</v>
      </c>
      <c r="D356" s="42" t="str">
        <f aca="false">INDEX('Page và Ngách'!$B$5:$B$10,MATCH(C356,'Page và Ngách'!$A$5:$A$10,0))</f>
        <v>Secret billionaire / CEO</v>
      </c>
      <c r="E356" s="41" t="n">
        <v>9</v>
      </c>
      <c r="F356" s="43" t="n">
        <f aca="false">'Cài đặt'!$B$38+E356-1</f>
        <v>46364</v>
      </c>
      <c r="G356" s="41" t="s">
        <v>451</v>
      </c>
      <c r="H356" s="44" t="str">
        <f aca="false">IF(G356="S1",'Cài đặt'!$B$7,'Cài đặt'!$B$8)</f>
        <v>20:00</v>
      </c>
      <c r="I356" s="44" t="str">
        <f aca="false">'Cài đặt'!$B$32</f>
        <v>Carousel</v>
      </c>
      <c r="J356" s="41" t="s">
        <v>704</v>
      </c>
      <c r="K356" s="41" t="s">
        <v>445</v>
      </c>
      <c r="L356" s="42" t="str">
        <f aca="false">C356&amp;"_"&amp;B356&amp;"_"&amp;IF(I356="Reel","R",IF(I356="Carousel","C","I"))&amp;"_"&amp;J356&amp;"_"&amp;IF(K356="AI tự động","AI","HU")&amp;"_"&amp;RIGHT(A356,3)</f>
        <v>P2_EXP2_C_B_AI_018</v>
      </c>
      <c r="M356" s="45"/>
      <c r="N356" s="45"/>
      <c r="O356" s="46"/>
      <c r="P356" s="46"/>
      <c r="Q356" s="46"/>
      <c r="R356" s="47"/>
      <c r="S356" s="45"/>
      <c r="T356" s="45"/>
      <c r="U356" s="48" t="str">
        <f aca="false">IF(O356&gt;0,P356/O356,"")</f>
        <v/>
      </c>
      <c r="V356" s="49" t="str">
        <f aca="false">IF(P356&gt;0,Q356/P356,"")</f>
        <v/>
      </c>
      <c r="W356" s="50" t="n">
        <f aca="false">IF(R356&lt;&gt;"",R356,Q356*'Cài đặt'!$B$12)</f>
        <v>0</v>
      </c>
      <c r="X356" s="50" t="str">
        <f aca="false">IF(O356&gt;0,W356/O356*1000,"")</f>
        <v/>
      </c>
      <c r="Y356" s="51" t="n">
        <f aca="false">IF(T356&lt;&gt;"",T356,INDEX('Cài đặt'!$B$20:$C$22,MATCH(I356,'Cài đặt'!$A$20:$A$22,0),IF(K356="AI tự động",1,2)))</f>
        <v>4</v>
      </c>
    </row>
    <row r="357" customFormat="false" ht="15" hidden="false" customHeight="false" outlineLevel="0" collapsed="false">
      <c r="A357" s="41" t="s">
        <v>805</v>
      </c>
      <c r="B357" s="41" t="s">
        <v>703</v>
      </c>
      <c r="C357" s="41" t="s">
        <v>171</v>
      </c>
      <c r="D357" s="42" t="str">
        <f aca="false">INDEX('Page và Ngách'!$B$5:$B$10,MATCH(C357,'Page và Ngách'!$A$5:$A$10,0))</f>
        <v>Contract marriage / Fake relationship</v>
      </c>
      <c r="E357" s="41" t="n">
        <v>9</v>
      </c>
      <c r="F357" s="43" t="n">
        <f aca="false">'Cài đặt'!$B$38+E357-1</f>
        <v>46364</v>
      </c>
      <c r="G357" s="41" t="s">
        <v>444</v>
      </c>
      <c r="H357" s="44" t="str">
        <f aca="false">IF(G357="S1",'Cài đặt'!$B$7,'Cài đặt'!$B$8)</f>
        <v>12:00</v>
      </c>
      <c r="I357" s="44" t="str">
        <f aca="false">'Cài đặt'!$B$32</f>
        <v>Carousel</v>
      </c>
      <c r="J357" s="41" t="s">
        <v>704</v>
      </c>
      <c r="K357" s="41" t="s">
        <v>445</v>
      </c>
      <c r="L357" s="42" t="str">
        <f aca="false">C357&amp;"_"&amp;B357&amp;"_"&amp;IF(I357="Reel","R",IF(I357="Carousel","C","I"))&amp;"_"&amp;J357&amp;"_"&amp;IF(K357="AI tự động","AI","HU")&amp;"_"&amp;RIGHT(A357,3)</f>
        <v>P3_EXP2_C_B_AI_017</v>
      </c>
      <c r="M357" s="45"/>
      <c r="N357" s="45"/>
      <c r="O357" s="46"/>
      <c r="P357" s="46"/>
      <c r="Q357" s="46"/>
      <c r="R357" s="47"/>
      <c r="S357" s="45"/>
      <c r="T357" s="45"/>
      <c r="U357" s="48" t="str">
        <f aca="false">IF(O357&gt;0,P357/O357,"")</f>
        <v/>
      </c>
      <c r="V357" s="49" t="str">
        <f aca="false">IF(P357&gt;0,Q357/P357,"")</f>
        <v/>
      </c>
      <c r="W357" s="50" t="n">
        <f aca="false">IF(R357&lt;&gt;"",R357,Q357*'Cài đặt'!$B$12)</f>
        <v>0</v>
      </c>
      <c r="X357" s="50" t="str">
        <f aca="false">IF(O357&gt;0,W357/O357*1000,"")</f>
        <v/>
      </c>
      <c r="Y357" s="51" t="n">
        <f aca="false">IF(T357&lt;&gt;"",T357,INDEX('Cài đặt'!$B$20:$C$22,MATCH(I357,'Cài đặt'!$A$20:$A$22,0),IF(K357="AI tự động",1,2)))</f>
        <v>4</v>
      </c>
    </row>
    <row r="358" customFormat="false" ht="15" hidden="false" customHeight="false" outlineLevel="0" collapsed="false">
      <c r="A358" s="41" t="s">
        <v>806</v>
      </c>
      <c r="B358" s="41" t="s">
        <v>703</v>
      </c>
      <c r="C358" s="41" t="s">
        <v>171</v>
      </c>
      <c r="D358" s="42" t="str">
        <f aca="false">INDEX('Page và Ngách'!$B$5:$B$10,MATCH(C358,'Page và Ngách'!$A$5:$A$10,0))</f>
        <v>Contract marriage / Fake relationship</v>
      </c>
      <c r="E358" s="41" t="n">
        <v>9</v>
      </c>
      <c r="F358" s="43" t="n">
        <f aca="false">'Cài đặt'!$B$38+E358-1</f>
        <v>46364</v>
      </c>
      <c r="G358" s="41" t="s">
        <v>451</v>
      </c>
      <c r="H358" s="44" t="str">
        <f aca="false">IF(G358="S1",'Cài đặt'!$B$7,'Cài đặt'!$B$8)</f>
        <v>20:00</v>
      </c>
      <c r="I358" s="44" t="str">
        <f aca="false">'Cài đặt'!$B$32</f>
        <v>Carousel</v>
      </c>
      <c r="J358" s="41" t="s">
        <v>706</v>
      </c>
      <c r="K358" s="41" t="s">
        <v>445</v>
      </c>
      <c r="L358" s="42" t="str">
        <f aca="false">C358&amp;"_"&amp;B358&amp;"_"&amp;IF(I358="Reel","R",IF(I358="Carousel","C","I"))&amp;"_"&amp;J358&amp;"_"&amp;IF(K358="AI tự động","AI","HU")&amp;"_"&amp;RIGHT(A358,3)</f>
        <v>P3_EXP2_C_C_AI_018</v>
      </c>
      <c r="M358" s="45"/>
      <c r="N358" s="45"/>
      <c r="O358" s="46"/>
      <c r="P358" s="46"/>
      <c r="Q358" s="46"/>
      <c r="R358" s="47"/>
      <c r="S358" s="45"/>
      <c r="T358" s="45"/>
      <c r="U358" s="48" t="str">
        <f aca="false">IF(O358&gt;0,P358/O358,"")</f>
        <v/>
      </c>
      <c r="V358" s="49" t="str">
        <f aca="false">IF(P358&gt;0,Q358/P358,"")</f>
        <v/>
      </c>
      <c r="W358" s="50" t="n">
        <f aca="false">IF(R358&lt;&gt;"",R358,Q358*'Cài đặt'!$B$12)</f>
        <v>0</v>
      </c>
      <c r="X358" s="50" t="str">
        <f aca="false">IF(O358&gt;0,W358/O358*1000,"")</f>
        <v/>
      </c>
      <c r="Y358" s="51" t="n">
        <f aca="false">IF(T358&lt;&gt;"",T358,INDEX('Cài đặt'!$B$20:$C$22,MATCH(I358,'Cài đặt'!$A$20:$A$22,0),IF(K358="AI tự động",1,2)))</f>
        <v>4</v>
      </c>
    </row>
    <row r="359" customFormat="false" ht="15" hidden="false" customHeight="false" outlineLevel="0" collapsed="false">
      <c r="A359" s="41" t="s">
        <v>807</v>
      </c>
      <c r="B359" s="41" t="s">
        <v>703</v>
      </c>
      <c r="C359" s="41" t="s">
        <v>178</v>
      </c>
      <c r="D359" s="42" t="str">
        <f aca="false">INDEX('Page và Ngách'!$B$5:$B$10,MATCH(C359,'Page và Ngách'!$A$5:$A$10,0))</f>
        <v>Revenge / Betrayal ("you'll regret it")</v>
      </c>
      <c r="E359" s="41" t="n">
        <v>9</v>
      </c>
      <c r="F359" s="43" t="n">
        <f aca="false">'Cài đặt'!$B$38+E359-1</f>
        <v>46364</v>
      </c>
      <c r="G359" s="41" t="s">
        <v>444</v>
      </c>
      <c r="H359" s="44" t="str">
        <f aca="false">IF(G359="S1",'Cài đặt'!$B$7,'Cài đặt'!$B$8)</f>
        <v>12:00</v>
      </c>
      <c r="I359" s="44" t="str">
        <f aca="false">'Cài đặt'!$B$32</f>
        <v>Carousel</v>
      </c>
      <c r="J359" s="41" t="s">
        <v>706</v>
      </c>
      <c r="K359" s="41" t="s">
        <v>445</v>
      </c>
      <c r="L359" s="42" t="str">
        <f aca="false">C359&amp;"_"&amp;B359&amp;"_"&amp;IF(I359="Reel","R",IF(I359="Carousel","C","I"))&amp;"_"&amp;J359&amp;"_"&amp;IF(K359="AI tự động","AI","HU")&amp;"_"&amp;RIGHT(A359,3)</f>
        <v>P4_EXP2_C_C_AI_017</v>
      </c>
      <c r="M359" s="45"/>
      <c r="N359" s="45"/>
      <c r="O359" s="46"/>
      <c r="P359" s="46"/>
      <c r="Q359" s="46"/>
      <c r="R359" s="47"/>
      <c r="S359" s="45"/>
      <c r="T359" s="45"/>
      <c r="U359" s="48" t="str">
        <f aca="false">IF(O359&gt;0,P359/O359,"")</f>
        <v/>
      </c>
      <c r="V359" s="49" t="str">
        <f aca="false">IF(P359&gt;0,Q359/P359,"")</f>
        <v/>
      </c>
      <c r="W359" s="50" t="n">
        <f aca="false">IF(R359&lt;&gt;"",R359,Q359*'Cài đặt'!$B$12)</f>
        <v>0</v>
      </c>
      <c r="X359" s="50" t="str">
        <f aca="false">IF(O359&gt;0,W359/O359*1000,"")</f>
        <v/>
      </c>
      <c r="Y359" s="51" t="n">
        <f aca="false">IF(T359&lt;&gt;"",T359,INDEX('Cài đặt'!$B$20:$C$22,MATCH(I359,'Cài đặt'!$A$20:$A$22,0),IF(K359="AI tự động",1,2)))</f>
        <v>4</v>
      </c>
    </row>
    <row r="360" customFormat="false" ht="15" hidden="false" customHeight="false" outlineLevel="0" collapsed="false">
      <c r="A360" s="41" t="s">
        <v>808</v>
      </c>
      <c r="B360" s="41" t="s">
        <v>703</v>
      </c>
      <c r="C360" s="41" t="s">
        <v>178</v>
      </c>
      <c r="D360" s="42" t="str">
        <f aca="false">INDEX('Page và Ngách'!$B$5:$B$10,MATCH(C360,'Page và Ngách'!$A$5:$A$10,0))</f>
        <v>Revenge / Betrayal ("you'll regret it")</v>
      </c>
      <c r="E360" s="41" t="n">
        <v>9</v>
      </c>
      <c r="F360" s="43" t="n">
        <f aca="false">'Cài đặt'!$B$38+E360-1</f>
        <v>46364</v>
      </c>
      <c r="G360" s="41" t="s">
        <v>451</v>
      </c>
      <c r="H360" s="44" t="str">
        <f aca="false">IF(G360="S1",'Cài đặt'!$B$7,'Cài đặt'!$B$8)</f>
        <v>20:00</v>
      </c>
      <c r="I360" s="44" t="str">
        <f aca="false">'Cài đặt'!$B$32</f>
        <v>Carousel</v>
      </c>
      <c r="J360" s="41" t="s">
        <v>132</v>
      </c>
      <c r="K360" s="41" t="s">
        <v>445</v>
      </c>
      <c r="L360" s="42" t="str">
        <f aca="false">C360&amp;"_"&amp;B360&amp;"_"&amp;IF(I360="Reel","R",IF(I360="Carousel","C","I"))&amp;"_"&amp;J360&amp;"_"&amp;IF(K360="AI tự động","AI","HU")&amp;"_"&amp;RIGHT(A360,3)</f>
        <v>P4_EXP2_C_A_AI_018</v>
      </c>
      <c r="M360" s="45"/>
      <c r="N360" s="45"/>
      <c r="O360" s="46"/>
      <c r="P360" s="46"/>
      <c r="Q360" s="46"/>
      <c r="R360" s="47"/>
      <c r="S360" s="45"/>
      <c r="T360" s="45"/>
      <c r="U360" s="48" t="str">
        <f aca="false">IF(O360&gt;0,P360/O360,"")</f>
        <v/>
      </c>
      <c r="V360" s="49" t="str">
        <f aca="false">IF(P360&gt;0,Q360/P360,"")</f>
        <v/>
      </c>
      <c r="W360" s="50" t="n">
        <f aca="false">IF(R360&lt;&gt;"",R360,Q360*'Cài đặt'!$B$12)</f>
        <v>0</v>
      </c>
      <c r="X360" s="50" t="str">
        <f aca="false">IF(O360&gt;0,W360/O360*1000,"")</f>
        <v/>
      </c>
      <c r="Y360" s="51" t="n">
        <f aca="false">IF(T360&lt;&gt;"",T360,INDEX('Cài đặt'!$B$20:$C$22,MATCH(I360,'Cài đặt'!$A$20:$A$22,0),IF(K360="AI tự động",1,2)))</f>
        <v>4</v>
      </c>
    </row>
    <row r="361" customFormat="false" ht="15" hidden="false" customHeight="false" outlineLevel="0" collapsed="false">
      <c r="A361" s="41" t="s">
        <v>809</v>
      </c>
      <c r="B361" s="41" t="s">
        <v>703</v>
      </c>
      <c r="C361" s="41" t="s">
        <v>185</v>
      </c>
      <c r="D361" s="42" t="str">
        <f aca="false">INDEX('Page và Ngách'!$B$5:$B$10,MATCH(C361,'Page và Ngách'!$A$5:$A$10,0))</f>
        <v>Mafia / Dark romance (teaser PG-13)</v>
      </c>
      <c r="E361" s="41" t="n">
        <v>9</v>
      </c>
      <c r="F361" s="43" t="n">
        <f aca="false">'Cài đặt'!$B$38+E361-1</f>
        <v>46364</v>
      </c>
      <c r="G361" s="41" t="s">
        <v>444</v>
      </c>
      <c r="H361" s="44" t="str">
        <f aca="false">IF(G361="S1",'Cài đặt'!$B$7,'Cài đặt'!$B$8)</f>
        <v>12:00</v>
      </c>
      <c r="I361" s="44" t="str">
        <f aca="false">'Cài đặt'!$B$32</f>
        <v>Carousel</v>
      </c>
      <c r="J361" s="41" t="s">
        <v>132</v>
      </c>
      <c r="K361" s="41" t="s">
        <v>445</v>
      </c>
      <c r="L361" s="42" t="str">
        <f aca="false">C361&amp;"_"&amp;B361&amp;"_"&amp;IF(I361="Reel","R",IF(I361="Carousel","C","I"))&amp;"_"&amp;J361&amp;"_"&amp;IF(K361="AI tự động","AI","HU")&amp;"_"&amp;RIGHT(A361,3)</f>
        <v>P5_EXP2_C_A_AI_017</v>
      </c>
      <c r="M361" s="45"/>
      <c r="N361" s="45"/>
      <c r="O361" s="46"/>
      <c r="P361" s="46"/>
      <c r="Q361" s="46"/>
      <c r="R361" s="47"/>
      <c r="S361" s="45"/>
      <c r="T361" s="45"/>
      <c r="U361" s="48" t="str">
        <f aca="false">IF(O361&gt;0,P361/O361,"")</f>
        <v/>
      </c>
      <c r="V361" s="49" t="str">
        <f aca="false">IF(P361&gt;0,Q361/P361,"")</f>
        <v/>
      </c>
      <c r="W361" s="50" t="n">
        <f aca="false">IF(R361&lt;&gt;"",R361,Q361*'Cài đặt'!$B$12)</f>
        <v>0</v>
      </c>
      <c r="X361" s="50" t="str">
        <f aca="false">IF(O361&gt;0,W361/O361*1000,"")</f>
        <v/>
      </c>
      <c r="Y361" s="51" t="n">
        <f aca="false">IF(T361&lt;&gt;"",T361,INDEX('Cài đặt'!$B$20:$C$22,MATCH(I361,'Cài đặt'!$A$20:$A$22,0),IF(K361="AI tự động",1,2)))</f>
        <v>4</v>
      </c>
    </row>
    <row r="362" customFormat="false" ht="15" hidden="false" customHeight="false" outlineLevel="0" collapsed="false">
      <c r="A362" s="41" t="s">
        <v>810</v>
      </c>
      <c r="B362" s="41" t="s">
        <v>703</v>
      </c>
      <c r="C362" s="41" t="s">
        <v>185</v>
      </c>
      <c r="D362" s="42" t="str">
        <f aca="false">INDEX('Page và Ngách'!$B$5:$B$10,MATCH(C362,'Page và Ngách'!$A$5:$A$10,0))</f>
        <v>Mafia / Dark romance (teaser PG-13)</v>
      </c>
      <c r="E362" s="41" t="n">
        <v>9</v>
      </c>
      <c r="F362" s="43" t="n">
        <f aca="false">'Cài đặt'!$B$38+E362-1</f>
        <v>46364</v>
      </c>
      <c r="G362" s="41" t="s">
        <v>451</v>
      </c>
      <c r="H362" s="44" t="str">
        <f aca="false">IF(G362="S1",'Cài đặt'!$B$7,'Cài đặt'!$B$8)</f>
        <v>20:00</v>
      </c>
      <c r="I362" s="44" t="str">
        <f aca="false">'Cài đặt'!$B$32</f>
        <v>Carousel</v>
      </c>
      <c r="J362" s="41" t="s">
        <v>704</v>
      </c>
      <c r="K362" s="41" t="s">
        <v>445</v>
      </c>
      <c r="L362" s="42" t="str">
        <f aca="false">C362&amp;"_"&amp;B362&amp;"_"&amp;IF(I362="Reel","R",IF(I362="Carousel","C","I"))&amp;"_"&amp;J362&amp;"_"&amp;IF(K362="AI tự động","AI","HU")&amp;"_"&amp;RIGHT(A362,3)</f>
        <v>P5_EXP2_C_B_AI_018</v>
      </c>
      <c r="M362" s="45"/>
      <c r="N362" s="45"/>
      <c r="O362" s="46"/>
      <c r="P362" s="46"/>
      <c r="Q362" s="46"/>
      <c r="R362" s="47"/>
      <c r="S362" s="45"/>
      <c r="T362" s="45"/>
      <c r="U362" s="48" t="str">
        <f aca="false">IF(O362&gt;0,P362/O362,"")</f>
        <v/>
      </c>
      <c r="V362" s="49" t="str">
        <f aca="false">IF(P362&gt;0,Q362/P362,"")</f>
        <v/>
      </c>
      <c r="W362" s="50" t="n">
        <f aca="false">IF(R362&lt;&gt;"",R362,Q362*'Cài đặt'!$B$12)</f>
        <v>0</v>
      </c>
      <c r="X362" s="50" t="str">
        <f aca="false">IF(O362&gt;0,W362/O362*1000,"")</f>
        <v/>
      </c>
      <c r="Y362" s="51" t="n">
        <f aca="false">IF(T362&lt;&gt;"",T362,INDEX('Cài đặt'!$B$20:$C$22,MATCH(I362,'Cài đặt'!$A$20:$A$22,0),IF(K362="AI tự động",1,2)))</f>
        <v>4</v>
      </c>
    </row>
    <row r="363" customFormat="false" ht="15" hidden="false" customHeight="false" outlineLevel="0" collapsed="false">
      <c r="A363" s="41" t="s">
        <v>811</v>
      </c>
      <c r="B363" s="41" t="s">
        <v>703</v>
      </c>
      <c r="C363" s="41" t="s">
        <v>193</v>
      </c>
      <c r="D363" s="42" t="str">
        <f aca="false">INDEX('Page và Ngách'!$B$5:$B$10,MATCH(C363,'Page và Ngách'!$A$5:$A$10,0))</f>
        <v>Second chance / Secret baby</v>
      </c>
      <c r="E363" s="41" t="n">
        <v>9</v>
      </c>
      <c r="F363" s="43" t="n">
        <f aca="false">'Cài đặt'!$B$38+E363-1</f>
        <v>46364</v>
      </c>
      <c r="G363" s="41" t="s">
        <v>444</v>
      </c>
      <c r="H363" s="44" t="str">
        <f aca="false">IF(G363="S1",'Cài đặt'!$B$7,'Cài đặt'!$B$8)</f>
        <v>12:00</v>
      </c>
      <c r="I363" s="44" t="str">
        <f aca="false">'Cài đặt'!$B$32</f>
        <v>Carousel</v>
      </c>
      <c r="J363" s="41" t="s">
        <v>704</v>
      </c>
      <c r="K363" s="41" t="s">
        <v>445</v>
      </c>
      <c r="L363" s="42" t="str">
        <f aca="false">C363&amp;"_"&amp;B363&amp;"_"&amp;IF(I363="Reel","R",IF(I363="Carousel","C","I"))&amp;"_"&amp;J363&amp;"_"&amp;IF(K363="AI tự động","AI","HU")&amp;"_"&amp;RIGHT(A363,3)</f>
        <v>P6_EXP2_C_B_AI_017</v>
      </c>
      <c r="M363" s="45"/>
      <c r="N363" s="45"/>
      <c r="O363" s="46"/>
      <c r="P363" s="46"/>
      <c r="Q363" s="46"/>
      <c r="R363" s="47"/>
      <c r="S363" s="45"/>
      <c r="T363" s="45"/>
      <c r="U363" s="48" t="str">
        <f aca="false">IF(O363&gt;0,P363/O363,"")</f>
        <v/>
      </c>
      <c r="V363" s="49" t="str">
        <f aca="false">IF(P363&gt;0,Q363/P363,"")</f>
        <v/>
      </c>
      <c r="W363" s="50" t="n">
        <f aca="false">IF(R363&lt;&gt;"",R363,Q363*'Cài đặt'!$B$12)</f>
        <v>0</v>
      </c>
      <c r="X363" s="50" t="str">
        <f aca="false">IF(O363&gt;0,W363/O363*1000,"")</f>
        <v/>
      </c>
      <c r="Y363" s="51" t="n">
        <f aca="false">IF(T363&lt;&gt;"",T363,INDEX('Cài đặt'!$B$20:$C$22,MATCH(I363,'Cài đặt'!$A$20:$A$22,0),IF(K363="AI tự động",1,2)))</f>
        <v>4</v>
      </c>
    </row>
    <row r="364" customFormat="false" ht="15" hidden="false" customHeight="false" outlineLevel="0" collapsed="false">
      <c r="A364" s="41" t="s">
        <v>812</v>
      </c>
      <c r="B364" s="41" t="s">
        <v>703</v>
      </c>
      <c r="C364" s="41" t="s">
        <v>193</v>
      </c>
      <c r="D364" s="42" t="str">
        <f aca="false">INDEX('Page và Ngách'!$B$5:$B$10,MATCH(C364,'Page và Ngách'!$A$5:$A$10,0))</f>
        <v>Second chance / Secret baby</v>
      </c>
      <c r="E364" s="41" t="n">
        <v>9</v>
      </c>
      <c r="F364" s="43" t="n">
        <f aca="false">'Cài đặt'!$B$38+E364-1</f>
        <v>46364</v>
      </c>
      <c r="G364" s="41" t="s">
        <v>451</v>
      </c>
      <c r="H364" s="44" t="str">
        <f aca="false">IF(G364="S1",'Cài đặt'!$B$7,'Cài đặt'!$B$8)</f>
        <v>20:00</v>
      </c>
      <c r="I364" s="44" t="str">
        <f aca="false">'Cài đặt'!$B$32</f>
        <v>Carousel</v>
      </c>
      <c r="J364" s="41" t="s">
        <v>706</v>
      </c>
      <c r="K364" s="41" t="s">
        <v>445</v>
      </c>
      <c r="L364" s="42" t="str">
        <f aca="false">C364&amp;"_"&amp;B364&amp;"_"&amp;IF(I364="Reel","R",IF(I364="Carousel","C","I"))&amp;"_"&amp;J364&amp;"_"&amp;IF(K364="AI tự động","AI","HU")&amp;"_"&amp;RIGHT(A364,3)</f>
        <v>P6_EXP2_C_C_AI_018</v>
      </c>
      <c r="M364" s="45"/>
      <c r="N364" s="45"/>
      <c r="O364" s="46"/>
      <c r="P364" s="46"/>
      <c r="Q364" s="46"/>
      <c r="R364" s="47"/>
      <c r="S364" s="45"/>
      <c r="T364" s="45"/>
      <c r="U364" s="48" t="str">
        <f aca="false">IF(O364&gt;0,P364/O364,"")</f>
        <v/>
      </c>
      <c r="V364" s="49" t="str">
        <f aca="false">IF(P364&gt;0,Q364/P364,"")</f>
        <v/>
      </c>
      <c r="W364" s="50" t="n">
        <f aca="false">IF(R364&lt;&gt;"",R364,Q364*'Cài đặt'!$B$12)</f>
        <v>0</v>
      </c>
      <c r="X364" s="50" t="str">
        <f aca="false">IF(O364&gt;0,W364/O364*1000,"")</f>
        <v/>
      </c>
      <c r="Y364" s="51" t="n">
        <f aca="false">IF(T364&lt;&gt;"",T364,INDEX('Cài đặt'!$B$20:$C$22,MATCH(I364,'Cài đặt'!$A$20:$A$22,0),IF(K364="AI tự động",1,2)))</f>
        <v>4</v>
      </c>
    </row>
    <row r="365" customFormat="false" ht="15" hidden="false" customHeight="false" outlineLevel="0" collapsed="false">
      <c r="A365" s="41" t="s">
        <v>813</v>
      </c>
      <c r="B365" s="41" t="s">
        <v>703</v>
      </c>
      <c r="C365" s="41" t="s">
        <v>154</v>
      </c>
      <c r="D365" s="42" t="str">
        <f aca="false">INDEX('Page và Ngách'!$B$5:$B$10,MATCH(C365,'Page và Ngách'!$A$5:$A$10,0))</f>
        <v>Werewolf / Rejected mate</v>
      </c>
      <c r="E365" s="41" t="n">
        <v>10</v>
      </c>
      <c r="F365" s="43" t="n">
        <f aca="false">'Cài đặt'!$B$38+E365-1</f>
        <v>46365</v>
      </c>
      <c r="G365" s="41" t="s">
        <v>444</v>
      </c>
      <c r="H365" s="44" t="str">
        <f aca="false">IF(G365="S1",'Cài đặt'!$B$7,'Cài đặt'!$B$8)</f>
        <v>12:00</v>
      </c>
      <c r="I365" s="44" t="str">
        <f aca="false">'Cài đặt'!$B$32</f>
        <v>Carousel</v>
      </c>
      <c r="J365" s="41" t="s">
        <v>704</v>
      </c>
      <c r="K365" s="41" t="s">
        <v>445</v>
      </c>
      <c r="L365" s="42" t="str">
        <f aca="false">C365&amp;"_"&amp;B365&amp;"_"&amp;IF(I365="Reel","R",IF(I365="Carousel","C","I"))&amp;"_"&amp;J365&amp;"_"&amp;IF(K365="AI tự động","AI","HU")&amp;"_"&amp;RIGHT(A365,3)</f>
        <v>P1_EXP2_C_B_AI_019</v>
      </c>
      <c r="M365" s="45"/>
      <c r="N365" s="45"/>
      <c r="O365" s="46"/>
      <c r="P365" s="46"/>
      <c r="Q365" s="46"/>
      <c r="R365" s="47"/>
      <c r="S365" s="45"/>
      <c r="T365" s="45"/>
      <c r="U365" s="48" t="str">
        <f aca="false">IF(O365&gt;0,P365/O365,"")</f>
        <v/>
      </c>
      <c r="V365" s="49" t="str">
        <f aca="false">IF(P365&gt;0,Q365/P365,"")</f>
        <v/>
      </c>
      <c r="W365" s="50" t="n">
        <f aca="false">IF(R365&lt;&gt;"",R365,Q365*'Cài đặt'!$B$12)</f>
        <v>0</v>
      </c>
      <c r="X365" s="50" t="str">
        <f aca="false">IF(O365&gt;0,W365/O365*1000,"")</f>
        <v/>
      </c>
      <c r="Y365" s="51" t="n">
        <f aca="false">IF(T365&lt;&gt;"",T365,INDEX('Cài đặt'!$B$20:$C$22,MATCH(I365,'Cài đặt'!$A$20:$A$22,0),IF(K365="AI tự động",1,2)))</f>
        <v>4</v>
      </c>
    </row>
    <row r="366" customFormat="false" ht="15" hidden="false" customHeight="false" outlineLevel="0" collapsed="false">
      <c r="A366" s="41" t="s">
        <v>814</v>
      </c>
      <c r="B366" s="41" t="s">
        <v>703</v>
      </c>
      <c r="C366" s="41" t="s">
        <v>154</v>
      </c>
      <c r="D366" s="42" t="str">
        <f aca="false">INDEX('Page và Ngách'!$B$5:$B$10,MATCH(C366,'Page và Ngách'!$A$5:$A$10,0))</f>
        <v>Werewolf / Rejected mate</v>
      </c>
      <c r="E366" s="41" t="n">
        <v>10</v>
      </c>
      <c r="F366" s="43" t="n">
        <f aca="false">'Cài đặt'!$B$38+E366-1</f>
        <v>46365</v>
      </c>
      <c r="G366" s="41" t="s">
        <v>451</v>
      </c>
      <c r="H366" s="44" t="str">
        <f aca="false">IF(G366="S1",'Cài đặt'!$B$7,'Cài đặt'!$B$8)</f>
        <v>20:00</v>
      </c>
      <c r="I366" s="44" t="str">
        <f aca="false">'Cài đặt'!$B$32</f>
        <v>Carousel</v>
      </c>
      <c r="J366" s="41" t="s">
        <v>706</v>
      </c>
      <c r="K366" s="41" t="s">
        <v>445</v>
      </c>
      <c r="L366" s="42" t="str">
        <f aca="false">C366&amp;"_"&amp;B366&amp;"_"&amp;IF(I366="Reel","R",IF(I366="Carousel","C","I"))&amp;"_"&amp;J366&amp;"_"&amp;IF(K366="AI tự động","AI","HU")&amp;"_"&amp;RIGHT(A366,3)</f>
        <v>P1_EXP2_C_C_AI_020</v>
      </c>
      <c r="M366" s="45"/>
      <c r="N366" s="45"/>
      <c r="O366" s="46"/>
      <c r="P366" s="46"/>
      <c r="Q366" s="46"/>
      <c r="R366" s="47"/>
      <c r="S366" s="45"/>
      <c r="T366" s="45"/>
      <c r="U366" s="48" t="str">
        <f aca="false">IF(O366&gt;0,P366/O366,"")</f>
        <v/>
      </c>
      <c r="V366" s="49" t="str">
        <f aca="false">IF(P366&gt;0,Q366/P366,"")</f>
        <v/>
      </c>
      <c r="W366" s="50" t="n">
        <f aca="false">IF(R366&lt;&gt;"",R366,Q366*'Cài đặt'!$B$12)</f>
        <v>0</v>
      </c>
      <c r="X366" s="50" t="str">
        <f aca="false">IF(O366&gt;0,W366/O366*1000,"")</f>
        <v/>
      </c>
      <c r="Y366" s="51" t="n">
        <f aca="false">IF(T366&lt;&gt;"",T366,INDEX('Cài đặt'!$B$20:$C$22,MATCH(I366,'Cài đặt'!$A$20:$A$22,0),IF(K366="AI tự động",1,2)))</f>
        <v>4</v>
      </c>
    </row>
    <row r="367" customFormat="false" ht="15" hidden="false" customHeight="false" outlineLevel="0" collapsed="false">
      <c r="A367" s="41" t="s">
        <v>815</v>
      </c>
      <c r="B367" s="41" t="s">
        <v>703</v>
      </c>
      <c r="C367" s="41" t="s">
        <v>163</v>
      </c>
      <c r="D367" s="42" t="str">
        <f aca="false">INDEX('Page và Ngách'!$B$5:$B$10,MATCH(C367,'Page và Ngách'!$A$5:$A$10,0))</f>
        <v>Secret billionaire / CEO</v>
      </c>
      <c r="E367" s="41" t="n">
        <v>10</v>
      </c>
      <c r="F367" s="43" t="n">
        <f aca="false">'Cài đặt'!$B$38+E367-1</f>
        <v>46365</v>
      </c>
      <c r="G367" s="41" t="s">
        <v>444</v>
      </c>
      <c r="H367" s="44" t="str">
        <f aca="false">IF(G367="S1",'Cài đặt'!$B$7,'Cài đặt'!$B$8)</f>
        <v>12:00</v>
      </c>
      <c r="I367" s="44" t="str">
        <f aca="false">'Cài đặt'!$B$32</f>
        <v>Carousel</v>
      </c>
      <c r="J367" s="41" t="s">
        <v>706</v>
      </c>
      <c r="K367" s="41" t="s">
        <v>445</v>
      </c>
      <c r="L367" s="42" t="str">
        <f aca="false">C367&amp;"_"&amp;B367&amp;"_"&amp;IF(I367="Reel","R",IF(I367="Carousel","C","I"))&amp;"_"&amp;J367&amp;"_"&amp;IF(K367="AI tự động","AI","HU")&amp;"_"&amp;RIGHT(A367,3)</f>
        <v>P2_EXP2_C_C_AI_019</v>
      </c>
      <c r="M367" s="45"/>
      <c r="N367" s="45"/>
      <c r="O367" s="46"/>
      <c r="P367" s="46"/>
      <c r="Q367" s="46"/>
      <c r="R367" s="47"/>
      <c r="S367" s="45"/>
      <c r="T367" s="45"/>
      <c r="U367" s="48" t="str">
        <f aca="false">IF(O367&gt;0,P367/O367,"")</f>
        <v/>
      </c>
      <c r="V367" s="49" t="str">
        <f aca="false">IF(P367&gt;0,Q367/P367,"")</f>
        <v/>
      </c>
      <c r="W367" s="50" t="n">
        <f aca="false">IF(R367&lt;&gt;"",R367,Q367*'Cài đặt'!$B$12)</f>
        <v>0</v>
      </c>
      <c r="X367" s="50" t="str">
        <f aca="false">IF(O367&gt;0,W367/O367*1000,"")</f>
        <v/>
      </c>
      <c r="Y367" s="51" t="n">
        <f aca="false">IF(T367&lt;&gt;"",T367,INDEX('Cài đặt'!$B$20:$C$22,MATCH(I367,'Cài đặt'!$A$20:$A$22,0),IF(K367="AI tự động",1,2)))</f>
        <v>4</v>
      </c>
    </row>
    <row r="368" customFormat="false" ht="15" hidden="false" customHeight="false" outlineLevel="0" collapsed="false">
      <c r="A368" s="41" t="s">
        <v>816</v>
      </c>
      <c r="B368" s="41" t="s">
        <v>703</v>
      </c>
      <c r="C368" s="41" t="s">
        <v>163</v>
      </c>
      <c r="D368" s="42" t="str">
        <f aca="false">INDEX('Page và Ngách'!$B$5:$B$10,MATCH(C368,'Page và Ngách'!$A$5:$A$10,0))</f>
        <v>Secret billionaire / CEO</v>
      </c>
      <c r="E368" s="41" t="n">
        <v>10</v>
      </c>
      <c r="F368" s="43" t="n">
        <f aca="false">'Cài đặt'!$B$38+E368-1</f>
        <v>46365</v>
      </c>
      <c r="G368" s="41" t="s">
        <v>451</v>
      </c>
      <c r="H368" s="44" t="str">
        <f aca="false">IF(G368="S1",'Cài đặt'!$B$7,'Cài đặt'!$B$8)</f>
        <v>20:00</v>
      </c>
      <c r="I368" s="44" t="str">
        <f aca="false">'Cài đặt'!$B$32</f>
        <v>Carousel</v>
      </c>
      <c r="J368" s="41" t="s">
        <v>132</v>
      </c>
      <c r="K368" s="41" t="s">
        <v>445</v>
      </c>
      <c r="L368" s="42" t="str">
        <f aca="false">C368&amp;"_"&amp;B368&amp;"_"&amp;IF(I368="Reel","R",IF(I368="Carousel","C","I"))&amp;"_"&amp;J368&amp;"_"&amp;IF(K368="AI tự động","AI","HU")&amp;"_"&amp;RIGHT(A368,3)</f>
        <v>P2_EXP2_C_A_AI_020</v>
      </c>
      <c r="M368" s="45"/>
      <c r="N368" s="45"/>
      <c r="O368" s="46"/>
      <c r="P368" s="46"/>
      <c r="Q368" s="46"/>
      <c r="R368" s="47"/>
      <c r="S368" s="45"/>
      <c r="T368" s="45"/>
      <c r="U368" s="48" t="str">
        <f aca="false">IF(O368&gt;0,P368/O368,"")</f>
        <v/>
      </c>
      <c r="V368" s="49" t="str">
        <f aca="false">IF(P368&gt;0,Q368/P368,"")</f>
        <v/>
      </c>
      <c r="W368" s="50" t="n">
        <f aca="false">IF(R368&lt;&gt;"",R368,Q368*'Cài đặt'!$B$12)</f>
        <v>0</v>
      </c>
      <c r="X368" s="50" t="str">
        <f aca="false">IF(O368&gt;0,W368/O368*1000,"")</f>
        <v/>
      </c>
      <c r="Y368" s="51" t="n">
        <f aca="false">IF(T368&lt;&gt;"",T368,INDEX('Cài đặt'!$B$20:$C$22,MATCH(I368,'Cài đặt'!$A$20:$A$22,0),IF(K368="AI tự động",1,2)))</f>
        <v>4</v>
      </c>
    </row>
    <row r="369" customFormat="false" ht="15" hidden="false" customHeight="false" outlineLevel="0" collapsed="false">
      <c r="A369" s="41" t="s">
        <v>817</v>
      </c>
      <c r="B369" s="41" t="s">
        <v>703</v>
      </c>
      <c r="C369" s="41" t="s">
        <v>171</v>
      </c>
      <c r="D369" s="42" t="str">
        <f aca="false">INDEX('Page và Ngách'!$B$5:$B$10,MATCH(C369,'Page và Ngách'!$A$5:$A$10,0))</f>
        <v>Contract marriage / Fake relationship</v>
      </c>
      <c r="E369" s="41" t="n">
        <v>10</v>
      </c>
      <c r="F369" s="43" t="n">
        <f aca="false">'Cài đặt'!$B$38+E369-1</f>
        <v>46365</v>
      </c>
      <c r="G369" s="41" t="s">
        <v>444</v>
      </c>
      <c r="H369" s="44" t="str">
        <f aca="false">IF(G369="S1",'Cài đặt'!$B$7,'Cài đặt'!$B$8)</f>
        <v>12:00</v>
      </c>
      <c r="I369" s="44" t="str">
        <f aca="false">'Cài đặt'!$B$32</f>
        <v>Carousel</v>
      </c>
      <c r="J369" s="41" t="s">
        <v>132</v>
      </c>
      <c r="K369" s="41" t="s">
        <v>445</v>
      </c>
      <c r="L369" s="42" t="str">
        <f aca="false">C369&amp;"_"&amp;B369&amp;"_"&amp;IF(I369="Reel","R",IF(I369="Carousel","C","I"))&amp;"_"&amp;J369&amp;"_"&amp;IF(K369="AI tự động","AI","HU")&amp;"_"&amp;RIGHT(A369,3)</f>
        <v>P3_EXP2_C_A_AI_019</v>
      </c>
      <c r="M369" s="45"/>
      <c r="N369" s="45"/>
      <c r="O369" s="46"/>
      <c r="P369" s="46"/>
      <c r="Q369" s="46"/>
      <c r="R369" s="47"/>
      <c r="S369" s="45"/>
      <c r="T369" s="45"/>
      <c r="U369" s="48" t="str">
        <f aca="false">IF(O369&gt;0,P369/O369,"")</f>
        <v/>
      </c>
      <c r="V369" s="49" t="str">
        <f aca="false">IF(P369&gt;0,Q369/P369,"")</f>
        <v/>
      </c>
      <c r="W369" s="50" t="n">
        <f aca="false">IF(R369&lt;&gt;"",R369,Q369*'Cài đặt'!$B$12)</f>
        <v>0</v>
      </c>
      <c r="X369" s="50" t="str">
        <f aca="false">IF(O369&gt;0,W369/O369*1000,"")</f>
        <v/>
      </c>
      <c r="Y369" s="51" t="n">
        <f aca="false">IF(T369&lt;&gt;"",T369,INDEX('Cài đặt'!$B$20:$C$22,MATCH(I369,'Cài đặt'!$A$20:$A$22,0),IF(K369="AI tự động",1,2)))</f>
        <v>4</v>
      </c>
    </row>
    <row r="370" customFormat="false" ht="15" hidden="false" customHeight="false" outlineLevel="0" collapsed="false">
      <c r="A370" s="41" t="s">
        <v>818</v>
      </c>
      <c r="B370" s="41" t="s">
        <v>703</v>
      </c>
      <c r="C370" s="41" t="s">
        <v>171</v>
      </c>
      <c r="D370" s="42" t="str">
        <f aca="false">INDEX('Page và Ngách'!$B$5:$B$10,MATCH(C370,'Page và Ngách'!$A$5:$A$10,0))</f>
        <v>Contract marriage / Fake relationship</v>
      </c>
      <c r="E370" s="41" t="n">
        <v>10</v>
      </c>
      <c r="F370" s="43" t="n">
        <f aca="false">'Cài đặt'!$B$38+E370-1</f>
        <v>46365</v>
      </c>
      <c r="G370" s="41" t="s">
        <v>451</v>
      </c>
      <c r="H370" s="44" t="str">
        <f aca="false">IF(G370="S1",'Cài đặt'!$B$7,'Cài đặt'!$B$8)</f>
        <v>20:00</v>
      </c>
      <c r="I370" s="44" t="str">
        <f aca="false">'Cài đặt'!$B$32</f>
        <v>Carousel</v>
      </c>
      <c r="J370" s="41" t="s">
        <v>704</v>
      </c>
      <c r="K370" s="41" t="s">
        <v>445</v>
      </c>
      <c r="L370" s="42" t="str">
        <f aca="false">C370&amp;"_"&amp;B370&amp;"_"&amp;IF(I370="Reel","R",IF(I370="Carousel","C","I"))&amp;"_"&amp;J370&amp;"_"&amp;IF(K370="AI tự động","AI","HU")&amp;"_"&amp;RIGHT(A370,3)</f>
        <v>P3_EXP2_C_B_AI_020</v>
      </c>
      <c r="M370" s="45"/>
      <c r="N370" s="45"/>
      <c r="O370" s="46"/>
      <c r="P370" s="46"/>
      <c r="Q370" s="46"/>
      <c r="R370" s="47"/>
      <c r="S370" s="45"/>
      <c r="T370" s="45"/>
      <c r="U370" s="48" t="str">
        <f aca="false">IF(O370&gt;0,P370/O370,"")</f>
        <v/>
      </c>
      <c r="V370" s="49" t="str">
        <f aca="false">IF(P370&gt;0,Q370/P370,"")</f>
        <v/>
      </c>
      <c r="W370" s="50" t="n">
        <f aca="false">IF(R370&lt;&gt;"",R370,Q370*'Cài đặt'!$B$12)</f>
        <v>0</v>
      </c>
      <c r="X370" s="50" t="str">
        <f aca="false">IF(O370&gt;0,W370/O370*1000,"")</f>
        <v/>
      </c>
      <c r="Y370" s="51" t="n">
        <f aca="false">IF(T370&lt;&gt;"",T370,INDEX('Cài đặt'!$B$20:$C$22,MATCH(I370,'Cài đặt'!$A$20:$A$22,0),IF(K370="AI tự động",1,2)))</f>
        <v>4</v>
      </c>
    </row>
    <row r="371" customFormat="false" ht="15" hidden="false" customHeight="false" outlineLevel="0" collapsed="false">
      <c r="A371" s="41" t="s">
        <v>819</v>
      </c>
      <c r="B371" s="41" t="s">
        <v>703</v>
      </c>
      <c r="C371" s="41" t="s">
        <v>178</v>
      </c>
      <c r="D371" s="42" t="str">
        <f aca="false">INDEX('Page và Ngách'!$B$5:$B$10,MATCH(C371,'Page và Ngách'!$A$5:$A$10,0))</f>
        <v>Revenge / Betrayal ("you'll regret it")</v>
      </c>
      <c r="E371" s="41" t="n">
        <v>10</v>
      </c>
      <c r="F371" s="43" t="n">
        <f aca="false">'Cài đặt'!$B$38+E371-1</f>
        <v>46365</v>
      </c>
      <c r="G371" s="41" t="s">
        <v>444</v>
      </c>
      <c r="H371" s="44" t="str">
        <f aca="false">IF(G371="S1",'Cài đặt'!$B$7,'Cài đặt'!$B$8)</f>
        <v>12:00</v>
      </c>
      <c r="I371" s="44" t="str">
        <f aca="false">'Cài đặt'!$B$32</f>
        <v>Carousel</v>
      </c>
      <c r="J371" s="41" t="s">
        <v>704</v>
      </c>
      <c r="K371" s="41" t="s">
        <v>445</v>
      </c>
      <c r="L371" s="42" t="str">
        <f aca="false">C371&amp;"_"&amp;B371&amp;"_"&amp;IF(I371="Reel","R",IF(I371="Carousel","C","I"))&amp;"_"&amp;J371&amp;"_"&amp;IF(K371="AI tự động","AI","HU")&amp;"_"&amp;RIGHT(A371,3)</f>
        <v>P4_EXP2_C_B_AI_019</v>
      </c>
      <c r="M371" s="45"/>
      <c r="N371" s="45"/>
      <c r="O371" s="46"/>
      <c r="P371" s="46"/>
      <c r="Q371" s="46"/>
      <c r="R371" s="47"/>
      <c r="S371" s="45"/>
      <c r="T371" s="45"/>
      <c r="U371" s="48" t="str">
        <f aca="false">IF(O371&gt;0,P371/O371,"")</f>
        <v/>
      </c>
      <c r="V371" s="49" t="str">
        <f aca="false">IF(P371&gt;0,Q371/P371,"")</f>
        <v/>
      </c>
      <c r="W371" s="50" t="n">
        <f aca="false">IF(R371&lt;&gt;"",R371,Q371*'Cài đặt'!$B$12)</f>
        <v>0</v>
      </c>
      <c r="X371" s="50" t="str">
        <f aca="false">IF(O371&gt;0,W371/O371*1000,"")</f>
        <v/>
      </c>
      <c r="Y371" s="51" t="n">
        <f aca="false">IF(T371&lt;&gt;"",T371,INDEX('Cài đặt'!$B$20:$C$22,MATCH(I371,'Cài đặt'!$A$20:$A$22,0),IF(K371="AI tự động",1,2)))</f>
        <v>4</v>
      </c>
    </row>
    <row r="372" customFormat="false" ht="15" hidden="false" customHeight="false" outlineLevel="0" collapsed="false">
      <c r="A372" s="41" t="s">
        <v>820</v>
      </c>
      <c r="B372" s="41" t="s">
        <v>703</v>
      </c>
      <c r="C372" s="41" t="s">
        <v>178</v>
      </c>
      <c r="D372" s="42" t="str">
        <f aca="false">INDEX('Page và Ngách'!$B$5:$B$10,MATCH(C372,'Page và Ngách'!$A$5:$A$10,0))</f>
        <v>Revenge / Betrayal ("you'll regret it")</v>
      </c>
      <c r="E372" s="41" t="n">
        <v>10</v>
      </c>
      <c r="F372" s="43" t="n">
        <f aca="false">'Cài đặt'!$B$38+E372-1</f>
        <v>46365</v>
      </c>
      <c r="G372" s="41" t="s">
        <v>451</v>
      </c>
      <c r="H372" s="44" t="str">
        <f aca="false">IF(G372="S1",'Cài đặt'!$B$7,'Cài đặt'!$B$8)</f>
        <v>20:00</v>
      </c>
      <c r="I372" s="44" t="str">
        <f aca="false">'Cài đặt'!$B$32</f>
        <v>Carousel</v>
      </c>
      <c r="J372" s="41" t="s">
        <v>706</v>
      </c>
      <c r="K372" s="41" t="s">
        <v>445</v>
      </c>
      <c r="L372" s="42" t="str">
        <f aca="false">C372&amp;"_"&amp;B372&amp;"_"&amp;IF(I372="Reel","R",IF(I372="Carousel","C","I"))&amp;"_"&amp;J372&amp;"_"&amp;IF(K372="AI tự động","AI","HU")&amp;"_"&amp;RIGHT(A372,3)</f>
        <v>P4_EXP2_C_C_AI_020</v>
      </c>
      <c r="M372" s="45"/>
      <c r="N372" s="45"/>
      <c r="O372" s="46"/>
      <c r="P372" s="46"/>
      <c r="Q372" s="46"/>
      <c r="R372" s="47"/>
      <c r="S372" s="45"/>
      <c r="T372" s="45"/>
      <c r="U372" s="48" t="str">
        <f aca="false">IF(O372&gt;0,P372/O372,"")</f>
        <v/>
      </c>
      <c r="V372" s="49" t="str">
        <f aca="false">IF(P372&gt;0,Q372/P372,"")</f>
        <v/>
      </c>
      <c r="W372" s="50" t="n">
        <f aca="false">IF(R372&lt;&gt;"",R372,Q372*'Cài đặt'!$B$12)</f>
        <v>0</v>
      </c>
      <c r="X372" s="50" t="str">
        <f aca="false">IF(O372&gt;0,W372/O372*1000,"")</f>
        <v/>
      </c>
      <c r="Y372" s="51" t="n">
        <f aca="false">IF(T372&lt;&gt;"",T372,INDEX('Cài đặt'!$B$20:$C$22,MATCH(I372,'Cài đặt'!$A$20:$A$22,0),IF(K372="AI tự động",1,2)))</f>
        <v>4</v>
      </c>
    </row>
    <row r="373" customFormat="false" ht="15" hidden="false" customHeight="false" outlineLevel="0" collapsed="false">
      <c r="A373" s="41" t="s">
        <v>821</v>
      </c>
      <c r="B373" s="41" t="s">
        <v>703</v>
      </c>
      <c r="C373" s="41" t="s">
        <v>185</v>
      </c>
      <c r="D373" s="42" t="str">
        <f aca="false">INDEX('Page và Ngách'!$B$5:$B$10,MATCH(C373,'Page và Ngách'!$A$5:$A$10,0))</f>
        <v>Mafia / Dark romance (teaser PG-13)</v>
      </c>
      <c r="E373" s="41" t="n">
        <v>10</v>
      </c>
      <c r="F373" s="43" t="n">
        <f aca="false">'Cài đặt'!$B$38+E373-1</f>
        <v>46365</v>
      </c>
      <c r="G373" s="41" t="s">
        <v>444</v>
      </c>
      <c r="H373" s="44" t="str">
        <f aca="false">IF(G373="S1",'Cài đặt'!$B$7,'Cài đặt'!$B$8)</f>
        <v>12:00</v>
      </c>
      <c r="I373" s="44" t="str">
        <f aca="false">'Cài đặt'!$B$32</f>
        <v>Carousel</v>
      </c>
      <c r="J373" s="41" t="s">
        <v>706</v>
      </c>
      <c r="K373" s="41" t="s">
        <v>445</v>
      </c>
      <c r="L373" s="42" t="str">
        <f aca="false">C373&amp;"_"&amp;B373&amp;"_"&amp;IF(I373="Reel","R",IF(I373="Carousel","C","I"))&amp;"_"&amp;J373&amp;"_"&amp;IF(K373="AI tự động","AI","HU")&amp;"_"&amp;RIGHT(A373,3)</f>
        <v>P5_EXP2_C_C_AI_019</v>
      </c>
      <c r="M373" s="45"/>
      <c r="N373" s="45"/>
      <c r="O373" s="46"/>
      <c r="P373" s="46"/>
      <c r="Q373" s="46"/>
      <c r="R373" s="47"/>
      <c r="S373" s="45"/>
      <c r="T373" s="45"/>
      <c r="U373" s="48" t="str">
        <f aca="false">IF(O373&gt;0,P373/O373,"")</f>
        <v/>
      </c>
      <c r="V373" s="49" t="str">
        <f aca="false">IF(P373&gt;0,Q373/P373,"")</f>
        <v/>
      </c>
      <c r="W373" s="50" t="n">
        <f aca="false">IF(R373&lt;&gt;"",R373,Q373*'Cài đặt'!$B$12)</f>
        <v>0</v>
      </c>
      <c r="X373" s="50" t="str">
        <f aca="false">IF(O373&gt;0,W373/O373*1000,"")</f>
        <v/>
      </c>
      <c r="Y373" s="51" t="n">
        <f aca="false">IF(T373&lt;&gt;"",T373,INDEX('Cài đặt'!$B$20:$C$22,MATCH(I373,'Cài đặt'!$A$20:$A$22,0),IF(K373="AI tự động",1,2)))</f>
        <v>4</v>
      </c>
    </row>
    <row r="374" customFormat="false" ht="15" hidden="false" customHeight="false" outlineLevel="0" collapsed="false">
      <c r="A374" s="41" t="s">
        <v>822</v>
      </c>
      <c r="B374" s="41" t="s">
        <v>703</v>
      </c>
      <c r="C374" s="41" t="s">
        <v>185</v>
      </c>
      <c r="D374" s="42" t="str">
        <f aca="false">INDEX('Page và Ngách'!$B$5:$B$10,MATCH(C374,'Page và Ngách'!$A$5:$A$10,0))</f>
        <v>Mafia / Dark romance (teaser PG-13)</v>
      </c>
      <c r="E374" s="41" t="n">
        <v>10</v>
      </c>
      <c r="F374" s="43" t="n">
        <f aca="false">'Cài đặt'!$B$38+E374-1</f>
        <v>46365</v>
      </c>
      <c r="G374" s="41" t="s">
        <v>451</v>
      </c>
      <c r="H374" s="44" t="str">
        <f aca="false">IF(G374="S1",'Cài đặt'!$B$7,'Cài đặt'!$B$8)</f>
        <v>20:00</v>
      </c>
      <c r="I374" s="44" t="str">
        <f aca="false">'Cài đặt'!$B$32</f>
        <v>Carousel</v>
      </c>
      <c r="J374" s="41" t="s">
        <v>132</v>
      </c>
      <c r="K374" s="41" t="s">
        <v>445</v>
      </c>
      <c r="L374" s="42" t="str">
        <f aca="false">C374&amp;"_"&amp;B374&amp;"_"&amp;IF(I374="Reel","R",IF(I374="Carousel","C","I"))&amp;"_"&amp;J374&amp;"_"&amp;IF(K374="AI tự động","AI","HU")&amp;"_"&amp;RIGHT(A374,3)</f>
        <v>P5_EXP2_C_A_AI_020</v>
      </c>
      <c r="M374" s="45"/>
      <c r="N374" s="45"/>
      <c r="O374" s="46"/>
      <c r="P374" s="46"/>
      <c r="Q374" s="46"/>
      <c r="R374" s="47"/>
      <c r="S374" s="45"/>
      <c r="T374" s="45"/>
      <c r="U374" s="48" t="str">
        <f aca="false">IF(O374&gt;0,P374/O374,"")</f>
        <v/>
      </c>
      <c r="V374" s="49" t="str">
        <f aca="false">IF(P374&gt;0,Q374/P374,"")</f>
        <v/>
      </c>
      <c r="W374" s="50" t="n">
        <f aca="false">IF(R374&lt;&gt;"",R374,Q374*'Cài đặt'!$B$12)</f>
        <v>0</v>
      </c>
      <c r="X374" s="50" t="str">
        <f aca="false">IF(O374&gt;0,W374/O374*1000,"")</f>
        <v/>
      </c>
      <c r="Y374" s="51" t="n">
        <f aca="false">IF(T374&lt;&gt;"",T374,INDEX('Cài đặt'!$B$20:$C$22,MATCH(I374,'Cài đặt'!$A$20:$A$22,0),IF(K374="AI tự động",1,2)))</f>
        <v>4</v>
      </c>
    </row>
    <row r="375" customFormat="false" ht="15" hidden="false" customHeight="false" outlineLevel="0" collapsed="false">
      <c r="A375" s="41" t="s">
        <v>823</v>
      </c>
      <c r="B375" s="41" t="s">
        <v>703</v>
      </c>
      <c r="C375" s="41" t="s">
        <v>193</v>
      </c>
      <c r="D375" s="42" t="str">
        <f aca="false">INDEX('Page và Ngách'!$B$5:$B$10,MATCH(C375,'Page và Ngách'!$A$5:$A$10,0))</f>
        <v>Second chance / Secret baby</v>
      </c>
      <c r="E375" s="41" t="n">
        <v>10</v>
      </c>
      <c r="F375" s="43" t="n">
        <f aca="false">'Cài đặt'!$B$38+E375-1</f>
        <v>46365</v>
      </c>
      <c r="G375" s="41" t="s">
        <v>444</v>
      </c>
      <c r="H375" s="44" t="str">
        <f aca="false">IF(G375="S1",'Cài đặt'!$B$7,'Cài đặt'!$B$8)</f>
        <v>12:00</v>
      </c>
      <c r="I375" s="44" t="str">
        <f aca="false">'Cài đặt'!$B$32</f>
        <v>Carousel</v>
      </c>
      <c r="J375" s="41" t="s">
        <v>132</v>
      </c>
      <c r="K375" s="41" t="s">
        <v>445</v>
      </c>
      <c r="L375" s="42" t="str">
        <f aca="false">C375&amp;"_"&amp;B375&amp;"_"&amp;IF(I375="Reel","R",IF(I375="Carousel","C","I"))&amp;"_"&amp;J375&amp;"_"&amp;IF(K375="AI tự động","AI","HU")&amp;"_"&amp;RIGHT(A375,3)</f>
        <v>P6_EXP2_C_A_AI_019</v>
      </c>
      <c r="M375" s="45"/>
      <c r="N375" s="45"/>
      <c r="O375" s="46"/>
      <c r="P375" s="46"/>
      <c r="Q375" s="46"/>
      <c r="R375" s="47"/>
      <c r="S375" s="45"/>
      <c r="T375" s="45"/>
      <c r="U375" s="48" t="str">
        <f aca="false">IF(O375&gt;0,P375/O375,"")</f>
        <v/>
      </c>
      <c r="V375" s="49" t="str">
        <f aca="false">IF(P375&gt;0,Q375/P375,"")</f>
        <v/>
      </c>
      <c r="W375" s="50" t="n">
        <f aca="false">IF(R375&lt;&gt;"",R375,Q375*'Cài đặt'!$B$12)</f>
        <v>0</v>
      </c>
      <c r="X375" s="50" t="str">
        <f aca="false">IF(O375&gt;0,W375/O375*1000,"")</f>
        <v/>
      </c>
      <c r="Y375" s="51" t="n">
        <f aca="false">IF(T375&lt;&gt;"",T375,INDEX('Cài đặt'!$B$20:$C$22,MATCH(I375,'Cài đặt'!$A$20:$A$22,0),IF(K375="AI tự động",1,2)))</f>
        <v>4</v>
      </c>
    </row>
    <row r="376" customFormat="false" ht="15" hidden="false" customHeight="false" outlineLevel="0" collapsed="false">
      <c r="A376" s="41" t="s">
        <v>824</v>
      </c>
      <c r="B376" s="41" t="s">
        <v>703</v>
      </c>
      <c r="C376" s="41" t="s">
        <v>193</v>
      </c>
      <c r="D376" s="42" t="str">
        <f aca="false">INDEX('Page và Ngách'!$B$5:$B$10,MATCH(C376,'Page và Ngách'!$A$5:$A$10,0))</f>
        <v>Second chance / Secret baby</v>
      </c>
      <c r="E376" s="41" t="n">
        <v>10</v>
      </c>
      <c r="F376" s="43" t="n">
        <f aca="false">'Cài đặt'!$B$38+E376-1</f>
        <v>46365</v>
      </c>
      <c r="G376" s="41" t="s">
        <v>451</v>
      </c>
      <c r="H376" s="44" t="str">
        <f aca="false">IF(G376="S1",'Cài đặt'!$B$7,'Cài đặt'!$B$8)</f>
        <v>20:00</v>
      </c>
      <c r="I376" s="44" t="str">
        <f aca="false">'Cài đặt'!$B$32</f>
        <v>Carousel</v>
      </c>
      <c r="J376" s="41" t="s">
        <v>704</v>
      </c>
      <c r="K376" s="41" t="s">
        <v>445</v>
      </c>
      <c r="L376" s="42" t="str">
        <f aca="false">C376&amp;"_"&amp;B376&amp;"_"&amp;IF(I376="Reel","R",IF(I376="Carousel","C","I"))&amp;"_"&amp;J376&amp;"_"&amp;IF(K376="AI tự động","AI","HU")&amp;"_"&amp;RIGHT(A376,3)</f>
        <v>P6_EXP2_C_B_AI_020</v>
      </c>
      <c r="M376" s="45"/>
      <c r="N376" s="45"/>
      <c r="O376" s="46"/>
      <c r="P376" s="46"/>
      <c r="Q376" s="46"/>
      <c r="R376" s="47"/>
      <c r="S376" s="45"/>
      <c r="T376" s="45"/>
      <c r="U376" s="48" t="str">
        <f aca="false">IF(O376&gt;0,P376/O376,"")</f>
        <v/>
      </c>
      <c r="V376" s="49" t="str">
        <f aca="false">IF(P376&gt;0,Q376/P376,"")</f>
        <v/>
      </c>
      <c r="W376" s="50" t="n">
        <f aca="false">IF(R376&lt;&gt;"",R376,Q376*'Cài đặt'!$B$12)</f>
        <v>0</v>
      </c>
      <c r="X376" s="50" t="str">
        <f aca="false">IF(O376&gt;0,W376/O376*1000,"")</f>
        <v/>
      </c>
      <c r="Y376" s="51" t="n">
        <f aca="false">IF(T376&lt;&gt;"",T376,INDEX('Cài đặt'!$B$20:$C$22,MATCH(I376,'Cài đặt'!$A$20:$A$22,0),IF(K376="AI tự động",1,2)))</f>
        <v>4</v>
      </c>
    </row>
    <row r="377" customFormat="false" ht="15" hidden="false" customHeight="false" outlineLevel="0" collapsed="false">
      <c r="A377" s="41" t="s">
        <v>825</v>
      </c>
      <c r="B377" s="41" t="s">
        <v>703</v>
      </c>
      <c r="C377" s="41" t="s">
        <v>154</v>
      </c>
      <c r="D377" s="42" t="str">
        <f aca="false">INDEX('Page và Ngách'!$B$5:$B$10,MATCH(C377,'Page và Ngách'!$A$5:$A$10,0))</f>
        <v>Werewolf / Rejected mate</v>
      </c>
      <c r="E377" s="41" t="n">
        <v>11</v>
      </c>
      <c r="F377" s="43" t="n">
        <f aca="false">'Cài đặt'!$B$38+E377-1</f>
        <v>46366</v>
      </c>
      <c r="G377" s="41" t="s">
        <v>444</v>
      </c>
      <c r="H377" s="44" t="str">
        <f aca="false">IF(G377="S1",'Cài đặt'!$B$7,'Cài đặt'!$B$8)</f>
        <v>12:00</v>
      </c>
      <c r="I377" s="44" t="str">
        <f aca="false">'Cài đặt'!$B$32</f>
        <v>Carousel</v>
      </c>
      <c r="J377" s="41" t="s">
        <v>132</v>
      </c>
      <c r="K377" s="41" t="s">
        <v>445</v>
      </c>
      <c r="L377" s="42" t="str">
        <f aca="false">C377&amp;"_"&amp;B377&amp;"_"&amp;IF(I377="Reel","R",IF(I377="Carousel","C","I"))&amp;"_"&amp;J377&amp;"_"&amp;IF(K377="AI tự động","AI","HU")&amp;"_"&amp;RIGHT(A377,3)</f>
        <v>P1_EXP2_C_A_AI_021</v>
      </c>
      <c r="M377" s="45"/>
      <c r="N377" s="45"/>
      <c r="O377" s="46"/>
      <c r="P377" s="46"/>
      <c r="Q377" s="46"/>
      <c r="R377" s="47"/>
      <c r="S377" s="45"/>
      <c r="T377" s="45"/>
      <c r="U377" s="48" t="str">
        <f aca="false">IF(O377&gt;0,P377/O377,"")</f>
        <v/>
      </c>
      <c r="V377" s="49" t="str">
        <f aca="false">IF(P377&gt;0,Q377/P377,"")</f>
        <v/>
      </c>
      <c r="W377" s="50" t="n">
        <f aca="false">IF(R377&lt;&gt;"",R377,Q377*'Cài đặt'!$B$12)</f>
        <v>0</v>
      </c>
      <c r="X377" s="50" t="str">
        <f aca="false">IF(O377&gt;0,W377/O377*1000,"")</f>
        <v/>
      </c>
      <c r="Y377" s="51" t="n">
        <f aca="false">IF(T377&lt;&gt;"",T377,INDEX('Cài đặt'!$B$20:$C$22,MATCH(I377,'Cài đặt'!$A$20:$A$22,0),IF(K377="AI tự động",1,2)))</f>
        <v>4</v>
      </c>
    </row>
    <row r="378" customFormat="false" ht="15" hidden="false" customHeight="false" outlineLevel="0" collapsed="false">
      <c r="A378" s="41" t="s">
        <v>826</v>
      </c>
      <c r="B378" s="41" t="s">
        <v>703</v>
      </c>
      <c r="C378" s="41" t="s">
        <v>154</v>
      </c>
      <c r="D378" s="42" t="str">
        <f aca="false">INDEX('Page và Ngách'!$B$5:$B$10,MATCH(C378,'Page và Ngách'!$A$5:$A$10,0))</f>
        <v>Werewolf / Rejected mate</v>
      </c>
      <c r="E378" s="41" t="n">
        <v>11</v>
      </c>
      <c r="F378" s="43" t="n">
        <f aca="false">'Cài đặt'!$B$38+E378-1</f>
        <v>46366</v>
      </c>
      <c r="G378" s="41" t="s">
        <v>451</v>
      </c>
      <c r="H378" s="44" t="str">
        <f aca="false">IF(G378="S1",'Cài đặt'!$B$7,'Cài đặt'!$B$8)</f>
        <v>20:00</v>
      </c>
      <c r="I378" s="44" t="str">
        <f aca="false">'Cài đặt'!$B$32</f>
        <v>Carousel</v>
      </c>
      <c r="J378" s="41" t="s">
        <v>704</v>
      </c>
      <c r="K378" s="41" t="s">
        <v>445</v>
      </c>
      <c r="L378" s="42" t="str">
        <f aca="false">C378&amp;"_"&amp;B378&amp;"_"&amp;IF(I378="Reel","R",IF(I378="Carousel","C","I"))&amp;"_"&amp;J378&amp;"_"&amp;IF(K378="AI tự động","AI","HU")&amp;"_"&amp;RIGHT(A378,3)</f>
        <v>P1_EXP2_C_B_AI_022</v>
      </c>
      <c r="M378" s="45"/>
      <c r="N378" s="45"/>
      <c r="O378" s="46"/>
      <c r="P378" s="46"/>
      <c r="Q378" s="46"/>
      <c r="R378" s="47"/>
      <c r="S378" s="45"/>
      <c r="T378" s="45"/>
      <c r="U378" s="48" t="str">
        <f aca="false">IF(O378&gt;0,P378/O378,"")</f>
        <v/>
      </c>
      <c r="V378" s="49" t="str">
        <f aca="false">IF(P378&gt;0,Q378/P378,"")</f>
        <v/>
      </c>
      <c r="W378" s="50" t="n">
        <f aca="false">IF(R378&lt;&gt;"",R378,Q378*'Cài đặt'!$B$12)</f>
        <v>0</v>
      </c>
      <c r="X378" s="50" t="str">
        <f aca="false">IF(O378&gt;0,W378/O378*1000,"")</f>
        <v/>
      </c>
      <c r="Y378" s="51" t="n">
        <f aca="false">IF(T378&lt;&gt;"",T378,INDEX('Cài đặt'!$B$20:$C$22,MATCH(I378,'Cài đặt'!$A$20:$A$22,0),IF(K378="AI tự động",1,2)))</f>
        <v>4</v>
      </c>
    </row>
    <row r="379" customFormat="false" ht="15" hidden="false" customHeight="false" outlineLevel="0" collapsed="false">
      <c r="A379" s="41" t="s">
        <v>827</v>
      </c>
      <c r="B379" s="41" t="s">
        <v>703</v>
      </c>
      <c r="C379" s="41" t="s">
        <v>163</v>
      </c>
      <c r="D379" s="42" t="str">
        <f aca="false">INDEX('Page và Ngách'!$B$5:$B$10,MATCH(C379,'Page và Ngách'!$A$5:$A$10,0))</f>
        <v>Secret billionaire / CEO</v>
      </c>
      <c r="E379" s="41" t="n">
        <v>11</v>
      </c>
      <c r="F379" s="43" t="n">
        <f aca="false">'Cài đặt'!$B$38+E379-1</f>
        <v>46366</v>
      </c>
      <c r="G379" s="41" t="s">
        <v>444</v>
      </c>
      <c r="H379" s="44" t="str">
        <f aca="false">IF(G379="S1",'Cài đặt'!$B$7,'Cài đặt'!$B$8)</f>
        <v>12:00</v>
      </c>
      <c r="I379" s="44" t="str">
        <f aca="false">'Cài đặt'!$B$32</f>
        <v>Carousel</v>
      </c>
      <c r="J379" s="41" t="s">
        <v>704</v>
      </c>
      <c r="K379" s="41" t="s">
        <v>445</v>
      </c>
      <c r="L379" s="42" t="str">
        <f aca="false">C379&amp;"_"&amp;B379&amp;"_"&amp;IF(I379="Reel","R",IF(I379="Carousel","C","I"))&amp;"_"&amp;J379&amp;"_"&amp;IF(K379="AI tự động","AI","HU")&amp;"_"&amp;RIGHT(A379,3)</f>
        <v>P2_EXP2_C_B_AI_021</v>
      </c>
      <c r="M379" s="45"/>
      <c r="N379" s="45"/>
      <c r="O379" s="46"/>
      <c r="P379" s="46"/>
      <c r="Q379" s="46"/>
      <c r="R379" s="47"/>
      <c r="S379" s="45"/>
      <c r="T379" s="45"/>
      <c r="U379" s="48" t="str">
        <f aca="false">IF(O379&gt;0,P379/O379,"")</f>
        <v/>
      </c>
      <c r="V379" s="49" t="str">
        <f aca="false">IF(P379&gt;0,Q379/P379,"")</f>
        <v/>
      </c>
      <c r="W379" s="50" t="n">
        <f aca="false">IF(R379&lt;&gt;"",R379,Q379*'Cài đặt'!$B$12)</f>
        <v>0</v>
      </c>
      <c r="X379" s="50" t="str">
        <f aca="false">IF(O379&gt;0,W379/O379*1000,"")</f>
        <v/>
      </c>
      <c r="Y379" s="51" t="n">
        <f aca="false">IF(T379&lt;&gt;"",T379,INDEX('Cài đặt'!$B$20:$C$22,MATCH(I379,'Cài đặt'!$A$20:$A$22,0),IF(K379="AI tự động",1,2)))</f>
        <v>4</v>
      </c>
    </row>
    <row r="380" customFormat="false" ht="15" hidden="false" customHeight="false" outlineLevel="0" collapsed="false">
      <c r="A380" s="41" t="s">
        <v>828</v>
      </c>
      <c r="B380" s="41" t="s">
        <v>703</v>
      </c>
      <c r="C380" s="41" t="s">
        <v>163</v>
      </c>
      <c r="D380" s="42" t="str">
        <f aca="false">INDEX('Page và Ngách'!$B$5:$B$10,MATCH(C380,'Page và Ngách'!$A$5:$A$10,0))</f>
        <v>Secret billionaire / CEO</v>
      </c>
      <c r="E380" s="41" t="n">
        <v>11</v>
      </c>
      <c r="F380" s="43" t="n">
        <f aca="false">'Cài đặt'!$B$38+E380-1</f>
        <v>46366</v>
      </c>
      <c r="G380" s="41" t="s">
        <v>451</v>
      </c>
      <c r="H380" s="44" t="str">
        <f aca="false">IF(G380="S1",'Cài đặt'!$B$7,'Cài đặt'!$B$8)</f>
        <v>20:00</v>
      </c>
      <c r="I380" s="44" t="str">
        <f aca="false">'Cài đặt'!$B$32</f>
        <v>Carousel</v>
      </c>
      <c r="J380" s="41" t="s">
        <v>706</v>
      </c>
      <c r="K380" s="41" t="s">
        <v>445</v>
      </c>
      <c r="L380" s="42" t="str">
        <f aca="false">C380&amp;"_"&amp;B380&amp;"_"&amp;IF(I380="Reel","R",IF(I380="Carousel","C","I"))&amp;"_"&amp;J380&amp;"_"&amp;IF(K380="AI tự động","AI","HU")&amp;"_"&amp;RIGHT(A380,3)</f>
        <v>P2_EXP2_C_C_AI_022</v>
      </c>
      <c r="M380" s="45"/>
      <c r="N380" s="45"/>
      <c r="O380" s="46"/>
      <c r="P380" s="46"/>
      <c r="Q380" s="46"/>
      <c r="R380" s="47"/>
      <c r="S380" s="45"/>
      <c r="T380" s="45"/>
      <c r="U380" s="48" t="str">
        <f aca="false">IF(O380&gt;0,P380/O380,"")</f>
        <v/>
      </c>
      <c r="V380" s="49" t="str">
        <f aca="false">IF(P380&gt;0,Q380/P380,"")</f>
        <v/>
      </c>
      <c r="W380" s="50" t="n">
        <f aca="false">IF(R380&lt;&gt;"",R380,Q380*'Cài đặt'!$B$12)</f>
        <v>0</v>
      </c>
      <c r="X380" s="50" t="str">
        <f aca="false">IF(O380&gt;0,W380/O380*1000,"")</f>
        <v/>
      </c>
      <c r="Y380" s="51" t="n">
        <f aca="false">IF(T380&lt;&gt;"",T380,INDEX('Cài đặt'!$B$20:$C$22,MATCH(I380,'Cài đặt'!$A$20:$A$22,0),IF(K380="AI tự động",1,2)))</f>
        <v>4</v>
      </c>
    </row>
    <row r="381" customFormat="false" ht="15" hidden="false" customHeight="false" outlineLevel="0" collapsed="false">
      <c r="A381" s="41" t="s">
        <v>829</v>
      </c>
      <c r="B381" s="41" t="s">
        <v>703</v>
      </c>
      <c r="C381" s="41" t="s">
        <v>171</v>
      </c>
      <c r="D381" s="42" t="str">
        <f aca="false">INDEX('Page và Ngách'!$B$5:$B$10,MATCH(C381,'Page và Ngách'!$A$5:$A$10,0))</f>
        <v>Contract marriage / Fake relationship</v>
      </c>
      <c r="E381" s="41" t="n">
        <v>11</v>
      </c>
      <c r="F381" s="43" t="n">
        <f aca="false">'Cài đặt'!$B$38+E381-1</f>
        <v>46366</v>
      </c>
      <c r="G381" s="41" t="s">
        <v>444</v>
      </c>
      <c r="H381" s="44" t="str">
        <f aca="false">IF(G381="S1",'Cài đặt'!$B$7,'Cài đặt'!$B$8)</f>
        <v>12:00</v>
      </c>
      <c r="I381" s="44" t="str">
        <f aca="false">'Cài đặt'!$B$32</f>
        <v>Carousel</v>
      </c>
      <c r="J381" s="41" t="s">
        <v>706</v>
      </c>
      <c r="K381" s="41" t="s">
        <v>445</v>
      </c>
      <c r="L381" s="42" t="str">
        <f aca="false">C381&amp;"_"&amp;B381&amp;"_"&amp;IF(I381="Reel","R",IF(I381="Carousel","C","I"))&amp;"_"&amp;J381&amp;"_"&amp;IF(K381="AI tự động","AI","HU")&amp;"_"&amp;RIGHT(A381,3)</f>
        <v>P3_EXP2_C_C_AI_021</v>
      </c>
      <c r="M381" s="45"/>
      <c r="N381" s="45"/>
      <c r="O381" s="46"/>
      <c r="P381" s="46"/>
      <c r="Q381" s="46"/>
      <c r="R381" s="47"/>
      <c r="S381" s="45"/>
      <c r="T381" s="45"/>
      <c r="U381" s="48" t="str">
        <f aca="false">IF(O381&gt;0,P381/O381,"")</f>
        <v/>
      </c>
      <c r="V381" s="49" t="str">
        <f aca="false">IF(P381&gt;0,Q381/P381,"")</f>
        <v/>
      </c>
      <c r="W381" s="50" t="n">
        <f aca="false">IF(R381&lt;&gt;"",R381,Q381*'Cài đặt'!$B$12)</f>
        <v>0</v>
      </c>
      <c r="X381" s="50" t="str">
        <f aca="false">IF(O381&gt;0,W381/O381*1000,"")</f>
        <v/>
      </c>
      <c r="Y381" s="51" t="n">
        <f aca="false">IF(T381&lt;&gt;"",T381,INDEX('Cài đặt'!$B$20:$C$22,MATCH(I381,'Cài đặt'!$A$20:$A$22,0),IF(K381="AI tự động",1,2)))</f>
        <v>4</v>
      </c>
    </row>
    <row r="382" customFormat="false" ht="15" hidden="false" customHeight="false" outlineLevel="0" collapsed="false">
      <c r="A382" s="41" t="s">
        <v>830</v>
      </c>
      <c r="B382" s="41" t="s">
        <v>703</v>
      </c>
      <c r="C382" s="41" t="s">
        <v>171</v>
      </c>
      <c r="D382" s="42" t="str">
        <f aca="false">INDEX('Page và Ngách'!$B$5:$B$10,MATCH(C382,'Page và Ngách'!$A$5:$A$10,0))</f>
        <v>Contract marriage / Fake relationship</v>
      </c>
      <c r="E382" s="41" t="n">
        <v>11</v>
      </c>
      <c r="F382" s="43" t="n">
        <f aca="false">'Cài đặt'!$B$38+E382-1</f>
        <v>46366</v>
      </c>
      <c r="G382" s="41" t="s">
        <v>451</v>
      </c>
      <c r="H382" s="44" t="str">
        <f aca="false">IF(G382="S1",'Cài đặt'!$B$7,'Cài đặt'!$B$8)</f>
        <v>20:00</v>
      </c>
      <c r="I382" s="44" t="str">
        <f aca="false">'Cài đặt'!$B$32</f>
        <v>Carousel</v>
      </c>
      <c r="J382" s="41" t="s">
        <v>132</v>
      </c>
      <c r="K382" s="41" t="s">
        <v>445</v>
      </c>
      <c r="L382" s="42" t="str">
        <f aca="false">C382&amp;"_"&amp;B382&amp;"_"&amp;IF(I382="Reel","R",IF(I382="Carousel","C","I"))&amp;"_"&amp;J382&amp;"_"&amp;IF(K382="AI tự động","AI","HU")&amp;"_"&amp;RIGHT(A382,3)</f>
        <v>P3_EXP2_C_A_AI_022</v>
      </c>
      <c r="M382" s="45"/>
      <c r="N382" s="45"/>
      <c r="O382" s="46"/>
      <c r="P382" s="46"/>
      <c r="Q382" s="46"/>
      <c r="R382" s="47"/>
      <c r="S382" s="45"/>
      <c r="T382" s="45"/>
      <c r="U382" s="48" t="str">
        <f aca="false">IF(O382&gt;0,P382/O382,"")</f>
        <v/>
      </c>
      <c r="V382" s="49" t="str">
        <f aca="false">IF(P382&gt;0,Q382/P382,"")</f>
        <v/>
      </c>
      <c r="W382" s="50" t="n">
        <f aca="false">IF(R382&lt;&gt;"",R382,Q382*'Cài đặt'!$B$12)</f>
        <v>0</v>
      </c>
      <c r="X382" s="50" t="str">
        <f aca="false">IF(O382&gt;0,W382/O382*1000,"")</f>
        <v/>
      </c>
      <c r="Y382" s="51" t="n">
        <f aca="false">IF(T382&lt;&gt;"",T382,INDEX('Cài đặt'!$B$20:$C$22,MATCH(I382,'Cài đặt'!$A$20:$A$22,0),IF(K382="AI tự động",1,2)))</f>
        <v>4</v>
      </c>
    </row>
    <row r="383" customFormat="false" ht="15" hidden="false" customHeight="false" outlineLevel="0" collapsed="false">
      <c r="A383" s="41" t="s">
        <v>831</v>
      </c>
      <c r="B383" s="41" t="s">
        <v>703</v>
      </c>
      <c r="C383" s="41" t="s">
        <v>178</v>
      </c>
      <c r="D383" s="42" t="str">
        <f aca="false">INDEX('Page và Ngách'!$B$5:$B$10,MATCH(C383,'Page và Ngách'!$A$5:$A$10,0))</f>
        <v>Revenge / Betrayal ("you'll regret it")</v>
      </c>
      <c r="E383" s="41" t="n">
        <v>11</v>
      </c>
      <c r="F383" s="43" t="n">
        <f aca="false">'Cài đặt'!$B$38+E383-1</f>
        <v>46366</v>
      </c>
      <c r="G383" s="41" t="s">
        <v>444</v>
      </c>
      <c r="H383" s="44" t="str">
        <f aca="false">IF(G383="S1",'Cài đặt'!$B$7,'Cài đặt'!$B$8)</f>
        <v>12:00</v>
      </c>
      <c r="I383" s="44" t="str">
        <f aca="false">'Cài đặt'!$B$32</f>
        <v>Carousel</v>
      </c>
      <c r="J383" s="41" t="s">
        <v>132</v>
      </c>
      <c r="K383" s="41" t="s">
        <v>445</v>
      </c>
      <c r="L383" s="42" t="str">
        <f aca="false">C383&amp;"_"&amp;B383&amp;"_"&amp;IF(I383="Reel","R",IF(I383="Carousel","C","I"))&amp;"_"&amp;J383&amp;"_"&amp;IF(K383="AI tự động","AI","HU")&amp;"_"&amp;RIGHT(A383,3)</f>
        <v>P4_EXP2_C_A_AI_021</v>
      </c>
      <c r="M383" s="45"/>
      <c r="N383" s="45"/>
      <c r="O383" s="46"/>
      <c r="P383" s="46"/>
      <c r="Q383" s="46"/>
      <c r="R383" s="47"/>
      <c r="S383" s="45"/>
      <c r="T383" s="45"/>
      <c r="U383" s="48" t="str">
        <f aca="false">IF(O383&gt;0,P383/O383,"")</f>
        <v/>
      </c>
      <c r="V383" s="49" t="str">
        <f aca="false">IF(P383&gt;0,Q383/P383,"")</f>
        <v/>
      </c>
      <c r="W383" s="50" t="n">
        <f aca="false">IF(R383&lt;&gt;"",R383,Q383*'Cài đặt'!$B$12)</f>
        <v>0</v>
      </c>
      <c r="X383" s="50" t="str">
        <f aca="false">IF(O383&gt;0,W383/O383*1000,"")</f>
        <v/>
      </c>
      <c r="Y383" s="51" t="n">
        <f aca="false">IF(T383&lt;&gt;"",T383,INDEX('Cài đặt'!$B$20:$C$22,MATCH(I383,'Cài đặt'!$A$20:$A$22,0),IF(K383="AI tự động",1,2)))</f>
        <v>4</v>
      </c>
    </row>
    <row r="384" customFormat="false" ht="15" hidden="false" customHeight="false" outlineLevel="0" collapsed="false">
      <c r="A384" s="41" t="s">
        <v>832</v>
      </c>
      <c r="B384" s="41" t="s">
        <v>703</v>
      </c>
      <c r="C384" s="41" t="s">
        <v>178</v>
      </c>
      <c r="D384" s="42" t="str">
        <f aca="false">INDEX('Page và Ngách'!$B$5:$B$10,MATCH(C384,'Page và Ngách'!$A$5:$A$10,0))</f>
        <v>Revenge / Betrayal ("you'll regret it")</v>
      </c>
      <c r="E384" s="41" t="n">
        <v>11</v>
      </c>
      <c r="F384" s="43" t="n">
        <f aca="false">'Cài đặt'!$B$38+E384-1</f>
        <v>46366</v>
      </c>
      <c r="G384" s="41" t="s">
        <v>451</v>
      </c>
      <c r="H384" s="44" t="str">
        <f aca="false">IF(G384="S1",'Cài đặt'!$B$7,'Cài đặt'!$B$8)</f>
        <v>20:00</v>
      </c>
      <c r="I384" s="44" t="str">
        <f aca="false">'Cài đặt'!$B$32</f>
        <v>Carousel</v>
      </c>
      <c r="J384" s="41" t="s">
        <v>704</v>
      </c>
      <c r="K384" s="41" t="s">
        <v>445</v>
      </c>
      <c r="L384" s="42" t="str">
        <f aca="false">C384&amp;"_"&amp;B384&amp;"_"&amp;IF(I384="Reel","R",IF(I384="Carousel","C","I"))&amp;"_"&amp;J384&amp;"_"&amp;IF(K384="AI tự động","AI","HU")&amp;"_"&amp;RIGHT(A384,3)</f>
        <v>P4_EXP2_C_B_AI_022</v>
      </c>
      <c r="M384" s="45"/>
      <c r="N384" s="45"/>
      <c r="O384" s="46"/>
      <c r="P384" s="46"/>
      <c r="Q384" s="46"/>
      <c r="R384" s="47"/>
      <c r="S384" s="45"/>
      <c r="T384" s="45"/>
      <c r="U384" s="48" t="str">
        <f aca="false">IF(O384&gt;0,P384/O384,"")</f>
        <v/>
      </c>
      <c r="V384" s="49" t="str">
        <f aca="false">IF(P384&gt;0,Q384/P384,"")</f>
        <v/>
      </c>
      <c r="W384" s="50" t="n">
        <f aca="false">IF(R384&lt;&gt;"",R384,Q384*'Cài đặt'!$B$12)</f>
        <v>0</v>
      </c>
      <c r="X384" s="50" t="str">
        <f aca="false">IF(O384&gt;0,W384/O384*1000,"")</f>
        <v/>
      </c>
      <c r="Y384" s="51" t="n">
        <f aca="false">IF(T384&lt;&gt;"",T384,INDEX('Cài đặt'!$B$20:$C$22,MATCH(I384,'Cài đặt'!$A$20:$A$22,0),IF(K384="AI tự động",1,2)))</f>
        <v>4</v>
      </c>
    </row>
    <row r="385" customFormat="false" ht="15" hidden="false" customHeight="false" outlineLevel="0" collapsed="false">
      <c r="A385" s="41" t="s">
        <v>833</v>
      </c>
      <c r="B385" s="41" t="s">
        <v>703</v>
      </c>
      <c r="C385" s="41" t="s">
        <v>185</v>
      </c>
      <c r="D385" s="42" t="str">
        <f aca="false">INDEX('Page và Ngách'!$B$5:$B$10,MATCH(C385,'Page và Ngách'!$A$5:$A$10,0))</f>
        <v>Mafia / Dark romance (teaser PG-13)</v>
      </c>
      <c r="E385" s="41" t="n">
        <v>11</v>
      </c>
      <c r="F385" s="43" t="n">
        <f aca="false">'Cài đặt'!$B$38+E385-1</f>
        <v>46366</v>
      </c>
      <c r="G385" s="41" t="s">
        <v>444</v>
      </c>
      <c r="H385" s="44" t="str">
        <f aca="false">IF(G385="S1",'Cài đặt'!$B$7,'Cài đặt'!$B$8)</f>
        <v>12:00</v>
      </c>
      <c r="I385" s="44" t="str">
        <f aca="false">'Cài đặt'!$B$32</f>
        <v>Carousel</v>
      </c>
      <c r="J385" s="41" t="s">
        <v>704</v>
      </c>
      <c r="K385" s="41" t="s">
        <v>445</v>
      </c>
      <c r="L385" s="42" t="str">
        <f aca="false">C385&amp;"_"&amp;B385&amp;"_"&amp;IF(I385="Reel","R",IF(I385="Carousel","C","I"))&amp;"_"&amp;J385&amp;"_"&amp;IF(K385="AI tự động","AI","HU")&amp;"_"&amp;RIGHT(A385,3)</f>
        <v>P5_EXP2_C_B_AI_021</v>
      </c>
      <c r="M385" s="45"/>
      <c r="N385" s="45"/>
      <c r="O385" s="46"/>
      <c r="P385" s="46"/>
      <c r="Q385" s="46"/>
      <c r="R385" s="47"/>
      <c r="S385" s="45"/>
      <c r="T385" s="45"/>
      <c r="U385" s="48" t="str">
        <f aca="false">IF(O385&gt;0,P385/O385,"")</f>
        <v/>
      </c>
      <c r="V385" s="49" t="str">
        <f aca="false">IF(P385&gt;0,Q385/P385,"")</f>
        <v/>
      </c>
      <c r="W385" s="50" t="n">
        <f aca="false">IF(R385&lt;&gt;"",R385,Q385*'Cài đặt'!$B$12)</f>
        <v>0</v>
      </c>
      <c r="X385" s="50" t="str">
        <f aca="false">IF(O385&gt;0,W385/O385*1000,"")</f>
        <v/>
      </c>
      <c r="Y385" s="51" t="n">
        <f aca="false">IF(T385&lt;&gt;"",T385,INDEX('Cài đặt'!$B$20:$C$22,MATCH(I385,'Cài đặt'!$A$20:$A$22,0),IF(K385="AI tự động",1,2)))</f>
        <v>4</v>
      </c>
    </row>
    <row r="386" customFormat="false" ht="15" hidden="false" customHeight="false" outlineLevel="0" collapsed="false">
      <c r="A386" s="41" t="s">
        <v>834</v>
      </c>
      <c r="B386" s="41" t="s">
        <v>703</v>
      </c>
      <c r="C386" s="41" t="s">
        <v>185</v>
      </c>
      <c r="D386" s="42" t="str">
        <f aca="false">INDEX('Page và Ngách'!$B$5:$B$10,MATCH(C386,'Page và Ngách'!$A$5:$A$10,0))</f>
        <v>Mafia / Dark romance (teaser PG-13)</v>
      </c>
      <c r="E386" s="41" t="n">
        <v>11</v>
      </c>
      <c r="F386" s="43" t="n">
        <f aca="false">'Cài đặt'!$B$38+E386-1</f>
        <v>46366</v>
      </c>
      <c r="G386" s="41" t="s">
        <v>451</v>
      </c>
      <c r="H386" s="44" t="str">
        <f aca="false">IF(G386="S1",'Cài đặt'!$B$7,'Cài đặt'!$B$8)</f>
        <v>20:00</v>
      </c>
      <c r="I386" s="44" t="str">
        <f aca="false">'Cài đặt'!$B$32</f>
        <v>Carousel</v>
      </c>
      <c r="J386" s="41" t="s">
        <v>706</v>
      </c>
      <c r="K386" s="41" t="s">
        <v>445</v>
      </c>
      <c r="L386" s="42" t="str">
        <f aca="false">C386&amp;"_"&amp;B386&amp;"_"&amp;IF(I386="Reel","R",IF(I386="Carousel","C","I"))&amp;"_"&amp;J386&amp;"_"&amp;IF(K386="AI tự động","AI","HU")&amp;"_"&amp;RIGHT(A386,3)</f>
        <v>P5_EXP2_C_C_AI_022</v>
      </c>
      <c r="M386" s="45"/>
      <c r="N386" s="45"/>
      <c r="O386" s="46"/>
      <c r="P386" s="46"/>
      <c r="Q386" s="46"/>
      <c r="R386" s="47"/>
      <c r="S386" s="45"/>
      <c r="T386" s="45"/>
      <c r="U386" s="48" t="str">
        <f aca="false">IF(O386&gt;0,P386/O386,"")</f>
        <v/>
      </c>
      <c r="V386" s="49" t="str">
        <f aca="false">IF(P386&gt;0,Q386/P386,"")</f>
        <v/>
      </c>
      <c r="W386" s="50" t="n">
        <f aca="false">IF(R386&lt;&gt;"",R386,Q386*'Cài đặt'!$B$12)</f>
        <v>0</v>
      </c>
      <c r="X386" s="50" t="str">
        <f aca="false">IF(O386&gt;0,W386/O386*1000,"")</f>
        <v/>
      </c>
      <c r="Y386" s="51" t="n">
        <f aca="false">IF(T386&lt;&gt;"",T386,INDEX('Cài đặt'!$B$20:$C$22,MATCH(I386,'Cài đặt'!$A$20:$A$22,0),IF(K386="AI tự động",1,2)))</f>
        <v>4</v>
      </c>
    </row>
    <row r="387" customFormat="false" ht="15" hidden="false" customHeight="false" outlineLevel="0" collapsed="false">
      <c r="A387" s="41" t="s">
        <v>835</v>
      </c>
      <c r="B387" s="41" t="s">
        <v>703</v>
      </c>
      <c r="C387" s="41" t="s">
        <v>193</v>
      </c>
      <c r="D387" s="42" t="str">
        <f aca="false">INDEX('Page và Ngách'!$B$5:$B$10,MATCH(C387,'Page và Ngách'!$A$5:$A$10,0))</f>
        <v>Second chance / Secret baby</v>
      </c>
      <c r="E387" s="41" t="n">
        <v>11</v>
      </c>
      <c r="F387" s="43" t="n">
        <f aca="false">'Cài đặt'!$B$38+E387-1</f>
        <v>46366</v>
      </c>
      <c r="G387" s="41" t="s">
        <v>444</v>
      </c>
      <c r="H387" s="44" t="str">
        <f aca="false">IF(G387="S1",'Cài đặt'!$B$7,'Cài đặt'!$B$8)</f>
        <v>12:00</v>
      </c>
      <c r="I387" s="44" t="str">
        <f aca="false">'Cài đặt'!$B$32</f>
        <v>Carousel</v>
      </c>
      <c r="J387" s="41" t="s">
        <v>706</v>
      </c>
      <c r="K387" s="41" t="s">
        <v>445</v>
      </c>
      <c r="L387" s="42" t="str">
        <f aca="false">C387&amp;"_"&amp;B387&amp;"_"&amp;IF(I387="Reel","R",IF(I387="Carousel","C","I"))&amp;"_"&amp;J387&amp;"_"&amp;IF(K387="AI tự động","AI","HU")&amp;"_"&amp;RIGHT(A387,3)</f>
        <v>P6_EXP2_C_C_AI_021</v>
      </c>
      <c r="M387" s="45"/>
      <c r="N387" s="45"/>
      <c r="O387" s="46"/>
      <c r="P387" s="46"/>
      <c r="Q387" s="46"/>
      <c r="R387" s="47"/>
      <c r="S387" s="45"/>
      <c r="T387" s="45"/>
      <c r="U387" s="48" t="str">
        <f aca="false">IF(O387&gt;0,P387/O387,"")</f>
        <v/>
      </c>
      <c r="V387" s="49" t="str">
        <f aca="false">IF(P387&gt;0,Q387/P387,"")</f>
        <v/>
      </c>
      <c r="W387" s="50" t="n">
        <f aca="false">IF(R387&lt;&gt;"",R387,Q387*'Cài đặt'!$B$12)</f>
        <v>0</v>
      </c>
      <c r="X387" s="50" t="str">
        <f aca="false">IF(O387&gt;0,W387/O387*1000,"")</f>
        <v/>
      </c>
      <c r="Y387" s="51" t="n">
        <f aca="false">IF(T387&lt;&gt;"",T387,INDEX('Cài đặt'!$B$20:$C$22,MATCH(I387,'Cài đặt'!$A$20:$A$22,0),IF(K387="AI tự động",1,2)))</f>
        <v>4</v>
      </c>
    </row>
    <row r="388" customFormat="false" ht="15" hidden="false" customHeight="false" outlineLevel="0" collapsed="false">
      <c r="A388" s="41" t="s">
        <v>836</v>
      </c>
      <c r="B388" s="41" t="s">
        <v>703</v>
      </c>
      <c r="C388" s="41" t="s">
        <v>193</v>
      </c>
      <c r="D388" s="42" t="str">
        <f aca="false">INDEX('Page và Ngách'!$B$5:$B$10,MATCH(C388,'Page và Ngách'!$A$5:$A$10,0))</f>
        <v>Second chance / Secret baby</v>
      </c>
      <c r="E388" s="41" t="n">
        <v>11</v>
      </c>
      <c r="F388" s="43" t="n">
        <f aca="false">'Cài đặt'!$B$38+E388-1</f>
        <v>46366</v>
      </c>
      <c r="G388" s="41" t="s">
        <v>451</v>
      </c>
      <c r="H388" s="44" t="str">
        <f aca="false">IF(G388="S1",'Cài đặt'!$B$7,'Cài đặt'!$B$8)</f>
        <v>20:00</v>
      </c>
      <c r="I388" s="44" t="str">
        <f aca="false">'Cài đặt'!$B$32</f>
        <v>Carousel</v>
      </c>
      <c r="J388" s="41" t="s">
        <v>132</v>
      </c>
      <c r="K388" s="41" t="s">
        <v>445</v>
      </c>
      <c r="L388" s="42" t="str">
        <f aca="false">C388&amp;"_"&amp;B388&amp;"_"&amp;IF(I388="Reel","R",IF(I388="Carousel","C","I"))&amp;"_"&amp;J388&amp;"_"&amp;IF(K388="AI tự động","AI","HU")&amp;"_"&amp;RIGHT(A388,3)</f>
        <v>P6_EXP2_C_A_AI_022</v>
      </c>
      <c r="M388" s="45"/>
      <c r="N388" s="45"/>
      <c r="O388" s="46"/>
      <c r="P388" s="46"/>
      <c r="Q388" s="46"/>
      <c r="R388" s="47"/>
      <c r="S388" s="45"/>
      <c r="T388" s="45"/>
      <c r="U388" s="48" t="str">
        <f aca="false">IF(O388&gt;0,P388/O388,"")</f>
        <v/>
      </c>
      <c r="V388" s="49" t="str">
        <f aca="false">IF(P388&gt;0,Q388/P388,"")</f>
        <v/>
      </c>
      <c r="W388" s="50" t="n">
        <f aca="false">IF(R388&lt;&gt;"",R388,Q388*'Cài đặt'!$B$12)</f>
        <v>0</v>
      </c>
      <c r="X388" s="50" t="str">
        <f aca="false">IF(O388&gt;0,W388/O388*1000,"")</f>
        <v/>
      </c>
      <c r="Y388" s="51" t="n">
        <f aca="false">IF(T388&lt;&gt;"",T388,INDEX('Cài đặt'!$B$20:$C$22,MATCH(I388,'Cài đặt'!$A$20:$A$22,0),IF(K388="AI tự động",1,2)))</f>
        <v>4</v>
      </c>
    </row>
    <row r="389" customFormat="false" ht="15" hidden="false" customHeight="false" outlineLevel="0" collapsed="false">
      <c r="A389" s="41" t="s">
        <v>837</v>
      </c>
      <c r="B389" s="41" t="s">
        <v>703</v>
      </c>
      <c r="C389" s="41" t="s">
        <v>154</v>
      </c>
      <c r="D389" s="42" t="str">
        <f aca="false">INDEX('Page và Ngách'!$B$5:$B$10,MATCH(C389,'Page và Ngách'!$A$5:$A$10,0))</f>
        <v>Werewolf / Rejected mate</v>
      </c>
      <c r="E389" s="41" t="n">
        <v>12</v>
      </c>
      <c r="F389" s="43" t="n">
        <f aca="false">'Cài đặt'!$B$38+E389-1</f>
        <v>46367</v>
      </c>
      <c r="G389" s="41" t="s">
        <v>444</v>
      </c>
      <c r="H389" s="44" t="str">
        <f aca="false">IF(G389="S1",'Cài đặt'!$B$7,'Cài đặt'!$B$8)</f>
        <v>12:00</v>
      </c>
      <c r="I389" s="44" t="str">
        <f aca="false">'Cài đặt'!$B$32</f>
        <v>Carousel</v>
      </c>
      <c r="J389" s="41" t="s">
        <v>706</v>
      </c>
      <c r="K389" s="41" t="s">
        <v>445</v>
      </c>
      <c r="L389" s="42" t="str">
        <f aca="false">C389&amp;"_"&amp;B389&amp;"_"&amp;IF(I389="Reel","R",IF(I389="Carousel","C","I"))&amp;"_"&amp;J389&amp;"_"&amp;IF(K389="AI tự động","AI","HU")&amp;"_"&amp;RIGHT(A389,3)</f>
        <v>P1_EXP2_C_C_AI_023</v>
      </c>
      <c r="M389" s="45"/>
      <c r="N389" s="45"/>
      <c r="O389" s="46"/>
      <c r="P389" s="46"/>
      <c r="Q389" s="46"/>
      <c r="R389" s="47"/>
      <c r="S389" s="45"/>
      <c r="T389" s="45"/>
      <c r="U389" s="48" t="str">
        <f aca="false">IF(O389&gt;0,P389/O389,"")</f>
        <v/>
      </c>
      <c r="V389" s="49" t="str">
        <f aca="false">IF(P389&gt;0,Q389/P389,"")</f>
        <v/>
      </c>
      <c r="W389" s="50" t="n">
        <f aca="false">IF(R389&lt;&gt;"",R389,Q389*'Cài đặt'!$B$12)</f>
        <v>0</v>
      </c>
      <c r="X389" s="50" t="str">
        <f aca="false">IF(O389&gt;0,W389/O389*1000,"")</f>
        <v/>
      </c>
      <c r="Y389" s="51" t="n">
        <f aca="false">IF(T389&lt;&gt;"",T389,INDEX('Cài đặt'!$B$20:$C$22,MATCH(I389,'Cài đặt'!$A$20:$A$22,0),IF(K389="AI tự động",1,2)))</f>
        <v>4</v>
      </c>
    </row>
    <row r="390" customFormat="false" ht="15" hidden="false" customHeight="false" outlineLevel="0" collapsed="false">
      <c r="A390" s="41" t="s">
        <v>838</v>
      </c>
      <c r="B390" s="41" t="s">
        <v>703</v>
      </c>
      <c r="C390" s="41" t="s">
        <v>154</v>
      </c>
      <c r="D390" s="42" t="str">
        <f aca="false">INDEX('Page và Ngách'!$B$5:$B$10,MATCH(C390,'Page và Ngách'!$A$5:$A$10,0))</f>
        <v>Werewolf / Rejected mate</v>
      </c>
      <c r="E390" s="41" t="n">
        <v>12</v>
      </c>
      <c r="F390" s="43" t="n">
        <f aca="false">'Cài đặt'!$B$38+E390-1</f>
        <v>46367</v>
      </c>
      <c r="G390" s="41" t="s">
        <v>451</v>
      </c>
      <c r="H390" s="44" t="str">
        <f aca="false">IF(G390="S1",'Cài đặt'!$B$7,'Cài đặt'!$B$8)</f>
        <v>20:00</v>
      </c>
      <c r="I390" s="44" t="str">
        <f aca="false">'Cài đặt'!$B$32</f>
        <v>Carousel</v>
      </c>
      <c r="J390" s="41" t="s">
        <v>132</v>
      </c>
      <c r="K390" s="41" t="s">
        <v>445</v>
      </c>
      <c r="L390" s="42" t="str">
        <f aca="false">C390&amp;"_"&amp;B390&amp;"_"&amp;IF(I390="Reel","R",IF(I390="Carousel","C","I"))&amp;"_"&amp;J390&amp;"_"&amp;IF(K390="AI tự động","AI","HU")&amp;"_"&amp;RIGHT(A390,3)</f>
        <v>P1_EXP2_C_A_AI_024</v>
      </c>
      <c r="M390" s="45"/>
      <c r="N390" s="45"/>
      <c r="O390" s="46"/>
      <c r="P390" s="46"/>
      <c r="Q390" s="46"/>
      <c r="R390" s="47"/>
      <c r="S390" s="45"/>
      <c r="T390" s="45"/>
      <c r="U390" s="48" t="str">
        <f aca="false">IF(O390&gt;0,P390/O390,"")</f>
        <v/>
      </c>
      <c r="V390" s="49" t="str">
        <f aca="false">IF(P390&gt;0,Q390/P390,"")</f>
        <v/>
      </c>
      <c r="W390" s="50" t="n">
        <f aca="false">IF(R390&lt;&gt;"",R390,Q390*'Cài đặt'!$B$12)</f>
        <v>0</v>
      </c>
      <c r="X390" s="50" t="str">
        <f aca="false">IF(O390&gt;0,W390/O390*1000,"")</f>
        <v/>
      </c>
      <c r="Y390" s="51" t="n">
        <f aca="false">IF(T390&lt;&gt;"",T390,INDEX('Cài đặt'!$B$20:$C$22,MATCH(I390,'Cài đặt'!$A$20:$A$22,0),IF(K390="AI tự động",1,2)))</f>
        <v>4</v>
      </c>
    </row>
    <row r="391" customFormat="false" ht="15" hidden="false" customHeight="false" outlineLevel="0" collapsed="false">
      <c r="A391" s="41" t="s">
        <v>839</v>
      </c>
      <c r="B391" s="41" t="s">
        <v>703</v>
      </c>
      <c r="C391" s="41" t="s">
        <v>163</v>
      </c>
      <c r="D391" s="42" t="str">
        <f aca="false">INDEX('Page và Ngách'!$B$5:$B$10,MATCH(C391,'Page và Ngách'!$A$5:$A$10,0))</f>
        <v>Secret billionaire / CEO</v>
      </c>
      <c r="E391" s="41" t="n">
        <v>12</v>
      </c>
      <c r="F391" s="43" t="n">
        <f aca="false">'Cài đặt'!$B$38+E391-1</f>
        <v>46367</v>
      </c>
      <c r="G391" s="41" t="s">
        <v>444</v>
      </c>
      <c r="H391" s="44" t="str">
        <f aca="false">IF(G391="S1",'Cài đặt'!$B$7,'Cài đặt'!$B$8)</f>
        <v>12:00</v>
      </c>
      <c r="I391" s="44" t="str">
        <f aca="false">'Cài đặt'!$B$32</f>
        <v>Carousel</v>
      </c>
      <c r="J391" s="41" t="s">
        <v>132</v>
      </c>
      <c r="K391" s="41" t="s">
        <v>445</v>
      </c>
      <c r="L391" s="42" t="str">
        <f aca="false">C391&amp;"_"&amp;B391&amp;"_"&amp;IF(I391="Reel","R",IF(I391="Carousel","C","I"))&amp;"_"&amp;J391&amp;"_"&amp;IF(K391="AI tự động","AI","HU")&amp;"_"&amp;RIGHT(A391,3)</f>
        <v>P2_EXP2_C_A_AI_023</v>
      </c>
      <c r="M391" s="45"/>
      <c r="N391" s="45"/>
      <c r="O391" s="46"/>
      <c r="P391" s="46"/>
      <c r="Q391" s="46"/>
      <c r="R391" s="47"/>
      <c r="S391" s="45"/>
      <c r="T391" s="45"/>
      <c r="U391" s="48" t="str">
        <f aca="false">IF(O391&gt;0,P391/O391,"")</f>
        <v/>
      </c>
      <c r="V391" s="49" t="str">
        <f aca="false">IF(P391&gt;0,Q391/P391,"")</f>
        <v/>
      </c>
      <c r="W391" s="50" t="n">
        <f aca="false">IF(R391&lt;&gt;"",R391,Q391*'Cài đặt'!$B$12)</f>
        <v>0</v>
      </c>
      <c r="X391" s="50" t="str">
        <f aca="false">IF(O391&gt;0,W391/O391*1000,"")</f>
        <v/>
      </c>
      <c r="Y391" s="51" t="n">
        <f aca="false">IF(T391&lt;&gt;"",T391,INDEX('Cài đặt'!$B$20:$C$22,MATCH(I391,'Cài đặt'!$A$20:$A$22,0),IF(K391="AI tự động",1,2)))</f>
        <v>4</v>
      </c>
    </row>
    <row r="392" customFormat="false" ht="15" hidden="false" customHeight="false" outlineLevel="0" collapsed="false">
      <c r="A392" s="41" t="s">
        <v>840</v>
      </c>
      <c r="B392" s="41" t="s">
        <v>703</v>
      </c>
      <c r="C392" s="41" t="s">
        <v>163</v>
      </c>
      <c r="D392" s="42" t="str">
        <f aca="false">INDEX('Page và Ngách'!$B$5:$B$10,MATCH(C392,'Page và Ngách'!$A$5:$A$10,0))</f>
        <v>Secret billionaire / CEO</v>
      </c>
      <c r="E392" s="41" t="n">
        <v>12</v>
      </c>
      <c r="F392" s="43" t="n">
        <f aca="false">'Cài đặt'!$B$38+E392-1</f>
        <v>46367</v>
      </c>
      <c r="G392" s="41" t="s">
        <v>451</v>
      </c>
      <c r="H392" s="44" t="str">
        <f aca="false">IF(G392="S1",'Cài đặt'!$B$7,'Cài đặt'!$B$8)</f>
        <v>20:00</v>
      </c>
      <c r="I392" s="44" t="str">
        <f aca="false">'Cài đặt'!$B$32</f>
        <v>Carousel</v>
      </c>
      <c r="J392" s="41" t="s">
        <v>704</v>
      </c>
      <c r="K392" s="41" t="s">
        <v>445</v>
      </c>
      <c r="L392" s="42" t="str">
        <f aca="false">C392&amp;"_"&amp;B392&amp;"_"&amp;IF(I392="Reel","R",IF(I392="Carousel","C","I"))&amp;"_"&amp;J392&amp;"_"&amp;IF(K392="AI tự động","AI","HU")&amp;"_"&amp;RIGHT(A392,3)</f>
        <v>P2_EXP2_C_B_AI_024</v>
      </c>
      <c r="M392" s="45"/>
      <c r="N392" s="45"/>
      <c r="O392" s="46"/>
      <c r="P392" s="46"/>
      <c r="Q392" s="46"/>
      <c r="R392" s="47"/>
      <c r="S392" s="45"/>
      <c r="T392" s="45"/>
      <c r="U392" s="48" t="str">
        <f aca="false">IF(O392&gt;0,P392/O392,"")</f>
        <v/>
      </c>
      <c r="V392" s="49" t="str">
        <f aca="false">IF(P392&gt;0,Q392/P392,"")</f>
        <v/>
      </c>
      <c r="W392" s="50" t="n">
        <f aca="false">IF(R392&lt;&gt;"",R392,Q392*'Cài đặt'!$B$12)</f>
        <v>0</v>
      </c>
      <c r="X392" s="50" t="str">
        <f aca="false">IF(O392&gt;0,W392/O392*1000,"")</f>
        <v/>
      </c>
      <c r="Y392" s="51" t="n">
        <f aca="false">IF(T392&lt;&gt;"",T392,INDEX('Cài đặt'!$B$20:$C$22,MATCH(I392,'Cài đặt'!$A$20:$A$22,0),IF(K392="AI tự động",1,2)))</f>
        <v>4</v>
      </c>
    </row>
    <row r="393" customFormat="false" ht="15" hidden="false" customHeight="false" outlineLevel="0" collapsed="false">
      <c r="A393" s="41" t="s">
        <v>841</v>
      </c>
      <c r="B393" s="41" t="s">
        <v>703</v>
      </c>
      <c r="C393" s="41" t="s">
        <v>171</v>
      </c>
      <c r="D393" s="42" t="str">
        <f aca="false">INDEX('Page và Ngách'!$B$5:$B$10,MATCH(C393,'Page và Ngách'!$A$5:$A$10,0))</f>
        <v>Contract marriage / Fake relationship</v>
      </c>
      <c r="E393" s="41" t="n">
        <v>12</v>
      </c>
      <c r="F393" s="43" t="n">
        <f aca="false">'Cài đặt'!$B$38+E393-1</f>
        <v>46367</v>
      </c>
      <c r="G393" s="41" t="s">
        <v>444</v>
      </c>
      <c r="H393" s="44" t="str">
        <f aca="false">IF(G393="S1",'Cài đặt'!$B$7,'Cài đặt'!$B$8)</f>
        <v>12:00</v>
      </c>
      <c r="I393" s="44" t="str">
        <f aca="false">'Cài đặt'!$B$32</f>
        <v>Carousel</v>
      </c>
      <c r="J393" s="41" t="s">
        <v>704</v>
      </c>
      <c r="K393" s="41" t="s">
        <v>445</v>
      </c>
      <c r="L393" s="42" t="str">
        <f aca="false">C393&amp;"_"&amp;B393&amp;"_"&amp;IF(I393="Reel","R",IF(I393="Carousel","C","I"))&amp;"_"&amp;J393&amp;"_"&amp;IF(K393="AI tự động","AI","HU")&amp;"_"&amp;RIGHT(A393,3)</f>
        <v>P3_EXP2_C_B_AI_023</v>
      </c>
      <c r="M393" s="45"/>
      <c r="N393" s="45"/>
      <c r="O393" s="46"/>
      <c r="P393" s="46"/>
      <c r="Q393" s="46"/>
      <c r="R393" s="47"/>
      <c r="S393" s="45"/>
      <c r="T393" s="45"/>
      <c r="U393" s="48" t="str">
        <f aca="false">IF(O393&gt;0,P393/O393,"")</f>
        <v/>
      </c>
      <c r="V393" s="49" t="str">
        <f aca="false">IF(P393&gt;0,Q393/P393,"")</f>
        <v/>
      </c>
      <c r="W393" s="50" t="n">
        <f aca="false">IF(R393&lt;&gt;"",R393,Q393*'Cài đặt'!$B$12)</f>
        <v>0</v>
      </c>
      <c r="X393" s="50" t="str">
        <f aca="false">IF(O393&gt;0,W393/O393*1000,"")</f>
        <v/>
      </c>
      <c r="Y393" s="51" t="n">
        <f aca="false">IF(T393&lt;&gt;"",T393,INDEX('Cài đặt'!$B$20:$C$22,MATCH(I393,'Cài đặt'!$A$20:$A$22,0),IF(K393="AI tự động",1,2)))</f>
        <v>4</v>
      </c>
    </row>
    <row r="394" customFormat="false" ht="15" hidden="false" customHeight="false" outlineLevel="0" collapsed="false">
      <c r="A394" s="41" t="s">
        <v>842</v>
      </c>
      <c r="B394" s="41" t="s">
        <v>703</v>
      </c>
      <c r="C394" s="41" t="s">
        <v>171</v>
      </c>
      <c r="D394" s="42" t="str">
        <f aca="false">INDEX('Page và Ngách'!$B$5:$B$10,MATCH(C394,'Page và Ngách'!$A$5:$A$10,0))</f>
        <v>Contract marriage / Fake relationship</v>
      </c>
      <c r="E394" s="41" t="n">
        <v>12</v>
      </c>
      <c r="F394" s="43" t="n">
        <f aca="false">'Cài đặt'!$B$38+E394-1</f>
        <v>46367</v>
      </c>
      <c r="G394" s="41" t="s">
        <v>451</v>
      </c>
      <c r="H394" s="44" t="str">
        <f aca="false">IF(G394="S1",'Cài đặt'!$B$7,'Cài đặt'!$B$8)</f>
        <v>20:00</v>
      </c>
      <c r="I394" s="44" t="str">
        <f aca="false">'Cài đặt'!$B$32</f>
        <v>Carousel</v>
      </c>
      <c r="J394" s="41" t="s">
        <v>706</v>
      </c>
      <c r="K394" s="41" t="s">
        <v>445</v>
      </c>
      <c r="L394" s="42" t="str">
        <f aca="false">C394&amp;"_"&amp;B394&amp;"_"&amp;IF(I394="Reel","R",IF(I394="Carousel","C","I"))&amp;"_"&amp;J394&amp;"_"&amp;IF(K394="AI tự động","AI","HU")&amp;"_"&amp;RIGHT(A394,3)</f>
        <v>P3_EXP2_C_C_AI_024</v>
      </c>
      <c r="M394" s="45"/>
      <c r="N394" s="45"/>
      <c r="O394" s="46"/>
      <c r="P394" s="46"/>
      <c r="Q394" s="46"/>
      <c r="R394" s="47"/>
      <c r="S394" s="45"/>
      <c r="T394" s="45"/>
      <c r="U394" s="48" t="str">
        <f aca="false">IF(O394&gt;0,P394/O394,"")</f>
        <v/>
      </c>
      <c r="V394" s="49" t="str">
        <f aca="false">IF(P394&gt;0,Q394/P394,"")</f>
        <v/>
      </c>
      <c r="W394" s="50" t="n">
        <f aca="false">IF(R394&lt;&gt;"",R394,Q394*'Cài đặt'!$B$12)</f>
        <v>0</v>
      </c>
      <c r="X394" s="50" t="str">
        <f aca="false">IF(O394&gt;0,W394/O394*1000,"")</f>
        <v/>
      </c>
      <c r="Y394" s="51" t="n">
        <f aca="false">IF(T394&lt;&gt;"",T394,INDEX('Cài đặt'!$B$20:$C$22,MATCH(I394,'Cài đặt'!$A$20:$A$22,0),IF(K394="AI tự động",1,2)))</f>
        <v>4</v>
      </c>
    </row>
    <row r="395" customFormat="false" ht="15" hidden="false" customHeight="false" outlineLevel="0" collapsed="false">
      <c r="A395" s="41" t="s">
        <v>843</v>
      </c>
      <c r="B395" s="41" t="s">
        <v>703</v>
      </c>
      <c r="C395" s="41" t="s">
        <v>178</v>
      </c>
      <c r="D395" s="42" t="str">
        <f aca="false">INDEX('Page và Ngách'!$B$5:$B$10,MATCH(C395,'Page và Ngách'!$A$5:$A$10,0))</f>
        <v>Revenge / Betrayal ("you'll regret it")</v>
      </c>
      <c r="E395" s="41" t="n">
        <v>12</v>
      </c>
      <c r="F395" s="43" t="n">
        <f aca="false">'Cài đặt'!$B$38+E395-1</f>
        <v>46367</v>
      </c>
      <c r="G395" s="41" t="s">
        <v>444</v>
      </c>
      <c r="H395" s="44" t="str">
        <f aca="false">IF(G395="S1",'Cài đặt'!$B$7,'Cài đặt'!$B$8)</f>
        <v>12:00</v>
      </c>
      <c r="I395" s="44" t="str">
        <f aca="false">'Cài đặt'!$B$32</f>
        <v>Carousel</v>
      </c>
      <c r="J395" s="41" t="s">
        <v>706</v>
      </c>
      <c r="K395" s="41" t="s">
        <v>445</v>
      </c>
      <c r="L395" s="42" t="str">
        <f aca="false">C395&amp;"_"&amp;B395&amp;"_"&amp;IF(I395="Reel","R",IF(I395="Carousel","C","I"))&amp;"_"&amp;J395&amp;"_"&amp;IF(K395="AI tự động","AI","HU")&amp;"_"&amp;RIGHT(A395,3)</f>
        <v>P4_EXP2_C_C_AI_023</v>
      </c>
      <c r="M395" s="45"/>
      <c r="N395" s="45"/>
      <c r="O395" s="46"/>
      <c r="P395" s="46"/>
      <c r="Q395" s="46"/>
      <c r="R395" s="47"/>
      <c r="S395" s="45"/>
      <c r="T395" s="45"/>
      <c r="U395" s="48" t="str">
        <f aca="false">IF(O395&gt;0,P395/O395,"")</f>
        <v/>
      </c>
      <c r="V395" s="49" t="str">
        <f aca="false">IF(P395&gt;0,Q395/P395,"")</f>
        <v/>
      </c>
      <c r="W395" s="50" t="n">
        <f aca="false">IF(R395&lt;&gt;"",R395,Q395*'Cài đặt'!$B$12)</f>
        <v>0</v>
      </c>
      <c r="X395" s="50" t="str">
        <f aca="false">IF(O395&gt;0,W395/O395*1000,"")</f>
        <v/>
      </c>
      <c r="Y395" s="51" t="n">
        <f aca="false">IF(T395&lt;&gt;"",T395,INDEX('Cài đặt'!$B$20:$C$22,MATCH(I395,'Cài đặt'!$A$20:$A$22,0),IF(K395="AI tự động",1,2)))</f>
        <v>4</v>
      </c>
    </row>
    <row r="396" customFormat="false" ht="15" hidden="false" customHeight="false" outlineLevel="0" collapsed="false">
      <c r="A396" s="41" t="s">
        <v>844</v>
      </c>
      <c r="B396" s="41" t="s">
        <v>703</v>
      </c>
      <c r="C396" s="41" t="s">
        <v>178</v>
      </c>
      <c r="D396" s="42" t="str">
        <f aca="false">INDEX('Page và Ngách'!$B$5:$B$10,MATCH(C396,'Page và Ngách'!$A$5:$A$10,0))</f>
        <v>Revenge / Betrayal ("you'll regret it")</v>
      </c>
      <c r="E396" s="41" t="n">
        <v>12</v>
      </c>
      <c r="F396" s="43" t="n">
        <f aca="false">'Cài đặt'!$B$38+E396-1</f>
        <v>46367</v>
      </c>
      <c r="G396" s="41" t="s">
        <v>451</v>
      </c>
      <c r="H396" s="44" t="str">
        <f aca="false">IF(G396="S1",'Cài đặt'!$B$7,'Cài đặt'!$B$8)</f>
        <v>20:00</v>
      </c>
      <c r="I396" s="44" t="str">
        <f aca="false">'Cài đặt'!$B$32</f>
        <v>Carousel</v>
      </c>
      <c r="J396" s="41" t="s">
        <v>132</v>
      </c>
      <c r="K396" s="41" t="s">
        <v>445</v>
      </c>
      <c r="L396" s="42" t="str">
        <f aca="false">C396&amp;"_"&amp;B396&amp;"_"&amp;IF(I396="Reel","R",IF(I396="Carousel","C","I"))&amp;"_"&amp;J396&amp;"_"&amp;IF(K396="AI tự động","AI","HU")&amp;"_"&amp;RIGHT(A396,3)</f>
        <v>P4_EXP2_C_A_AI_024</v>
      </c>
      <c r="M396" s="45"/>
      <c r="N396" s="45"/>
      <c r="O396" s="46"/>
      <c r="P396" s="46"/>
      <c r="Q396" s="46"/>
      <c r="R396" s="47"/>
      <c r="S396" s="45"/>
      <c r="T396" s="45"/>
      <c r="U396" s="48" t="str">
        <f aca="false">IF(O396&gt;0,P396/O396,"")</f>
        <v/>
      </c>
      <c r="V396" s="49" t="str">
        <f aca="false">IF(P396&gt;0,Q396/P396,"")</f>
        <v/>
      </c>
      <c r="W396" s="50" t="n">
        <f aca="false">IF(R396&lt;&gt;"",R396,Q396*'Cài đặt'!$B$12)</f>
        <v>0</v>
      </c>
      <c r="X396" s="50" t="str">
        <f aca="false">IF(O396&gt;0,W396/O396*1000,"")</f>
        <v/>
      </c>
      <c r="Y396" s="51" t="n">
        <f aca="false">IF(T396&lt;&gt;"",T396,INDEX('Cài đặt'!$B$20:$C$22,MATCH(I396,'Cài đặt'!$A$20:$A$22,0),IF(K396="AI tự động",1,2)))</f>
        <v>4</v>
      </c>
    </row>
    <row r="397" customFormat="false" ht="15" hidden="false" customHeight="false" outlineLevel="0" collapsed="false">
      <c r="A397" s="41" t="s">
        <v>845</v>
      </c>
      <c r="B397" s="41" t="s">
        <v>703</v>
      </c>
      <c r="C397" s="41" t="s">
        <v>185</v>
      </c>
      <c r="D397" s="42" t="str">
        <f aca="false">INDEX('Page và Ngách'!$B$5:$B$10,MATCH(C397,'Page và Ngách'!$A$5:$A$10,0))</f>
        <v>Mafia / Dark romance (teaser PG-13)</v>
      </c>
      <c r="E397" s="41" t="n">
        <v>12</v>
      </c>
      <c r="F397" s="43" t="n">
        <f aca="false">'Cài đặt'!$B$38+E397-1</f>
        <v>46367</v>
      </c>
      <c r="G397" s="41" t="s">
        <v>444</v>
      </c>
      <c r="H397" s="44" t="str">
        <f aca="false">IF(G397="S1",'Cài đặt'!$B$7,'Cài đặt'!$B$8)</f>
        <v>12:00</v>
      </c>
      <c r="I397" s="44" t="str">
        <f aca="false">'Cài đặt'!$B$32</f>
        <v>Carousel</v>
      </c>
      <c r="J397" s="41" t="s">
        <v>132</v>
      </c>
      <c r="K397" s="41" t="s">
        <v>445</v>
      </c>
      <c r="L397" s="42" t="str">
        <f aca="false">C397&amp;"_"&amp;B397&amp;"_"&amp;IF(I397="Reel","R",IF(I397="Carousel","C","I"))&amp;"_"&amp;J397&amp;"_"&amp;IF(K397="AI tự động","AI","HU")&amp;"_"&amp;RIGHT(A397,3)</f>
        <v>P5_EXP2_C_A_AI_023</v>
      </c>
      <c r="M397" s="45"/>
      <c r="N397" s="45"/>
      <c r="O397" s="46"/>
      <c r="P397" s="46"/>
      <c r="Q397" s="46"/>
      <c r="R397" s="47"/>
      <c r="S397" s="45"/>
      <c r="T397" s="45"/>
      <c r="U397" s="48" t="str">
        <f aca="false">IF(O397&gt;0,P397/O397,"")</f>
        <v/>
      </c>
      <c r="V397" s="49" t="str">
        <f aca="false">IF(P397&gt;0,Q397/P397,"")</f>
        <v/>
      </c>
      <c r="W397" s="50" t="n">
        <f aca="false">IF(R397&lt;&gt;"",R397,Q397*'Cài đặt'!$B$12)</f>
        <v>0</v>
      </c>
      <c r="X397" s="50" t="str">
        <f aca="false">IF(O397&gt;0,W397/O397*1000,"")</f>
        <v/>
      </c>
      <c r="Y397" s="51" t="n">
        <f aca="false">IF(T397&lt;&gt;"",T397,INDEX('Cài đặt'!$B$20:$C$22,MATCH(I397,'Cài đặt'!$A$20:$A$22,0),IF(K397="AI tự động",1,2)))</f>
        <v>4</v>
      </c>
    </row>
    <row r="398" customFormat="false" ht="15" hidden="false" customHeight="false" outlineLevel="0" collapsed="false">
      <c r="A398" s="41" t="s">
        <v>846</v>
      </c>
      <c r="B398" s="41" t="s">
        <v>703</v>
      </c>
      <c r="C398" s="41" t="s">
        <v>185</v>
      </c>
      <c r="D398" s="42" t="str">
        <f aca="false">INDEX('Page và Ngách'!$B$5:$B$10,MATCH(C398,'Page và Ngách'!$A$5:$A$10,0))</f>
        <v>Mafia / Dark romance (teaser PG-13)</v>
      </c>
      <c r="E398" s="41" t="n">
        <v>12</v>
      </c>
      <c r="F398" s="43" t="n">
        <f aca="false">'Cài đặt'!$B$38+E398-1</f>
        <v>46367</v>
      </c>
      <c r="G398" s="41" t="s">
        <v>451</v>
      </c>
      <c r="H398" s="44" t="str">
        <f aca="false">IF(G398="S1",'Cài đặt'!$B$7,'Cài đặt'!$B$8)</f>
        <v>20:00</v>
      </c>
      <c r="I398" s="44" t="str">
        <f aca="false">'Cài đặt'!$B$32</f>
        <v>Carousel</v>
      </c>
      <c r="J398" s="41" t="s">
        <v>704</v>
      </c>
      <c r="K398" s="41" t="s">
        <v>445</v>
      </c>
      <c r="L398" s="42" t="str">
        <f aca="false">C398&amp;"_"&amp;B398&amp;"_"&amp;IF(I398="Reel","R",IF(I398="Carousel","C","I"))&amp;"_"&amp;J398&amp;"_"&amp;IF(K398="AI tự động","AI","HU")&amp;"_"&amp;RIGHT(A398,3)</f>
        <v>P5_EXP2_C_B_AI_024</v>
      </c>
      <c r="M398" s="45"/>
      <c r="N398" s="45"/>
      <c r="O398" s="46"/>
      <c r="P398" s="46"/>
      <c r="Q398" s="46"/>
      <c r="R398" s="47"/>
      <c r="S398" s="45"/>
      <c r="T398" s="45"/>
      <c r="U398" s="48" t="str">
        <f aca="false">IF(O398&gt;0,P398/O398,"")</f>
        <v/>
      </c>
      <c r="V398" s="49" t="str">
        <f aca="false">IF(P398&gt;0,Q398/P398,"")</f>
        <v/>
      </c>
      <c r="W398" s="50" t="n">
        <f aca="false">IF(R398&lt;&gt;"",R398,Q398*'Cài đặt'!$B$12)</f>
        <v>0</v>
      </c>
      <c r="X398" s="50" t="str">
        <f aca="false">IF(O398&gt;0,W398/O398*1000,"")</f>
        <v/>
      </c>
      <c r="Y398" s="51" t="n">
        <f aca="false">IF(T398&lt;&gt;"",T398,INDEX('Cài đặt'!$B$20:$C$22,MATCH(I398,'Cài đặt'!$A$20:$A$22,0),IF(K398="AI tự động",1,2)))</f>
        <v>4</v>
      </c>
    </row>
    <row r="399" customFormat="false" ht="15" hidden="false" customHeight="false" outlineLevel="0" collapsed="false">
      <c r="A399" s="41" t="s">
        <v>847</v>
      </c>
      <c r="B399" s="41" t="s">
        <v>703</v>
      </c>
      <c r="C399" s="41" t="s">
        <v>193</v>
      </c>
      <c r="D399" s="42" t="str">
        <f aca="false">INDEX('Page và Ngách'!$B$5:$B$10,MATCH(C399,'Page và Ngách'!$A$5:$A$10,0))</f>
        <v>Second chance / Secret baby</v>
      </c>
      <c r="E399" s="41" t="n">
        <v>12</v>
      </c>
      <c r="F399" s="43" t="n">
        <f aca="false">'Cài đặt'!$B$38+E399-1</f>
        <v>46367</v>
      </c>
      <c r="G399" s="41" t="s">
        <v>444</v>
      </c>
      <c r="H399" s="44" t="str">
        <f aca="false">IF(G399="S1",'Cài đặt'!$B$7,'Cài đặt'!$B$8)</f>
        <v>12:00</v>
      </c>
      <c r="I399" s="44" t="str">
        <f aca="false">'Cài đặt'!$B$32</f>
        <v>Carousel</v>
      </c>
      <c r="J399" s="41" t="s">
        <v>704</v>
      </c>
      <c r="K399" s="41" t="s">
        <v>445</v>
      </c>
      <c r="L399" s="42" t="str">
        <f aca="false">C399&amp;"_"&amp;B399&amp;"_"&amp;IF(I399="Reel","R",IF(I399="Carousel","C","I"))&amp;"_"&amp;J399&amp;"_"&amp;IF(K399="AI tự động","AI","HU")&amp;"_"&amp;RIGHT(A399,3)</f>
        <v>P6_EXP2_C_B_AI_023</v>
      </c>
      <c r="M399" s="45"/>
      <c r="N399" s="45"/>
      <c r="O399" s="46"/>
      <c r="P399" s="46"/>
      <c r="Q399" s="46"/>
      <c r="R399" s="47"/>
      <c r="S399" s="45"/>
      <c r="T399" s="45"/>
      <c r="U399" s="48" t="str">
        <f aca="false">IF(O399&gt;0,P399/O399,"")</f>
        <v/>
      </c>
      <c r="V399" s="49" t="str">
        <f aca="false">IF(P399&gt;0,Q399/P399,"")</f>
        <v/>
      </c>
      <c r="W399" s="50" t="n">
        <f aca="false">IF(R399&lt;&gt;"",R399,Q399*'Cài đặt'!$B$12)</f>
        <v>0</v>
      </c>
      <c r="X399" s="50" t="str">
        <f aca="false">IF(O399&gt;0,W399/O399*1000,"")</f>
        <v/>
      </c>
      <c r="Y399" s="51" t="n">
        <f aca="false">IF(T399&lt;&gt;"",T399,INDEX('Cài đặt'!$B$20:$C$22,MATCH(I399,'Cài đặt'!$A$20:$A$22,0),IF(K399="AI tự động",1,2)))</f>
        <v>4</v>
      </c>
    </row>
    <row r="400" customFormat="false" ht="15" hidden="false" customHeight="false" outlineLevel="0" collapsed="false">
      <c r="A400" s="41" t="s">
        <v>848</v>
      </c>
      <c r="B400" s="41" t="s">
        <v>703</v>
      </c>
      <c r="C400" s="41" t="s">
        <v>193</v>
      </c>
      <c r="D400" s="42" t="str">
        <f aca="false">INDEX('Page và Ngách'!$B$5:$B$10,MATCH(C400,'Page và Ngách'!$A$5:$A$10,0))</f>
        <v>Second chance / Secret baby</v>
      </c>
      <c r="E400" s="41" t="n">
        <v>12</v>
      </c>
      <c r="F400" s="43" t="n">
        <f aca="false">'Cài đặt'!$B$38+E400-1</f>
        <v>46367</v>
      </c>
      <c r="G400" s="41" t="s">
        <v>451</v>
      </c>
      <c r="H400" s="44" t="str">
        <f aca="false">IF(G400="S1",'Cài đặt'!$B$7,'Cài đặt'!$B$8)</f>
        <v>20:00</v>
      </c>
      <c r="I400" s="44" t="str">
        <f aca="false">'Cài đặt'!$B$32</f>
        <v>Carousel</v>
      </c>
      <c r="J400" s="41" t="s">
        <v>706</v>
      </c>
      <c r="K400" s="41" t="s">
        <v>445</v>
      </c>
      <c r="L400" s="42" t="str">
        <f aca="false">C400&amp;"_"&amp;B400&amp;"_"&amp;IF(I400="Reel","R",IF(I400="Carousel","C","I"))&amp;"_"&amp;J400&amp;"_"&amp;IF(K400="AI tự động","AI","HU")&amp;"_"&amp;RIGHT(A400,3)</f>
        <v>P6_EXP2_C_C_AI_024</v>
      </c>
      <c r="M400" s="45"/>
      <c r="N400" s="45"/>
      <c r="O400" s="46"/>
      <c r="P400" s="46"/>
      <c r="Q400" s="46"/>
      <c r="R400" s="47"/>
      <c r="S400" s="45"/>
      <c r="T400" s="45"/>
      <c r="U400" s="48" t="str">
        <f aca="false">IF(O400&gt;0,P400/O400,"")</f>
        <v/>
      </c>
      <c r="V400" s="49" t="str">
        <f aca="false">IF(P400&gt;0,Q400/P400,"")</f>
        <v/>
      </c>
      <c r="W400" s="50" t="n">
        <f aca="false">IF(R400&lt;&gt;"",R400,Q400*'Cài đặt'!$B$12)</f>
        <v>0</v>
      </c>
      <c r="X400" s="50" t="str">
        <f aca="false">IF(O400&gt;0,W400/O400*1000,"")</f>
        <v/>
      </c>
      <c r="Y400" s="51" t="n">
        <f aca="false">IF(T400&lt;&gt;"",T400,INDEX('Cài đặt'!$B$20:$C$22,MATCH(I400,'Cài đặt'!$A$20:$A$22,0),IF(K400="AI tự động",1,2)))</f>
        <v>4</v>
      </c>
    </row>
    <row r="401" customFormat="false" ht="15" hidden="false" customHeight="false" outlineLevel="0" collapsed="false">
      <c r="A401" s="41" t="s">
        <v>849</v>
      </c>
      <c r="B401" s="41" t="s">
        <v>703</v>
      </c>
      <c r="C401" s="41" t="s">
        <v>154</v>
      </c>
      <c r="D401" s="42" t="str">
        <f aca="false">INDEX('Page và Ngách'!$B$5:$B$10,MATCH(C401,'Page và Ngách'!$A$5:$A$10,0))</f>
        <v>Werewolf / Rejected mate</v>
      </c>
      <c r="E401" s="41" t="n">
        <v>13</v>
      </c>
      <c r="F401" s="43" t="n">
        <f aca="false">'Cài đặt'!$B$38+E401-1</f>
        <v>46368</v>
      </c>
      <c r="G401" s="41" t="s">
        <v>444</v>
      </c>
      <c r="H401" s="44" t="str">
        <f aca="false">IF(G401="S1",'Cài đặt'!$B$7,'Cài đặt'!$B$8)</f>
        <v>12:00</v>
      </c>
      <c r="I401" s="44" t="str">
        <f aca="false">'Cài đặt'!$B$32</f>
        <v>Carousel</v>
      </c>
      <c r="J401" s="41" t="s">
        <v>704</v>
      </c>
      <c r="K401" s="41" t="s">
        <v>445</v>
      </c>
      <c r="L401" s="42" t="str">
        <f aca="false">C401&amp;"_"&amp;B401&amp;"_"&amp;IF(I401="Reel","R",IF(I401="Carousel","C","I"))&amp;"_"&amp;J401&amp;"_"&amp;IF(K401="AI tự động","AI","HU")&amp;"_"&amp;RIGHT(A401,3)</f>
        <v>P1_EXP2_C_B_AI_025</v>
      </c>
      <c r="M401" s="45"/>
      <c r="N401" s="45"/>
      <c r="O401" s="46"/>
      <c r="P401" s="46"/>
      <c r="Q401" s="46"/>
      <c r="R401" s="47"/>
      <c r="S401" s="45"/>
      <c r="T401" s="45"/>
      <c r="U401" s="48" t="str">
        <f aca="false">IF(O401&gt;0,P401/O401,"")</f>
        <v/>
      </c>
      <c r="V401" s="49" t="str">
        <f aca="false">IF(P401&gt;0,Q401/P401,"")</f>
        <v/>
      </c>
      <c r="W401" s="50" t="n">
        <f aca="false">IF(R401&lt;&gt;"",R401,Q401*'Cài đặt'!$B$12)</f>
        <v>0</v>
      </c>
      <c r="X401" s="50" t="str">
        <f aca="false">IF(O401&gt;0,W401/O401*1000,"")</f>
        <v/>
      </c>
      <c r="Y401" s="51" t="n">
        <f aca="false">IF(T401&lt;&gt;"",T401,INDEX('Cài đặt'!$B$20:$C$22,MATCH(I401,'Cài đặt'!$A$20:$A$22,0),IF(K401="AI tự động",1,2)))</f>
        <v>4</v>
      </c>
    </row>
    <row r="402" customFormat="false" ht="15" hidden="false" customHeight="false" outlineLevel="0" collapsed="false">
      <c r="A402" s="41" t="s">
        <v>850</v>
      </c>
      <c r="B402" s="41" t="s">
        <v>703</v>
      </c>
      <c r="C402" s="41" t="s">
        <v>154</v>
      </c>
      <c r="D402" s="42" t="str">
        <f aca="false">INDEX('Page và Ngách'!$B$5:$B$10,MATCH(C402,'Page và Ngách'!$A$5:$A$10,0))</f>
        <v>Werewolf / Rejected mate</v>
      </c>
      <c r="E402" s="41" t="n">
        <v>13</v>
      </c>
      <c r="F402" s="43" t="n">
        <f aca="false">'Cài đặt'!$B$38+E402-1</f>
        <v>46368</v>
      </c>
      <c r="G402" s="41" t="s">
        <v>451</v>
      </c>
      <c r="H402" s="44" t="str">
        <f aca="false">IF(G402="S1",'Cài đặt'!$B$7,'Cài đặt'!$B$8)</f>
        <v>20:00</v>
      </c>
      <c r="I402" s="44" t="str">
        <f aca="false">'Cài đặt'!$B$32</f>
        <v>Carousel</v>
      </c>
      <c r="J402" s="41" t="s">
        <v>706</v>
      </c>
      <c r="K402" s="41" t="s">
        <v>445</v>
      </c>
      <c r="L402" s="42" t="str">
        <f aca="false">C402&amp;"_"&amp;B402&amp;"_"&amp;IF(I402="Reel","R",IF(I402="Carousel","C","I"))&amp;"_"&amp;J402&amp;"_"&amp;IF(K402="AI tự động","AI","HU")&amp;"_"&amp;RIGHT(A402,3)</f>
        <v>P1_EXP2_C_C_AI_026</v>
      </c>
      <c r="M402" s="45"/>
      <c r="N402" s="45"/>
      <c r="O402" s="46"/>
      <c r="P402" s="46"/>
      <c r="Q402" s="46"/>
      <c r="R402" s="47"/>
      <c r="S402" s="45"/>
      <c r="T402" s="45"/>
      <c r="U402" s="48" t="str">
        <f aca="false">IF(O402&gt;0,P402/O402,"")</f>
        <v/>
      </c>
      <c r="V402" s="49" t="str">
        <f aca="false">IF(P402&gt;0,Q402/P402,"")</f>
        <v/>
      </c>
      <c r="W402" s="50" t="n">
        <f aca="false">IF(R402&lt;&gt;"",R402,Q402*'Cài đặt'!$B$12)</f>
        <v>0</v>
      </c>
      <c r="X402" s="50" t="str">
        <f aca="false">IF(O402&gt;0,W402/O402*1000,"")</f>
        <v/>
      </c>
      <c r="Y402" s="51" t="n">
        <f aca="false">IF(T402&lt;&gt;"",T402,INDEX('Cài đặt'!$B$20:$C$22,MATCH(I402,'Cài đặt'!$A$20:$A$22,0),IF(K402="AI tự động",1,2)))</f>
        <v>4</v>
      </c>
    </row>
    <row r="403" customFormat="false" ht="15" hidden="false" customHeight="false" outlineLevel="0" collapsed="false">
      <c r="A403" s="41" t="s">
        <v>851</v>
      </c>
      <c r="B403" s="41" t="s">
        <v>703</v>
      </c>
      <c r="C403" s="41" t="s">
        <v>163</v>
      </c>
      <c r="D403" s="42" t="str">
        <f aca="false">INDEX('Page và Ngách'!$B$5:$B$10,MATCH(C403,'Page và Ngách'!$A$5:$A$10,0))</f>
        <v>Secret billionaire / CEO</v>
      </c>
      <c r="E403" s="41" t="n">
        <v>13</v>
      </c>
      <c r="F403" s="43" t="n">
        <f aca="false">'Cài đặt'!$B$38+E403-1</f>
        <v>46368</v>
      </c>
      <c r="G403" s="41" t="s">
        <v>444</v>
      </c>
      <c r="H403" s="44" t="str">
        <f aca="false">IF(G403="S1",'Cài đặt'!$B$7,'Cài đặt'!$B$8)</f>
        <v>12:00</v>
      </c>
      <c r="I403" s="44" t="str">
        <f aca="false">'Cài đặt'!$B$32</f>
        <v>Carousel</v>
      </c>
      <c r="J403" s="41" t="s">
        <v>706</v>
      </c>
      <c r="K403" s="41" t="s">
        <v>445</v>
      </c>
      <c r="L403" s="42" t="str">
        <f aca="false">C403&amp;"_"&amp;B403&amp;"_"&amp;IF(I403="Reel","R",IF(I403="Carousel","C","I"))&amp;"_"&amp;J403&amp;"_"&amp;IF(K403="AI tự động","AI","HU")&amp;"_"&amp;RIGHT(A403,3)</f>
        <v>P2_EXP2_C_C_AI_025</v>
      </c>
      <c r="M403" s="45"/>
      <c r="N403" s="45"/>
      <c r="O403" s="46"/>
      <c r="P403" s="46"/>
      <c r="Q403" s="46"/>
      <c r="R403" s="47"/>
      <c r="S403" s="45"/>
      <c r="T403" s="45"/>
      <c r="U403" s="48" t="str">
        <f aca="false">IF(O403&gt;0,P403/O403,"")</f>
        <v/>
      </c>
      <c r="V403" s="49" t="str">
        <f aca="false">IF(P403&gt;0,Q403/P403,"")</f>
        <v/>
      </c>
      <c r="W403" s="50" t="n">
        <f aca="false">IF(R403&lt;&gt;"",R403,Q403*'Cài đặt'!$B$12)</f>
        <v>0</v>
      </c>
      <c r="X403" s="50" t="str">
        <f aca="false">IF(O403&gt;0,W403/O403*1000,"")</f>
        <v/>
      </c>
      <c r="Y403" s="51" t="n">
        <f aca="false">IF(T403&lt;&gt;"",T403,INDEX('Cài đặt'!$B$20:$C$22,MATCH(I403,'Cài đặt'!$A$20:$A$22,0),IF(K403="AI tự động",1,2)))</f>
        <v>4</v>
      </c>
    </row>
    <row r="404" customFormat="false" ht="15" hidden="false" customHeight="false" outlineLevel="0" collapsed="false">
      <c r="A404" s="41" t="s">
        <v>852</v>
      </c>
      <c r="B404" s="41" t="s">
        <v>703</v>
      </c>
      <c r="C404" s="41" t="s">
        <v>163</v>
      </c>
      <c r="D404" s="42" t="str">
        <f aca="false">INDEX('Page và Ngách'!$B$5:$B$10,MATCH(C404,'Page và Ngách'!$A$5:$A$10,0))</f>
        <v>Secret billionaire / CEO</v>
      </c>
      <c r="E404" s="41" t="n">
        <v>13</v>
      </c>
      <c r="F404" s="43" t="n">
        <f aca="false">'Cài đặt'!$B$38+E404-1</f>
        <v>46368</v>
      </c>
      <c r="G404" s="41" t="s">
        <v>451</v>
      </c>
      <c r="H404" s="44" t="str">
        <f aca="false">IF(G404="S1",'Cài đặt'!$B$7,'Cài đặt'!$B$8)</f>
        <v>20:00</v>
      </c>
      <c r="I404" s="44" t="str">
        <f aca="false">'Cài đặt'!$B$32</f>
        <v>Carousel</v>
      </c>
      <c r="J404" s="41" t="s">
        <v>132</v>
      </c>
      <c r="K404" s="41" t="s">
        <v>445</v>
      </c>
      <c r="L404" s="42" t="str">
        <f aca="false">C404&amp;"_"&amp;B404&amp;"_"&amp;IF(I404="Reel","R",IF(I404="Carousel","C","I"))&amp;"_"&amp;J404&amp;"_"&amp;IF(K404="AI tự động","AI","HU")&amp;"_"&amp;RIGHT(A404,3)</f>
        <v>P2_EXP2_C_A_AI_026</v>
      </c>
      <c r="M404" s="45"/>
      <c r="N404" s="45"/>
      <c r="O404" s="46"/>
      <c r="P404" s="46"/>
      <c r="Q404" s="46"/>
      <c r="R404" s="47"/>
      <c r="S404" s="45"/>
      <c r="T404" s="45"/>
      <c r="U404" s="48" t="str">
        <f aca="false">IF(O404&gt;0,P404/O404,"")</f>
        <v/>
      </c>
      <c r="V404" s="49" t="str">
        <f aca="false">IF(P404&gt;0,Q404/P404,"")</f>
        <v/>
      </c>
      <c r="W404" s="50" t="n">
        <f aca="false">IF(R404&lt;&gt;"",R404,Q404*'Cài đặt'!$B$12)</f>
        <v>0</v>
      </c>
      <c r="X404" s="50" t="str">
        <f aca="false">IF(O404&gt;0,W404/O404*1000,"")</f>
        <v/>
      </c>
      <c r="Y404" s="51" t="n">
        <f aca="false">IF(T404&lt;&gt;"",T404,INDEX('Cài đặt'!$B$20:$C$22,MATCH(I404,'Cài đặt'!$A$20:$A$22,0),IF(K404="AI tự động",1,2)))</f>
        <v>4</v>
      </c>
    </row>
    <row r="405" customFormat="false" ht="15" hidden="false" customHeight="false" outlineLevel="0" collapsed="false">
      <c r="A405" s="41" t="s">
        <v>853</v>
      </c>
      <c r="B405" s="41" t="s">
        <v>703</v>
      </c>
      <c r="C405" s="41" t="s">
        <v>171</v>
      </c>
      <c r="D405" s="42" t="str">
        <f aca="false">INDEX('Page và Ngách'!$B$5:$B$10,MATCH(C405,'Page và Ngách'!$A$5:$A$10,0))</f>
        <v>Contract marriage / Fake relationship</v>
      </c>
      <c r="E405" s="41" t="n">
        <v>13</v>
      </c>
      <c r="F405" s="43" t="n">
        <f aca="false">'Cài đặt'!$B$38+E405-1</f>
        <v>46368</v>
      </c>
      <c r="G405" s="41" t="s">
        <v>444</v>
      </c>
      <c r="H405" s="44" t="str">
        <f aca="false">IF(G405="S1",'Cài đặt'!$B$7,'Cài đặt'!$B$8)</f>
        <v>12:00</v>
      </c>
      <c r="I405" s="44" t="str">
        <f aca="false">'Cài đặt'!$B$32</f>
        <v>Carousel</v>
      </c>
      <c r="J405" s="41" t="s">
        <v>132</v>
      </c>
      <c r="K405" s="41" t="s">
        <v>445</v>
      </c>
      <c r="L405" s="42" t="str">
        <f aca="false">C405&amp;"_"&amp;B405&amp;"_"&amp;IF(I405="Reel","R",IF(I405="Carousel","C","I"))&amp;"_"&amp;J405&amp;"_"&amp;IF(K405="AI tự động","AI","HU")&amp;"_"&amp;RIGHT(A405,3)</f>
        <v>P3_EXP2_C_A_AI_025</v>
      </c>
      <c r="M405" s="45"/>
      <c r="N405" s="45"/>
      <c r="O405" s="46"/>
      <c r="P405" s="46"/>
      <c r="Q405" s="46"/>
      <c r="R405" s="47"/>
      <c r="S405" s="45"/>
      <c r="T405" s="45"/>
      <c r="U405" s="48" t="str">
        <f aca="false">IF(O405&gt;0,P405/O405,"")</f>
        <v/>
      </c>
      <c r="V405" s="49" t="str">
        <f aca="false">IF(P405&gt;0,Q405/P405,"")</f>
        <v/>
      </c>
      <c r="W405" s="50" t="n">
        <f aca="false">IF(R405&lt;&gt;"",R405,Q405*'Cài đặt'!$B$12)</f>
        <v>0</v>
      </c>
      <c r="X405" s="50" t="str">
        <f aca="false">IF(O405&gt;0,W405/O405*1000,"")</f>
        <v/>
      </c>
      <c r="Y405" s="51" t="n">
        <f aca="false">IF(T405&lt;&gt;"",T405,INDEX('Cài đặt'!$B$20:$C$22,MATCH(I405,'Cài đặt'!$A$20:$A$22,0),IF(K405="AI tự động",1,2)))</f>
        <v>4</v>
      </c>
    </row>
    <row r="406" customFormat="false" ht="15" hidden="false" customHeight="false" outlineLevel="0" collapsed="false">
      <c r="A406" s="41" t="s">
        <v>854</v>
      </c>
      <c r="B406" s="41" t="s">
        <v>703</v>
      </c>
      <c r="C406" s="41" t="s">
        <v>171</v>
      </c>
      <c r="D406" s="42" t="str">
        <f aca="false">INDEX('Page và Ngách'!$B$5:$B$10,MATCH(C406,'Page và Ngách'!$A$5:$A$10,0))</f>
        <v>Contract marriage / Fake relationship</v>
      </c>
      <c r="E406" s="41" t="n">
        <v>13</v>
      </c>
      <c r="F406" s="43" t="n">
        <f aca="false">'Cài đặt'!$B$38+E406-1</f>
        <v>46368</v>
      </c>
      <c r="G406" s="41" t="s">
        <v>451</v>
      </c>
      <c r="H406" s="44" t="str">
        <f aca="false">IF(G406="S1",'Cài đặt'!$B$7,'Cài đặt'!$B$8)</f>
        <v>20:00</v>
      </c>
      <c r="I406" s="44" t="str">
        <f aca="false">'Cài đặt'!$B$32</f>
        <v>Carousel</v>
      </c>
      <c r="J406" s="41" t="s">
        <v>704</v>
      </c>
      <c r="K406" s="41" t="s">
        <v>445</v>
      </c>
      <c r="L406" s="42" t="str">
        <f aca="false">C406&amp;"_"&amp;B406&amp;"_"&amp;IF(I406="Reel","R",IF(I406="Carousel","C","I"))&amp;"_"&amp;J406&amp;"_"&amp;IF(K406="AI tự động","AI","HU")&amp;"_"&amp;RIGHT(A406,3)</f>
        <v>P3_EXP2_C_B_AI_026</v>
      </c>
      <c r="M406" s="45"/>
      <c r="N406" s="45"/>
      <c r="O406" s="46"/>
      <c r="P406" s="46"/>
      <c r="Q406" s="46"/>
      <c r="R406" s="47"/>
      <c r="S406" s="45"/>
      <c r="T406" s="45"/>
      <c r="U406" s="48" t="str">
        <f aca="false">IF(O406&gt;0,P406/O406,"")</f>
        <v/>
      </c>
      <c r="V406" s="49" t="str">
        <f aca="false">IF(P406&gt;0,Q406/P406,"")</f>
        <v/>
      </c>
      <c r="W406" s="50" t="n">
        <f aca="false">IF(R406&lt;&gt;"",R406,Q406*'Cài đặt'!$B$12)</f>
        <v>0</v>
      </c>
      <c r="X406" s="50" t="str">
        <f aca="false">IF(O406&gt;0,W406/O406*1000,"")</f>
        <v/>
      </c>
      <c r="Y406" s="51" t="n">
        <f aca="false">IF(T406&lt;&gt;"",T406,INDEX('Cài đặt'!$B$20:$C$22,MATCH(I406,'Cài đặt'!$A$20:$A$22,0),IF(K406="AI tự động",1,2)))</f>
        <v>4</v>
      </c>
    </row>
    <row r="407" customFormat="false" ht="15" hidden="false" customHeight="false" outlineLevel="0" collapsed="false">
      <c r="A407" s="41" t="s">
        <v>855</v>
      </c>
      <c r="B407" s="41" t="s">
        <v>703</v>
      </c>
      <c r="C407" s="41" t="s">
        <v>178</v>
      </c>
      <c r="D407" s="42" t="str">
        <f aca="false">INDEX('Page và Ngách'!$B$5:$B$10,MATCH(C407,'Page và Ngách'!$A$5:$A$10,0))</f>
        <v>Revenge / Betrayal ("you'll regret it")</v>
      </c>
      <c r="E407" s="41" t="n">
        <v>13</v>
      </c>
      <c r="F407" s="43" t="n">
        <f aca="false">'Cài đặt'!$B$38+E407-1</f>
        <v>46368</v>
      </c>
      <c r="G407" s="41" t="s">
        <v>444</v>
      </c>
      <c r="H407" s="44" t="str">
        <f aca="false">IF(G407="S1",'Cài đặt'!$B$7,'Cài đặt'!$B$8)</f>
        <v>12:00</v>
      </c>
      <c r="I407" s="44" t="str">
        <f aca="false">'Cài đặt'!$B$32</f>
        <v>Carousel</v>
      </c>
      <c r="J407" s="41" t="s">
        <v>704</v>
      </c>
      <c r="K407" s="41" t="s">
        <v>445</v>
      </c>
      <c r="L407" s="42" t="str">
        <f aca="false">C407&amp;"_"&amp;B407&amp;"_"&amp;IF(I407="Reel","R",IF(I407="Carousel","C","I"))&amp;"_"&amp;J407&amp;"_"&amp;IF(K407="AI tự động","AI","HU")&amp;"_"&amp;RIGHT(A407,3)</f>
        <v>P4_EXP2_C_B_AI_025</v>
      </c>
      <c r="M407" s="45"/>
      <c r="N407" s="45"/>
      <c r="O407" s="46"/>
      <c r="P407" s="46"/>
      <c r="Q407" s="46"/>
      <c r="R407" s="47"/>
      <c r="S407" s="45"/>
      <c r="T407" s="45"/>
      <c r="U407" s="48" t="str">
        <f aca="false">IF(O407&gt;0,P407/O407,"")</f>
        <v/>
      </c>
      <c r="V407" s="49" t="str">
        <f aca="false">IF(P407&gt;0,Q407/P407,"")</f>
        <v/>
      </c>
      <c r="W407" s="50" t="n">
        <f aca="false">IF(R407&lt;&gt;"",R407,Q407*'Cài đặt'!$B$12)</f>
        <v>0</v>
      </c>
      <c r="X407" s="50" t="str">
        <f aca="false">IF(O407&gt;0,W407/O407*1000,"")</f>
        <v/>
      </c>
      <c r="Y407" s="51" t="n">
        <f aca="false">IF(T407&lt;&gt;"",T407,INDEX('Cài đặt'!$B$20:$C$22,MATCH(I407,'Cài đặt'!$A$20:$A$22,0),IF(K407="AI tự động",1,2)))</f>
        <v>4</v>
      </c>
    </row>
    <row r="408" customFormat="false" ht="15" hidden="false" customHeight="false" outlineLevel="0" collapsed="false">
      <c r="A408" s="41" t="s">
        <v>856</v>
      </c>
      <c r="B408" s="41" t="s">
        <v>703</v>
      </c>
      <c r="C408" s="41" t="s">
        <v>178</v>
      </c>
      <c r="D408" s="42" t="str">
        <f aca="false">INDEX('Page và Ngách'!$B$5:$B$10,MATCH(C408,'Page và Ngách'!$A$5:$A$10,0))</f>
        <v>Revenge / Betrayal ("you'll regret it")</v>
      </c>
      <c r="E408" s="41" t="n">
        <v>13</v>
      </c>
      <c r="F408" s="43" t="n">
        <f aca="false">'Cài đặt'!$B$38+E408-1</f>
        <v>46368</v>
      </c>
      <c r="G408" s="41" t="s">
        <v>451</v>
      </c>
      <c r="H408" s="44" t="str">
        <f aca="false">IF(G408="S1",'Cài đặt'!$B$7,'Cài đặt'!$B$8)</f>
        <v>20:00</v>
      </c>
      <c r="I408" s="44" t="str">
        <f aca="false">'Cài đặt'!$B$32</f>
        <v>Carousel</v>
      </c>
      <c r="J408" s="41" t="s">
        <v>706</v>
      </c>
      <c r="K408" s="41" t="s">
        <v>445</v>
      </c>
      <c r="L408" s="42" t="str">
        <f aca="false">C408&amp;"_"&amp;B408&amp;"_"&amp;IF(I408="Reel","R",IF(I408="Carousel","C","I"))&amp;"_"&amp;J408&amp;"_"&amp;IF(K408="AI tự động","AI","HU")&amp;"_"&amp;RIGHT(A408,3)</f>
        <v>P4_EXP2_C_C_AI_026</v>
      </c>
      <c r="M408" s="45"/>
      <c r="N408" s="45"/>
      <c r="O408" s="46"/>
      <c r="P408" s="46"/>
      <c r="Q408" s="46"/>
      <c r="R408" s="47"/>
      <c r="S408" s="45"/>
      <c r="T408" s="45"/>
      <c r="U408" s="48" t="str">
        <f aca="false">IF(O408&gt;0,P408/O408,"")</f>
        <v/>
      </c>
      <c r="V408" s="49" t="str">
        <f aca="false">IF(P408&gt;0,Q408/P408,"")</f>
        <v/>
      </c>
      <c r="W408" s="50" t="n">
        <f aca="false">IF(R408&lt;&gt;"",R408,Q408*'Cài đặt'!$B$12)</f>
        <v>0</v>
      </c>
      <c r="X408" s="50" t="str">
        <f aca="false">IF(O408&gt;0,W408/O408*1000,"")</f>
        <v/>
      </c>
      <c r="Y408" s="51" t="n">
        <f aca="false">IF(T408&lt;&gt;"",T408,INDEX('Cài đặt'!$B$20:$C$22,MATCH(I408,'Cài đặt'!$A$20:$A$22,0),IF(K408="AI tự động",1,2)))</f>
        <v>4</v>
      </c>
    </row>
    <row r="409" customFormat="false" ht="15" hidden="false" customHeight="false" outlineLevel="0" collapsed="false">
      <c r="A409" s="41" t="s">
        <v>857</v>
      </c>
      <c r="B409" s="41" t="s">
        <v>703</v>
      </c>
      <c r="C409" s="41" t="s">
        <v>185</v>
      </c>
      <c r="D409" s="42" t="str">
        <f aca="false">INDEX('Page và Ngách'!$B$5:$B$10,MATCH(C409,'Page và Ngách'!$A$5:$A$10,0))</f>
        <v>Mafia / Dark romance (teaser PG-13)</v>
      </c>
      <c r="E409" s="41" t="n">
        <v>13</v>
      </c>
      <c r="F409" s="43" t="n">
        <f aca="false">'Cài đặt'!$B$38+E409-1</f>
        <v>46368</v>
      </c>
      <c r="G409" s="41" t="s">
        <v>444</v>
      </c>
      <c r="H409" s="44" t="str">
        <f aca="false">IF(G409="S1",'Cài đặt'!$B$7,'Cài đặt'!$B$8)</f>
        <v>12:00</v>
      </c>
      <c r="I409" s="44" t="str">
        <f aca="false">'Cài đặt'!$B$32</f>
        <v>Carousel</v>
      </c>
      <c r="J409" s="41" t="s">
        <v>706</v>
      </c>
      <c r="K409" s="41" t="s">
        <v>445</v>
      </c>
      <c r="L409" s="42" t="str">
        <f aca="false">C409&amp;"_"&amp;B409&amp;"_"&amp;IF(I409="Reel","R",IF(I409="Carousel","C","I"))&amp;"_"&amp;J409&amp;"_"&amp;IF(K409="AI tự động","AI","HU")&amp;"_"&amp;RIGHT(A409,3)</f>
        <v>P5_EXP2_C_C_AI_025</v>
      </c>
      <c r="M409" s="45"/>
      <c r="N409" s="45"/>
      <c r="O409" s="46"/>
      <c r="P409" s="46"/>
      <c r="Q409" s="46"/>
      <c r="R409" s="47"/>
      <c r="S409" s="45"/>
      <c r="T409" s="45"/>
      <c r="U409" s="48" t="str">
        <f aca="false">IF(O409&gt;0,P409/O409,"")</f>
        <v/>
      </c>
      <c r="V409" s="49" t="str">
        <f aca="false">IF(P409&gt;0,Q409/P409,"")</f>
        <v/>
      </c>
      <c r="W409" s="50" t="n">
        <f aca="false">IF(R409&lt;&gt;"",R409,Q409*'Cài đặt'!$B$12)</f>
        <v>0</v>
      </c>
      <c r="X409" s="50" t="str">
        <f aca="false">IF(O409&gt;0,W409/O409*1000,"")</f>
        <v/>
      </c>
      <c r="Y409" s="51" t="n">
        <f aca="false">IF(T409&lt;&gt;"",T409,INDEX('Cài đặt'!$B$20:$C$22,MATCH(I409,'Cài đặt'!$A$20:$A$22,0),IF(K409="AI tự động",1,2)))</f>
        <v>4</v>
      </c>
    </row>
    <row r="410" customFormat="false" ht="15" hidden="false" customHeight="false" outlineLevel="0" collapsed="false">
      <c r="A410" s="41" t="s">
        <v>858</v>
      </c>
      <c r="B410" s="41" t="s">
        <v>703</v>
      </c>
      <c r="C410" s="41" t="s">
        <v>185</v>
      </c>
      <c r="D410" s="42" t="str">
        <f aca="false">INDEX('Page và Ngách'!$B$5:$B$10,MATCH(C410,'Page và Ngách'!$A$5:$A$10,0))</f>
        <v>Mafia / Dark romance (teaser PG-13)</v>
      </c>
      <c r="E410" s="41" t="n">
        <v>13</v>
      </c>
      <c r="F410" s="43" t="n">
        <f aca="false">'Cài đặt'!$B$38+E410-1</f>
        <v>46368</v>
      </c>
      <c r="G410" s="41" t="s">
        <v>451</v>
      </c>
      <c r="H410" s="44" t="str">
        <f aca="false">IF(G410="S1",'Cài đặt'!$B$7,'Cài đặt'!$B$8)</f>
        <v>20:00</v>
      </c>
      <c r="I410" s="44" t="str">
        <f aca="false">'Cài đặt'!$B$32</f>
        <v>Carousel</v>
      </c>
      <c r="J410" s="41" t="s">
        <v>132</v>
      </c>
      <c r="K410" s="41" t="s">
        <v>445</v>
      </c>
      <c r="L410" s="42" t="str">
        <f aca="false">C410&amp;"_"&amp;B410&amp;"_"&amp;IF(I410="Reel","R",IF(I410="Carousel","C","I"))&amp;"_"&amp;J410&amp;"_"&amp;IF(K410="AI tự động","AI","HU")&amp;"_"&amp;RIGHT(A410,3)</f>
        <v>P5_EXP2_C_A_AI_026</v>
      </c>
      <c r="M410" s="45"/>
      <c r="N410" s="45"/>
      <c r="O410" s="46"/>
      <c r="P410" s="46"/>
      <c r="Q410" s="46"/>
      <c r="R410" s="47"/>
      <c r="S410" s="45"/>
      <c r="T410" s="45"/>
      <c r="U410" s="48" t="str">
        <f aca="false">IF(O410&gt;0,P410/O410,"")</f>
        <v/>
      </c>
      <c r="V410" s="49" t="str">
        <f aca="false">IF(P410&gt;0,Q410/P410,"")</f>
        <v/>
      </c>
      <c r="W410" s="50" t="n">
        <f aca="false">IF(R410&lt;&gt;"",R410,Q410*'Cài đặt'!$B$12)</f>
        <v>0</v>
      </c>
      <c r="X410" s="50" t="str">
        <f aca="false">IF(O410&gt;0,W410/O410*1000,"")</f>
        <v/>
      </c>
      <c r="Y410" s="51" t="n">
        <f aca="false">IF(T410&lt;&gt;"",T410,INDEX('Cài đặt'!$B$20:$C$22,MATCH(I410,'Cài đặt'!$A$20:$A$22,0),IF(K410="AI tự động",1,2)))</f>
        <v>4</v>
      </c>
    </row>
    <row r="411" customFormat="false" ht="15" hidden="false" customHeight="false" outlineLevel="0" collapsed="false">
      <c r="A411" s="41" t="s">
        <v>859</v>
      </c>
      <c r="B411" s="41" t="s">
        <v>703</v>
      </c>
      <c r="C411" s="41" t="s">
        <v>193</v>
      </c>
      <c r="D411" s="42" t="str">
        <f aca="false">INDEX('Page và Ngách'!$B$5:$B$10,MATCH(C411,'Page và Ngách'!$A$5:$A$10,0))</f>
        <v>Second chance / Secret baby</v>
      </c>
      <c r="E411" s="41" t="n">
        <v>13</v>
      </c>
      <c r="F411" s="43" t="n">
        <f aca="false">'Cài đặt'!$B$38+E411-1</f>
        <v>46368</v>
      </c>
      <c r="G411" s="41" t="s">
        <v>444</v>
      </c>
      <c r="H411" s="44" t="str">
        <f aca="false">IF(G411="S1",'Cài đặt'!$B$7,'Cài đặt'!$B$8)</f>
        <v>12:00</v>
      </c>
      <c r="I411" s="44" t="str">
        <f aca="false">'Cài đặt'!$B$32</f>
        <v>Carousel</v>
      </c>
      <c r="J411" s="41" t="s">
        <v>132</v>
      </c>
      <c r="K411" s="41" t="s">
        <v>445</v>
      </c>
      <c r="L411" s="42" t="str">
        <f aca="false">C411&amp;"_"&amp;B411&amp;"_"&amp;IF(I411="Reel","R",IF(I411="Carousel","C","I"))&amp;"_"&amp;J411&amp;"_"&amp;IF(K411="AI tự động","AI","HU")&amp;"_"&amp;RIGHT(A411,3)</f>
        <v>P6_EXP2_C_A_AI_025</v>
      </c>
      <c r="M411" s="45"/>
      <c r="N411" s="45"/>
      <c r="O411" s="46"/>
      <c r="P411" s="46"/>
      <c r="Q411" s="46"/>
      <c r="R411" s="47"/>
      <c r="S411" s="45"/>
      <c r="T411" s="45"/>
      <c r="U411" s="48" t="str">
        <f aca="false">IF(O411&gt;0,P411/O411,"")</f>
        <v/>
      </c>
      <c r="V411" s="49" t="str">
        <f aca="false">IF(P411&gt;0,Q411/P411,"")</f>
        <v/>
      </c>
      <c r="W411" s="50" t="n">
        <f aca="false">IF(R411&lt;&gt;"",R411,Q411*'Cài đặt'!$B$12)</f>
        <v>0</v>
      </c>
      <c r="X411" s="50" t="str">
        <f aca="false">IF(O411&gt;0,W411/O411*1000,"")</f>
        <v/>
      </c>
      <c r="Y411" s="51" t="n">
        <f aca="false">IF(T411&lt;&gt;"",T411,INDEX('Cài đặt'!$B$20:$C$22,MATCH(I411,'Cài đặt'!$A$20:$A$22,0),IF(K411="AI tự động",1,2)))</f>
        <v>4</v>
      </c>
    </row>
    <row r="412" customFormat="false" ht="15" hidden="false" customHeight="false" outlineLevel="0" collapsed="false">
      <c r="A412" s="41" t="s">
        <v>860</v>
      </c>
      <c r="B412" s="41" t="s">
        <v>703</v>
      </c>
      <c r="C412" s="41" t="s">
        <v>193</v>
      </c>
      <c r="D412" s="42" t="str">
        <f aca="false">INDEX('Page và Ngách'!$B$5:$B$10,MATCH(C412,'Page và Ngách'!$A$5:$A$10,0))</f>
        <v>Second chance / Secret baby</v>
      </c>
      <c r="E412" s="41" t="n">
        <v>13</v>
      </c>
      <c r="F412" s="43" t="n">
        <f aca="false">'Cài đặt'!$B$38+E412-1</f>
        <v>46368</v>
      </c>
      <c r="G412" s="41" t="s">
        <v>451</v>
      </c>
      <c r="H412" s="44" t="str">
        <f aca="false">IF(G412="S1",'Cài đặt'!$B$7,'Cài đặt'!$B$8)</f>
        <v>20:00</v>
      </c>
      <c r="I412" s="44" t="str">
        <f aca="false">'Cài đặt'!$B$32</f>
        <v>Carousel</v>
      </c>
      <c r="J412" s="41" t="s">
        <v>704</v>
      </c>
      <c r="K412" s="41" t="s">
        <v>445</v>
      </c>
      <c r="L412" s="42" t="str">
        <f aca="false">C412&amp;"_"&amp;B412&amp;"_"&amp;IF(I412="Reel","R",IF(I412="Carousel","C","I"))&amp;"_"&amp;J412&amp;"_"&amp;IF(K412="AI tự động","AI","HU")&amp;"_"&amp;RIGHT(A412,3)</f>
        <v>P6_EXP2_C_B_AI_026</v>
      </c>
      <c r="M412" s="45"/>
      <c r="N412" s="45"/>
      <c r="O412" s="46"/>
      <c r="P412" s="46"/>
      <c r="Q412" s="46"/>
      <c r="R412" s="47"/>
      <c r="S412" s="45"/>
      <c r="T412" s="45"/>
      <c r="U412" s="48" t="str">
        <f aca="false">IF(O412&gt;0,P412/O412,"")</f>
        <v/>
      </c>
      <c r="V412" s="49" t="str">
        <f aca="false">IF(P412&gt;0,Q412/P412,"")</f>
        <v/>
      </c>
      <c r="W412" s="50" t="n">
        <f aca="false">IF(R412&lt;&gt;"",R412,Q412*'Cài đặt'!$B$12)</f>
        <v>0</v>
      </c>
      <c r="X412" s="50" t="str">
        <f aca="false">IF(O412&gt;0,W412/O412*1000,"")</f>
        <v/>
      </c>
      <c r="Y412" s="51" t="n">
        <f aca="false">IF(T412&lt;&gt;"",T412,INDEX('Cài đặt'!$B$20:$C$22,MATCH(I412,'Cài đặt'!$A$20:$A$22,0),IF(K412="AI tự động",1,2)))</f>
        <v>4</v>
      </c>
    </row>
    <row r="413" customFormat="false" ht="15" hidden="false" customHeight="false" outlineLevel="0" collapsed="false">
      <c r="A413" s="41" t="s">
        <v>861</v>
      </c>
      <c r="B413" s="41" t="s">
        <v>703</v>
      </c>
      <c r="C413" s="41" t="s">
        <v>154</v>
      </c>
      <c r="D413" s="42" t="str">
        <f aca="false">INDEX('Page và Ngách'!$B$5:$B$10,MATCH(C413,'Page và Ngách'!$A$5:$A$10,0))</f>
        <v>Werewolf / Rejected mate</v>
      </c>
      <c r="E413" s="41" t="n">
        <v>14</v>
      </c>
      <c r="F413" s="43" t="n">
        <f aca="false">'Cài đặt'!$B$38+E413-1</f>
        <v>46369</v>
      </c>
      <c r="G413" s="41" t="s">
        <v>444</v>
      </c>
      <c r="H413" s="44" t="str">
        <f aca="false">IF(G413="S1",'Cài đặt'!$B$7,'Cài đặt'!$B$8)</f>
        <v>12:00</v>
      </c>
      <c r="I413" s="44" t="str">
        <f aca="false">'Cài đặt'!$B$32</f>
        <v>Carousel</v>
      </c>
      <c r="J413" s="41" t="s">
        <v>132</v>
      </c>
      <c r="K413" s="41" t="s">
        <v>445</v>
      </c>
      <c r="L413" s="42" t="str">
        <f aca="false">C413&amp;"_"&amp;B413&amp;"_"&amp;IF(I413="Reel","R",IF(I413="Carousel","C","I"))&amp;"_"&amp;J413&amp;"_"&amp;IF(K413="AI tự động","AI","HU")&amp;"_"&amp;RIGHT(A413,3)</f>
        <v>P1_EXP2_C_A_AI_027</v>
      </c>
      <c r="M413" s="45"/>
      <c r="N413" s="45"/>
      <c r="O413" s="46"/>
      <c r="P413" s="46"/>
      <c r="Q413" s="46"/>
      <c r="R413" s="47"/>
      <c r="S413" s="45"/>
      <c r="T413" s="45"/>
      <c r="U413" s="48" t="str">
        <f aca="false">IF(O413&gt;0,P413/O413,"")</f>
        <v/>
      </c>
      <c r="V413" s="49" t="str">
        <f aca="false">IF(P413&gt;0,Q413/P413,"")</f>
        <v/>
      </c>
      <c r="W413" s="50" t="n">
        <f aca="false">IF(R413&lt;&gt;"",R413,Q413*'Cài đặt'!$B$12)</f>
        <v>0</v>
      </c>
      <c r="X413" s="50" t="str">
        <f aca="false">IF(O413&gt;0,W413/O413*1000,"")</f>
        <v/>
      </c>
      <c r="Y413" s="51" t="n">
        <f aca="false">IF(T413&lt;&gt;"",T413,INDEX('Cài đặt'!$B$20:$C$22,MATCH(I413,'Cài đặt'!$A$20:$A$22,0),IF(K413="AI tự động",1,2)))</f>
        <v>4</v>
      </c>
    </row>
    <row r="414" customFormat="false" ht="15" hidden="false" customHeight="false" outlineLevel="0" collapsed="false">
      <c r="A414" s="41" t="s">
        <v>862</v>
      </c>
      <c r="B414" s="41" t="s">
        <v>703</v>
      </c>
      <c r="C414" s="41" t="s">
        <v>154</v>
      </c>
      <c r="D414" s="42" t="str">
        <f aca="false">INDEX('Page và Ngách'!$B$5:$B$10,MATCH(C414,'Page và Ngách'!$A$5:$A$10,0))</f>
        <v>Werewolf / Rejected mate</v>
      </c>
      <c r="E414" s="41" t="n">
        <v>14</v>
      </c>
      <c r="F414" s="43" t="n">
        <f aca="false">'Cài đặt'!$B$38+E414-1</f>
        <v>46369</v>
      </c>
      <c r="G414" s="41" t="s">
        <v>451</v>
      </c>
      <c r="H414" s="44" t="str">
        <f aca="false">IF(G414="S1",'Cài đặt'!$B$7,'Cài đặt'!$B$8)</f>
        <v>20:00</v>
      </c>
      <c r="I414" s="44" t="str">
        <f aca="false">'Cài đặt'!$B$32</f>
        <v>Carousel</v>
      </c>
      <c r="J414" s="41" t="s">
        <v>704</v>
      </c>
      <c r="K414" s="41" t="s">
        <v>445</v>
      </c>
      <c r="L414" s="42" t="str">
        <f aca="false">C414&amp;"_"&amp;B414&amp;"_"&amp;IF(I414="Reel","R",IF(I414="Carousel","C","I"))&amp;"_"&amp;J414&amp;"_"&amp;IF(K414="AI tự động","AI","HU")&amp;"_"&amp;RIGHT(A414,3)</f>
        <v>P1_EXP2_C_B_AI_028</v>
      </c>
      <c r="M414" s="45"/>
      <c r="N414" s="45"/>
      <c r="O414" s="46"/>
      <c r="P414" s="46"/>
      <c r="Q414" s="46"/>
      <c r="R414" s="47"/>
      <c r="S414" s="45"/>
      <c r="T414" s="45"/>
      <c r="U414" s="48" t="str">
        <f aca="false">IF(O414&gt;0,P414/O414,"")</f>
        <v/>
      </c>
      <c r="V414" s="49" t="str">
        <f aca="false">IF(P414&gt;0,Q414/P414,"")</f>
        <v/>
      </c>
      <c r="W414" s="50" t="n">
        <f aca="false">IF(R414&lt;&gt;"",R414,Q414*'Cài đặt'!$B$12)</f>
        <v>0</v>
      </c>
      <c r="X414" s="50" t="str">
        <f aca="false">IF(O414&gt;0,W414/O414*1000,"")</f>
        <v/>
      </c>
      <c r="Y414" s="51" t="n">
        <f aca="false">IF(T414&lt;&gt;"",T414,INDEX('Cài đặt'!$B$20:$C$22,MATCH(I414,'Cài đặt'!$A$20:$A$22,0),IF(K414="AI tự động",1,2)))</f>
        <v>4</v>
      </c>
    </row>
    <row r="415" customFormat="false" ht="15" hidden="false" customHeight="false" outlineLevel="0" collapsed="false">
      <c r="A415" s="41" t="s">
        <v>863</v>
      </c>
      <c r="B415" s="41" t="s">
        <v>703</v>
      </c>
      <c r="C415" s="41" t="s">
        <v>163</v>
      </c>
      <c r="D415" s="42" t="str">
        <f aca="false">INDEX('Page và Ngách'!$B$5:$B$10,MATCH(C415,'Page và Ngách'!$A$5:$A$10,0))</f>
        <v>Secret billionaire / CEO</v>
      </c>
      <c r="E415" s="41" t="n">
        <v>14</v>
      </c>
      <c r="F415" s="43" t="n">
        <f aca="false">'Cài đặt'!$B$38+E415-1</f>
        <v>46369</v>
      </c>
      <c r="G415" s="41" t="s">
        <v>444</v>
      </c>
      <c r="H415" s="44" t="str">
        <f aca="false">IF(G415="S1",'Cài đặt'!$B$7,'Cài đặt'!$B$8)</f>
        <v>12:00</v>
      </c>
      <c r="I415" s="44" t="str">
        <f aca="false">'Cài đặt'!$B$32</f>
        <v>Carousel</v>
      </c>
      <c r="J415" s="41" t="s">
        <v>704</v>
      </c>
      <c r="K415" s="41" t="s">
        <v>445</v>
      </c>
      <c r="L415" s="42" t="str">
        <f aca="false">C415&amp;"_"&amp;B415&amp;"_"&amp;IF(I415="Reel","R",IF(I415="Carousel","C","I"))&amp;"_"&amp;J415&amp;"_"&amp;IF(K415="AI tự động","AI","HU")&amp;"_"&amp;RIGHT(A415,3)</f>
        <v>P2_EXP2_C_B_AI_027</v>
      </c>
      <c r="M415" s="45"/>
      <c r="N415" s="45"/>
      <c r="O415" s="46"/>
      <c r="P415" s="46"/>
      <c r="Q415" s="46"/>
      <c r="R415" s="47"/>
      <c r="S415" s="45"/>
      <c r="T415" s="45"/>
      <c r="U415" s="48" t="str">
        <f aca="false">IF(O415&gt;0,P415/O415,"")</f>
        <v/>
      </c>
      <c r="V415" s="49" t="str">
        <f aca="false">IF(P415&gt;0,Q415/P415,"")</f>
        <v/>
      </c>
      <c r="W415" s="50" t="n">
        <f aca="false">IF(R415&lt;&gt;"",R415,Q415*'Cài đặt'!$B$12)</f>
        <v>0</v>
      </c>
      <c r="X415" s="50" t="str">
        <f aca="false">IF(O415&gt;0,W415/O415*1000,"")</f>
        <v/>
      </c>
      <c r="Y415" s="51" t="n">
        <f aca="false">IF(T415&lt;&gt;"",T415,INDEX('Cài đặt'!$B$20:$C$22,MATCH(I415,'Cài đặt'!$A$20:$A$22,0),IF(K415="AI tự động",1,2)))</f>
        <v>4</v>
      </c>
    </row>
    <row r="416" customFormat="false" ht="15" hidden="false" customHeight="false" outlineLevel="0" collapsed="false">
      <c r="A416" s="41" t="s">
        <v>864</v>
      </c>
      <c r="B416" s="41" t="s">
        <v>703</v>
      </c>
      <c r="C416" s="41" t="s">
        <v>163</v>
      </c>
      <c r="D416" s="42" t="str">
        <f aca="false">INDEX('Page và Ngách'!$B$5:$B$10,MATCH(C416,'Page và Ngách'!$A$5:$A$10,0))</f>
        <v>Secret billionaire / CEO</v>
      </c>
      <c r="E416" s="41" t="n">
        <v>14</v>
      </c>
      <c r="F416" s="43" t="n">
        <f aca="false">'Cài đặt'!$B$38+E416-1</f>
        <v>46369</v>
      </c>
      <c r="G416" s="41" t="s">
        <v>451</v>
      </c>
      <c r="H416" s="44" t="str">
        <f aca="false">IF(G416="S1",'Cài đặt'!$B$7,'Cài đặt'!$B$8)</f>
        <v>20:00</v>
      </c>
      <c r="I416" s="44" t="str">
        <f aca="false">'Cài đặt'!$B$32</f>
        <v>Carousel</v>
      </c>
      <c r="J416" s="41" t="s">
        <v>706</v>
      </c>
      <c r="K416" s="41" t="s">
        <v>445</v>
      </c>
      <c r="L416" s="42" t="str">
        <f aca="false">C416&amp;"_"&amp;B416&amp;"_"&amp;IF(I416="Reel","R",IF(I416="Carousel","C","I"))&amp;"_"&amp;J416&amp;"_"&amp;IF(K416="AI tự động","AI","HU")&amp;"_"&amp;RIGHT(A416,3)</f>
        <v>P2_EXP2_C_C_AI_028</v>
      </c>
      <c r="M416" s="45"/>
      <c r="N416" s="45"/>
      <c r="O416" s="46"/>
      <c r="P416" s="46"/>
      <c r="Q416" s="46"/>
      <c r="R416" s="47"/>
      <c r="S416" s="45"/>
      <c r="T416" s="45"/>
      <c r="U416" s="48" t="str">
        <f aca="false">IF(O416&gt;0,P416/O416,"")</f>
        <v/>
      </c>
      <c r="V416" s="49" t="str">
        <f aca="false">IF(P416&gt;0,Q416/P416,"")</f>
        <v/>
      </c>
      <c r="W416" s="50" t="n">
        <f aca="false">IF(R416&lt;&gt;"",R416,Q416*'Cài đặt'!$B$12)</f>
        <v>0</v>
      </c>
      <c r="X416" s="50" t="str">
        <f aca="false">IF(O416&gt;0,W416/O416*1000,"")</f>
        <v/>
      </c>
      <c r="Y416" s="51" t="n">
        <f aca="false">IF(T416&lt;&gt;"",T416,INDEX('Cài đặt'!$B$20:$C$22,MATCH(I416,'Cài đặt'!$A$20:$A$22,0),IF(K416="AI tự động",1,2)))</f>
        <v>4</v>
      </c>
    </row>
    <row r="417" customFormat="false" ht="15" hidden="false" customHeight="false" outlineLevel="0" collapsed="false">
      <c r="A417" s="41" t="s">
        <v>865</v>
      </c>
      <c r="B417" s="41" t="s">
        <v>703</v>
      </c>
      <c r="C417" s="41" t="s">
        <v>171</v>
      </c>
      <c r="D417" s="42" t="str">
        <f aca="false">INDEX('Page và Ngách'!$B$5:$B$10,MATCH(C417,'Page và Ngách'!$A$5:$A$10,0))</f>
        <v>Contract marriage / Fake relationship</v>
      </c>
      <c r="E417" s="41" t="n">
        <v>14</v>
      </c>
      <c r="F417" s="43" t="n">
        <f aca="false">'Cài đặt'!$B$38+E417-1</f>
        <v>46369</v>
      </c>
      <c r="G417" s="41" t="s">
        <v>444</v>
      </c>
      <c r="H417" s="44" t="str">
        <f aca="false">IF(G417="S1",'Cài đặt'!$B$7,'Cài đặt'!$B$8)</f>
        <v>12:00</v>
      </c>
      <c r="I417" s="44" t="str">
        <f aca="false">'Cài đặt'!$B$32</f>
        <v>Carousel</v>
      </c>
      <c r="J417" s="41" t="s">
        <v>706</v>
      </c>
      <c r="K417" s="41" t="s">
        <v>445</v>
      </c>
      <c r="L417" s="42" t="str">
        <f aca="false">C417&amp;"_"&amp;B417&amp;"_"&amp;IF(I417="Reel","R",IF(I417="Carousel","C","I"))&amp;"_"&amp;J417&amp;"_"&amp;IF(K417="AI tự động","AI","HU")&amp;"_"&amp;RIGHT(A417,3)</f>
        <v>P3_EXP2_C_C_AI_027</v>
      </c>
      <c r="M417" s="45"/>
      <c r="N417" s="45"/>
      <c r="O417" s="46"/>
      <c r="P417" s="46"/>
      <c r="Q417" s="46"/>
      <c r="R417" s="47"/>
      <c r="S417" s="45"/>
      <c r="T417" s="45"/>
      <c r="U417" s="48" t="str">
        <f aca="false">IF(O417&gt;0,P417/O417,"")</f>
        <v/>
      </c>
      <c r="V417" s="49" t="str">
        <f aca="false">IF(P417&gt;0,Q417/P417,"")</f>
        <v/>
      </c>
      <c r="W417" s="50" t="n">
        <f aca="false">IF(R417&lt;&gt;"",R417,Q417*'Cài đặt'!$B$12)</f>
        <v>0</v>
      </c>
      <c r="X417" s="50" t="str">
        <f aca="false">IF(O417&gt;0,W417/O417*1000,"")</f>
        <v/>
      </c>
      <c r="Y417" s="51" t="n">
        <f aca="false">IF(T417&lt;&gt;"",T417,INDEX('Cài đặt'!$B$20:$C$22,MATCH(I417,'Cài đặt'!$A$20:$A$22,0),IF(K417="AI tự động",1,2)))</f>
        <v>4</v>
      </c>
    </row>
    <row r="418" customFormat="false" ht="15" hidden="false" customHeight="false" outlineLevel="0" collapsed="false">
      <c r="A418" s="41" t="s">
        <v>866</v>
      </c>
      <c r="B418" s="41" t="s">
        <v>703</v>
      </c>
      <c r="C418" s="41" t="s">
        <v>171</v>
      </c>
      <c r="D418" s="42" t="str">
        <f aca="false">INDEX('Page và Ngách'!$B$5:$B$10,MATCH(C418,'Page và Ngách'!$A$5:$A$10,0))</f>
        <v>Contract marriage / Fake relationship</v>
      </c>
      <c r="E418" s="41" t="n">
        <v>14</v>
      </c>
      <c r="F418" s="43" t="n">
        <f aca="false">'Cài đặt'!$B$38+E418-1</f>
        <v>46369</v>
      </c>
      <c r="G418" s="41" t="s">
        <v>451</v>
      </c>
      <c r="H418" s="44" t="str">
        <f aca="false">IF(G418="S1",'Cài đặt'!$B$7,'Cài đặt'!$B$8)</f>
        <v>20:00</v>
      </c>
      <c r="I418" s="44" t="str">
        <f aca="false">'Cài đặt'!$B$32</f>
        <v>Carousel</v>
      </c>
      <c r="J418" s="41" t="s">
        <v>132</v>
      </c>
      <c r="K418" s="41" t="s">
        <v>445</v>
      </c>
      <c r="L418" s="42" t="str">
        <f aca="false">C418&amp;"_"&amp;B418&amp;"_"&amp;IF(I418="Reel","R",IF(I418="Carousel","C","I"))&amp;"_"&amp;J418&amp;"_"&amp;IF(K418="AI tự động","AI","HU")&amp;"_"&amp;RIGHT(A418,3)</f>
        <v>P3_EXP2_C_A_AI_028</v>
      </c>
      <c r="M418" s="45"/>
      <c r="N418" s="45"/>
      <c r="O418" s="46"/>
      <c r="P418" s="46"/>
      <c r="Q418" s="46"/>
      <c r="R418" s="47"/>
      <c r="S418" s="45"/>
      <c r="T418" s="45"/>
      <c r="U418" s="48" t="str">
        <f aca="false">IF(O418&gt;0,P418/O418,"")</f>
        <v/>
      </c>
      <c r="V418" s="49" t="str">
        <f aca="false">IF(P418&gt;0,Q418/P418,"")</f>
        <v/>
      </c>
      <c r="W418" s="50" t="n">
        <f aca="false">IF(R418&lt;&gt;"",R418,Q418*'Cài đặt'!$B$12)</f>
        <v>0</v>
      </c>
      <c r="X418" s="50" t="str">
        <f aca="false">IF(O418&gt;0,W418/O418*1000,"")</f>
        <v/>
      </c>
      <c r="Y418" s="51" t="n">
        <f aca="false">IF(T418&lt;&gt;"",T418,INDEX('Cài đặt'!$B$20:$C$22,MATCH(I418,'Cài đặt'!$A$20:$A$22,0),IF(K418="AI tự động",1,2)))</f>
        <v>4</v>
      </c>
    </row>
    <row r="419" customFormat="false" ht="15" hidden="false" customHeight="false" outlineLevel="0" collapsed="false">
      <c r="A419" s="41" t="s">
        <v>867</v>
      </c>
      <c r="B419" s="41" t="s">
        <v>703</v>
      </c>
      <c r="C419" s="41" t="s">
        <v>178</v>
      </c>
      <c r="D419" s="42" t="str">
        <f aca="false">INDEX('Page và Ngách'!$B$5:$B$10,MATCH(C419,'Page và Ngách'!$A$5:$A$10,0))</f>
        <v>Revenge / Betrayal ("you'll regret it")</v>
      </c>
      <c r="E419" s="41" t="n">
        <v>14</v>
      </c>
      <c r="F419" s="43" t="n">
        <f aca="false">'Cài đặt'!$B$38+E419-1</f>
        <v>46369</v>
      </c>
      <c r="G419" s="41" t="s">
        <v>444</v>
      </c>
      <c r="H419" s="44" t="str">
        <f aca="false">IF(G419="S1",'Cài đặt'!$B$7,'Cài đặt'!$B$8)</f>
        <v>12:00</v>
      </c>
      <c r="I419" s="44" t="str">
        <f aca="false">'Cài đặt'!$B$32</f>
        <v>Carousel</v>
      </c>
      <c r="J419" s="41" t="s">
        <v>132</v>
      </c>
      <c r="K419" s="41" t="s">
        <v>445</v>
      </c>
      <c r="L419" s="42" t="str">
        <f aca="false">C419&amp;"_"&amp;B419&amp;"_"&amp;IF(I419="Reel","R",IF(I419="Carousel","C","I"))&amp;"_"&amp;J419&amp;"_"&amp;IF(K419="AI tự động","AI","HU")&amp;"_"&amp;RIGHT(A419,3)</f>
        <v>P4_EXP2_C_A_AI_027</v>
      </c>
      <c r="M419" s="45"/>
      <c r="N419" s="45"/>
      <c r="O419" s="46"/>
      <c r="P419" s="46"/>
      <c r="Q419" s="46"/>
      <c r="R419" s="47"/>
      <c r="S419" s="45"/>
      <c r="T419" s="45"/>
      <c r="U419" s="48" t="str">
        <f aca="false">IF(O419&gt;0,P419/O419,"")</f>
        <v/>
      </c>
      <c r="V419" s="49" t="str">
        <f aca="false">IF(P419&gt;0,Q419/P419,"")</f>
        <v/>
      </c>
      <c r="W419" s="50" t="n">
        <f aca="false">IF(R419&lt;&gt;"",R419,Q419*'Cài đặt'!$B$12)</f>
        <v>0</v>
      </c>
      <c r="X419" s="50" t="str">
        <f aca="false">IF(O419&gt;0,W419/O419*1000,"")</f>
        <v/>
      </c>
      <c r="Y419" s="51" t="n">
        <f aca="false">IF(T419&lt;&gt;"",T419,INDEX('Cài đặt'!$B$20:$C$22,MATCH(I419,'Cài đặt'!$A$20:$A$22,0),IF(K419="AI tự động",1,2)))</f>
        <v>4</v>
      </c>
    </row>
    <row r="420" customFormat="false" ht="15" hidden="false" customHeight="false" outlineLevel="0" collapsed="false">
      <c r="A420" s="41" t="s">
        <v>868</v>
      </c>
      <c r="B420" s="41" t="s">
        <v>703</v>
      </c>
      <c r="C420" s="41" t="s">
        <v>178</v>
      </c>
      <c r="D420" s="42" t="str">
        <f aca="false">INDEX('Page và Ngách'!$B$5:$B$10,MATCH(C420,'Page và Ngách'!$A$5:$A$10,0))</f>
        <v>Revenge / Betrayal ("you'll regret it")</v>
      </c>
      <c r="E420" s="41" t="n">
        <v>14</v>
      </c>
      <c r="F420" s="43" t="n">
        <f aca="false">'Cài đặt'!$B$38+E420-1</f>
        <v>46369</v>
      </c>
      <c r="G420" s="41" t="s">
        <v>451</v>
      </c>
      <c r="H420" s="44" t="str">
        <f aca="false">IF(G420="S1",'Cài đặt'!$B$7,'Cài đặt'!$B$8)</f>
        <v>20:00</v>
      </c>
      <c r="I420" s="44" t="str">
        <f aca="false">'Cài đặt'!$B$32</f>
        <v>Carousel</v>
      </c>
      <c r="J420" s="41" t="s">
        <v>704</v>
      </c>
      <c r="K420" s="41" t="s">
        <v>445</v>
      </c>
      <c r="L420" s="42" t="str">
        <f aca="false">C420&amp;"_"&amp;B420&amp;"_"&amp;IF(I420="Reel","R",IF(I420="Carousel","C","I"))&amp;"_"&amp;J420&amp;"_"&amp;IF(K420="AI tự động","AI","HU")&amp;"_"&amp;RIGHT(A420,3)</f>
        <v>P4_EXP2_C_B_AI_028</v>
      </c>
      <c r="M420" s="45"/>
      <c r="N420" s="45"/>
      <c r="O420" s="46"/>
      <c r="P420" s="46"/>
      <c r="Q420" s="46"/>
      <c r="R420" s="47"/>
      <c r="S420" s="45"/>
      <c r="T420" s="45"/>
      <c r="U420" s="48" t="str">
        <f aca="false">IF(O420&gt;0,P420/O420,"")</f>
        <v/>
      </c>
      <c r="V420" s="49" t="str">
        <f aca="false">IF(P420&gt;0,Q420/P420,"")</f>
        <v/>
      </c>
      <c r="W420" s="50" t="n">
        <f aca="false">IF(R420&lt;&gt;"",R420,Q420*'Cài đặt'!$B$12)</f>
        <v>0</v>
      </c>
      <c r="X420" s="50" t="str">
        <f aca="false">IF(O420&gt;0,W420/O420*1000,"")</f>
        <v/>
      </c>
      <c r="Y420" s="51" t="n">
        <f aca="false">IF(T420&lt;&gt;"",T420,INDEX('Cài đặt'!$B$20:$C$22,MATCH(I420,'Cài đặt'!$A$20:$A$22,0),IF(K420="AI tự động",1,2)))</f>
        <v>4</v>
      </c>
    </row>
    <row r="421" customFormat="false" ht="15" hidden="false" customHeight="false" outlineLevel="0" collapsed="false">
      <c r="A421" s="41" t="s">
        <v>869</v>
      </c>
      <c r="B421" s="41" t="s">
        <v>703</v>
      </c>
      <c r="C421" s="41" t="s">
        <v>185</v>
      </c>
      <c r="D421" s="42" t="str">
        <f aca="false">INDEX('Page và Ngách'!$B$5:$B$10,MATCH(C421,'Page và Ngách'!$A$5:$A$10,0))</f>
        <v>Mafia / Dark romance (teaser PG-13)</v>
      </c>
      <c r="E421" s="41" t="n">
        <v>14</v>
      </c>
      <c r="F421" s="43" t="n">
        <f aca="false">'Cài đặt'!$B$38+E421-1</f>
        <v>46369</v>
      </c>
      <c r="G421" s="41" t="s">
        <v>444</v>
      </c>
      <c r="H421" s="44" t="str">
        <f aca="false">IF(G421="S1",'Cài đặt'!$B$7,'Cài đặt'!$B$8)</f>
        <v>12:00</v>
      </c>
      <c r="I421" s="44" t="str">
        <f aca="false">'Cài đặt'!$B$32</f>
        <v>Carousel</v>
      </c>
      <c r="J421" s="41" t="s">
        <v>704</v>
      </c>
      <c r="K421" s="41" t="s">
        <v>445</v>
      </c>
      <c r="L421" s="42" t="str">
        <f aca="false">C421&amp;"_"&amp;B421&amp;"_"&amp;IF(I421="Reel","R",IF(I421="Carousel","C","I"))&amp;"_"&amp;J421&amp;"_"&amp;IF(K421="AI tự động","AI","HU")&amp;"_"&amp;RIGHT(A421,3)</f>
        <v>P5_EXP2_C_B_AI_027</v>
      </c>
      <c r="M421" s="45"/>
      <c r="N421" s="45"/>
      <c r="O421" s="46"/>
      <c r="P421" s="46"/>
      <c r="Q421" s="46"/>
      <c r="R421" s="47"/>
      <c r="S421" s="45"/>
      <c r="T421" s="45"/>
      <c r="U421" s="48" t="str">
        <f aca="false">IF(O421&gt;0,P421/O421,"")</f>
        <v/>
      </c>
      <c r="V421" s="49" t="str">
        <f aca="false">IF(P421&gt;0,Q421/P421,"")</f>
        <v/>
      </c>
      <c r="W421" s="50" t="n">
        <f aca="false">IF(R421&lt;&gt;"",R421,Q421*'Cài đặt'!$B$12)</f>
        <v>0</v>
      </c>
      <c r="X421" s="50" t="str">
        <f aca="false">IF(O421&gt;0,W421/O421*1000,"")</f>
        <v/>
      </c>
      <c r="Y421" s="51" t="n">
        <f aca="false">IF(T421&lt;&gt;"",T421,INDEX('Cài đặt'!$B$20:$C$22,MATCH(I421,'Cài đặt'!$A$20:$A$22,0),IF(K421="AI tự động",1,2)))</f>
        <v>4</v>
      </c>
    </row>
    <row r="422" customFormat="false" ht="15" hidden="false" customHeight="false" outlineLevel="0" collapsed="false">
      <c r="A422" s="41" t="s">
        <v>870</v>
      </c>
      <c r="B422" s="41" t="s">
        <v>703</v>
      </c>
      <c r="C422" s="41" t="s">
        <v>185</v>
      </c>
      <c r="D422" s="42" t="str">
        <f aca="false">INDEX('Page và Ngách'!$B$5:$B$10,MATCH(C422,'Page và Ngách'!$A$5:$A$10,0))</f>
        <v>Mafia / Dark romance (teaser PG-13)</v>
      </c>
      <c r="E422" s="41" t="n">
        <v>14</v>
      </c>
      <c r="F422" s="43" t="n">
        <f aca="false">'Cài đặt'!$B$38+E422-1</f>
        <v>46369</v>
      </c>
      <c r="G422" s="41" t="s">
        <v>451</v>
      </c>
      <c r="H422" s="44" t="str">
        <f aca="false">IF(G422="S1",'Cài đặt'!$B$7,'Cài đặt'!$B$8)</f>
        <v>20:00</v>
      </c>
      <c r="I422" s="44" t="str">
        <f aca="false">'Cài đặt'!$B$32</f>
        <v>Carousel</v>
      </c>
      <c r="J422" s="41" t="s">
        <v>706</v>
      </c>
      <c r="K422" s="41" t="s">
        <v>445</v>
      </c>
      <c r="L422" s="42" t="str">
        <f aca="false">C422&amp;"_"&amp;B422&amp;"_"&amp;IF(I422="Reel","R",IF(I422="Carousel","C","I"))&amp;"_"&amp;J422&amp;"_"&amp;IF(K422="AI tự động","AI","HU")&amp;"_"&amp;RIGHT(A422,3)</f>
        <v>P5_EXP2_C_C_AI_028</v>
      </c>
      <c r="M422" s="45"/>
      <c r="N422" s="45"/>
      <c r="O422" s="46"/>
      <c r="P422" s="46"/>
      <c r="Q422" s="46"/>
      <c r="R422" s="47"/>
      <c r="S422" s="45"/>
      <c r="T422" s="45"/>
      <c r="U422" s="48" t="str">
        <f aca="false">IF(O422&gt;0,P422/O422,"")</f>
        <v/>
      </c>
      <c r="V422" s="49" t="str">
        <f aca="false">IF(P422&gt;0,Q422/P422,"")</f>
        <v/>
      </c>
      <c r="W422" s="50" t="n">
        <f aca="false">IF(R422&lt;&gt;"",R422,Q422*'Cài đặt'!$B$12)</f>
        <v>0</v>
      </c>
      <c r="X422" s="50" t="str">
        <f aca="false">IF(O422&gt;0,W422/O422*1000,"")</f>
        <v/>
      </c>
      <c r="Y422" s="51" t="n">
        <f aca="false">IF(T422&lt;&gt;"",T422,INDEX('Cài đặt'!$B$20:$C$22,MATCH(I422,'Cài đặt'!$A$20:$A$22,0),IF(K422="AI tự động",1,2)))</f>
        <v>4</v>
      </c>
    </row>
    <row r="423" customFormat="false" ht="15" hidden="false" customHeight="false" outlineLevel="0" collapsed="false">
      <c r="A423" s="41" t="s">
        <v>871</v>
      </c>
      <c r="B423" s="41" t="s">
        <v>703</v>
      </c>
      <c r="C423" s="41" t="s">
        <v>193</v>
      </c>
      <c r="D423" s="42" t="str">
        <f aca="false">INDEX('Page và Ngách'!$B$5:$B$10,MATCH(C423,'Page và Ngách'!$A$5:$A$10,0))</f>
        <v>Second chance / Secret baby</v>
      </c>
      <c r="E423" s="41" t="n">
        <v>14</v>
      </c>
      <c r="F423" s="43" t="n">
        <f aca="false">'Cài đặt'!$B$38+E423-1</f>
        <v>46369</v>
      </c>
      <c r="G423" s="41" t="s">
        <v>444</v>
      </c>
      <c r="H423" s="44" t="str">
        <f aca="false">IF(G423="S1",'Cài đặt'!$B$7,'Cài đặt'!$B$8)</f>
        <v>12:00</v>
      </c>
      <c r="I423" s="44" t="str">
        <f aca="false">'Cài đặt'!$B$32</f>
        <v>Carousel</v>
      </c>
      <c r="J423" s="41" t="s">
        <v>706</v>
      </c>
      <c r="K423" s="41" t="s">
        <v>445</v>
      </c>
      <c r="L423" s="42" t="str">
        <f aca="false">C423&amp;"_"&amp;B423&amp;"_"&amp;IF(I423="Reel","R",IF(I423="Carousel","C","I"))&amp;"_"&amp;J423&amp;"_"&amp;IF(K423="AI tự động","AI","HU")&amp;"_"&amp;RIGHT(A423,3)</f>
        <v>P6_EXP2_C_C_AI_027</v>
      </c>
      <c r="M423" s="45"/>
      <c r="N423" s="45"/>
      <c r="O423" s="46"/>
      <c r="P423" s="46"/>
      <c r="Q423" s="46"/>
      <c r="R423" s="47"/>
      <c r="S423" s="45"/>
      <c r="T423" s="45"/>
      <c r="U423" s="48" t="str">
        <f aca="false">IF(O423&gt;0,P423/O423,"")</f>
        <v/>
      </c>
      <c r="V423" s="49" t="str">
        <f aca="false">IF(P423&gt;0,Q423/P423,"")</f>
        <v/>
      </c>
      <c r="W423" s="50" t="n">
        <f aca="false">IF(R423&lt;&gt;"",R423,Q423*'Cài đặt'!$B$12)</f>
        <v>0</v>
      </c>
      <c r="X423" s="50" t="str">
        <f aca="false">IF(O423&gt;0,W423/O423*1000,"")</f>
        <v/>
      </c>
      <c r="Y423" s="51" t="n">
        <f aca="false">IF(T423&lt;&gt;"",T423,INDEX('Cài đặt'!$B$20:$C$22,MATCH(I423,'Cài đặt'!$A$20:$A$22,0),IF(K423="AI tự động",1,2)))</f>
        <v>4</v>
      </c>
    </row>
    <row r="424" customFormat="false" ht="15" hidden="false" customHeight="false" outlineLevel="0" collapsed="false">
      <c r="A424" s="41" t="s">
        <v>872</v>
      </c>
      <c r="B424" s="41" t="s">
        <v>703</v>
      </c>
      <c r="C424" s="41" t="s">
        <v>193</v>
      </c>
      <c r="D424" s="42" t="str">
        <f aca="false">INDEX('Page và Ngách'!$B$5:$B$10,MATCH(C424,'Page và Ngách'!$A$5:$A$10,0))</f>
        <v>Second chance / Secret baby</v>
      </c>
      <c r="E424" s="41" t="n">
        <v>14</v>
      </c>
      <c r="F424" s="43" t="n">
        <f aca="false">'Cài đặt'!$B$38+E424-1</f>
        <v>46369</v>
      </c>
      <c r="G424" s="41" t="s">
        <v>451</v>
      </c>
      <c r="H424" s="44" t="str">
        <f aca="false">IF(G424="S1",'Cài đặt'!$B$7,'Cài đặt'!$B$8)</f>
        <v>20:00</v>
      </c>
      <c r="I424" s="44" t="str">
        <f aca="false">'Cài đặt'!$B$32</f>
        <v>Carousel</v>
      </c>
      <c r="J424" s="41" t="s">
        <v>132</v>
      </c>
      <c r="K424" s="41" t="s">
        <v>445</v>
      </c>
      <c r="L424" s="42" t="str">
        <f aca="false">C424&amp;"_"&amp;B424&amp;"_"&amp;IF(I424="Reel","R",IF(I424="Carousel","C","I"))&amp;"_"&amp;J424&amp;"_"&amp;IF(K424="AI tự động","AI","HU")&amp;"_"&amp;RIGHT(A424,3)</f>
        <v>P6_EXP2_C_A_AI_028</v>
      </c>
      <c r="M424" s="45"/>
      <c r="N424" s="45"/>
      <c r="O424" s="46"/>
      <c r="P424" s="46"/>
      <c r="Q424" s="46"/>
      <c r="R424" s="47"/>
      <c r="S424" s="45"/>
      <c r="T424" s="45"/>
      <c r="U424" s="48" t="str">
        <f aca="false">IF(O424&gt;0,P424/O424,"")</f>
        <v/>
      </c>
      <c r="V424" s="49" t="str">
        <f aca="false">IF(P424&gt;0,Q424/P424,"")</f>
        <v/>
      </c>
      <c r="W424" s="50" t="n">
        <f aca="false">IF(R424&lt;&gt;"",R424,Q424*'Cài đặt'!$B$12)</f>
        <v>0</v>
      </c>
      <c r="X424" s="50" t="str">
        <f aca="false">IF(O424&gt;0,W424/O424*1000,"")</f>
        <v/>
      </c>
      <c r="Y424" s="51" t="n">
        <f aca="false">IF(T424&lt;&gt;"",T424,INDEX('Cài đặt'!$B$20:$C$22,MATCH(I424,'Cài đặt'!$A$20:$A$22,0),IF(K424="AI tự động",1,2)))</f>
        <v>4</v>
      </c>
    </row>
    <row r="425" customFormat="false" ht="15" hidden="false" customHeight="false" outlineLevel="0" collapsed="false">
      <c r="A425" s="41" t="s">
        <v>873</v>
      </c>
      <c r="B425" s="41" t="s">
        <v>703</v>
      </c>
      <c r="C425" s="41" t="s">
        <v>154</v>
      </c>
      <c r="D425" s="42" t="str">
        <f aca="false">INDEX('Page và Ngách'!$B$5:$B$10,MATCH(C425,'Page và Ngách'!$A$5:$A$10,0))</f>
        <v>Werewolf / Rejected mate</v>
      </c>
      <c r="E425" s="41" t="n">
        <v>15</v>
      </c>
      <c r="F425" s="43" t="n">
        <f aca="false">'Cài đặt'!$B$38+E425-1</f>
        <v>46370</v>
      </c>
      <c r="G425" s="41" t="s">
        <v>444</v>
      </c>
      <c r="H425" s="44" t="str">
        <f aca="false">IF(G425="S1",'Cài đặt'!$B$7,'Cài đặt'!$B$8)</f>
        <v>12:00</v>
      </c>
      <c r="I425" s="44" t="str">
        <f aca="false">'Cài đặt'!$B$32</f>
        <v>Carousel</v>
      </c>
      <c r="J425" s="41" t="s">
        <v>706</v>
      </c>
      <c r="K425" s="41" t="s">
        <v>445</v>
      </c>
      <c r="L425" s="42" t="str">
        <f aca="false">C425&amp;"_"&amp;B425&amp;"_"&amp;IF(I425="Reel","R",IF(I425="Carousel","C","I"))&amp;"_"&amp;J425&amp;"_"&amp;IF(K425="AI tự động","AI","HU")&amp;"_"&amp;RIGHT(A425,3)</f>
        <v>P1_EXP2_C_C_AI_029</v>
      </c>
      <c r="M425" s="45"/>
      <c r="N425" s="45"/>
      <c r="O425" s="46"/>
      <c r="P425" s="46"/>
      <c r="Q425" s="46"/>
      <c r="R425" s="47"/>
      <c r="S425" s="45"/>
      <c r="T425" s="45"/>
      <c r="U425" s="48" t="str">
        <f aca="false">IF(O425&gt;0,P425/O425,"")</f>
        <v/>
      </c>
      <c r="V425" s="49" t="str">
        <f aca="false">IF(P425&gt;0,Q425/P425,"")</f>
        <v/>
      </c>
      <c r="W425" s="50" t="n">
        <f aca="false">IF(R425&lt;&gt;"",R425,Q425*'Cài đặt'!$B$12)</f>
        <v>0</v>
      </c>
      <c r="X425" s="50" t="str">
        <f aca="false">IF(O425&gt;0,W425/O425*1000,"")</f>
        <v/>
      </c>
      <c r="Y425" s="51" t="n">
        <f aca="false">IF(T425&lt;&gt;"",T425,INDEX('Cài đặt'!$B$20:$C$22,MATCH(I425,'Cài đặt'!$A$20:$A$22,0),IF(K425="AI tự động",1,2)))</f>
        <v>4</v>
      </c>
    </row>
    <row r="426" customFormat="false" ht="15" hidden="false" customHeight="false" outlineLevel="0" collapsed="false">
      <c r="A426" s="41" t="s">
        <v>874</v>
      </c>
      <c r="B426" s="41" t="s">
        <v>703</v>
      </c>
      <c r="C426" s="41" t="s">
        <v>154</v>
      </c>
      <c r="D426" s="42" t="str">
        <f aca="false">INDEX('Page và Ngách'!$B$5:$B$10,MATCH(C426,'Page và Ngách'!$A$5:$A$10,0))</f>
        <v>Werewolf / Rejected mate</v>
      </c>
      <c r="E426" s="41" t="n">
        <v>15</v>
      </c>
      <c r="F426" s="43" t="n">
        <f aca="false">'Cài đặt'!$B$38+E426-1</f>
        <v>46370</v>
      </c>
      <c r="G426" s="41" t="s">
        <v>451</v>
      </c>
      <c r="H426" s="44" t="str">
        <f aca="false">IF(G426="S1",'Cài đặt'!$B$7,'Cài đặt'!$B$8)</f>
        <v>20:00</v>
      </c>
      <c r="I426" s="44" t="str">
        <f aca="false">'Cài đặt'!$B$32</f>
        <v>Carousel</v>
      </c>
      <c r="J426" s="41" t="s">
        <v>132</v>
      </c>
      <c r="K426" s="41" t="s">
        <v>445</v>
      </c>
      <c r="L426" s="42" t="str">
        <f aca="false">C426&amp;"_"&amp;B426&amp;"_"&amp;IF(I426="Reel","R",IF(I426="Carousel","C","I"))&amp;"_"&amp;J426&amp;"_"&amp;IF(K426="AI tự động","AI","HU")&amp;"_"&amp;RIGHT(A426,3)</f>
        <v>P1_EXP2_C_A_AI_030</v>
      </c>
      <c r="M426" s="45"/>
      <c r="N426" s="45"/>
      <c r="O426" s="46"/>
      <c r="P426" s="46"/>
      <c r="Q426" s="46"/>
      <c r="R426" s="47"/>
      <c r="S426" s="45"/>
      <c r="T426" s="45"/>
      <c r="U426" s="48" t="str">
        <f aca="false">IF(O426&gt;0,P426/O426,"")</f>
        <v/>
      </c>
      <c r="V426" s="49" t="str">
        <f aca="false">IF(P426&gt;0,Q426/P426,"")</f>
        <v/>
      </c>
      <c r="W426" s="50" t="n">
        <f aca="false">IF(R426&lt;&gt;"",R426,Q426*'Cài đặt'!$B$12)</f>
        <v>0</v>
      </c>
      <c r="X426" s="50" t="str">
        <f aca="false">IF(O426&gt;0,W426/O426*1000,"")</f>
        <v/>
      </c>
      <c r="Y426" s="51" t="n">
        <f aca="false">IF(T426&lt;&gt;"",T426,INDEX('Cài đặt'!$B$20:$C$22,MATCH(I426,'Cài đặt'!$A$20:$A$22,0),IF(K426="AI tự động",1,2)))</f>
        <v>4</v>
      </c>
    </row>
    <row r="427" customFormat="false" ht="15" hidden="false" customHeight="false" outlineLevel="0" collapsed="false">
      <c r="A427" s="41" t="s">
        <v>875</v>
      </c>
      <c r="B427" s="41" t="s">
        <v>703</v>
      </c>
      <c r="C427" s="41" t="s">
        <v>163</v>
      </c>
      <c r="D427" s="42" t="str">
        <f aca="false">INDEX('Page và Ngách'!$B$5:$B$10,MATCH(C427,'Page và Ngách'!$A$5:$A$10,0))</f>
        <v>Secret billionaire / CEO</v>
      </c>
      <c r="E427" s="41" t="n">
        <v>15</v>
      </c>
      <c r="F427" s="43" t="n">
        <f aca="false">'Cài đặt'!$B$38+E427-1</f>
        <v>46370</v>
      </c>
      <c r="G427" s="41" t="s">
        <v>444</v>
      </c>
      <c r="H427" s="44" t="str">
        <f aca="false">IF(G427="S1",'Cài đặt'!$B$7,'Cài đặt'!$B$8)</f>
        <v>12:00</v>
      </c>
      <c r="I427" s="44" t="str">
        <f aca="false">'Cài đặt'!$B$32</f>
        <v>Carousel</v>
      </c>
      <c r="J427" s="41" t="s">
        <v>132</v>
      </c>
      <c r="K427" s="41" t="s">
        <v>445</v>
      </c>
      <c r="L427" s="42" t="str">
        <f aca="false">C427&amp;"_"&amp;B427&amp;"_"&amp;IF(I427="Reel","R",IF(I427="Carousel","C","I"))&amp;"_"&amp;J427&amp;"_"&amp;IF(K427="AI tự động","AI","HU")&amp;"_"&amp;RIGHT(A427,3)</f>
        <v>P2_EXP2_C_A_AI_029</v>
      </c>
      <c r="M427" s="45"/>
      <c r="N427" s="45"/>
      <c r="O427" s="46"/>
      <c r="P427" s="46"/>
      <c r="Q427" s="46"/>
      <c r="R427" s="47"/>
      <c r="S427" s="45"/>
      <c r="T427" s="45"/>
      <c r="U427" s="48" t="str">
        <f aca="false">IF(O427&gt;0,P427/O427,"")</f>
        <v/>
      </c>
      <c r="V427" s="49" t="str">
        <f aca="false">IF(P427&gt;0,Q427/P427,"")</f>
        <v/>
      </c>
      <c r="W427" s="50" t="n">
        <f aca="false">IF(R427&lt;&gt;"",R427,Q427*'Cài đặt'!$B$12)</f>
        <v>0</v>
      </c>
      <c r="X427" s="50" t="str">
        <f aca="false">IF(O427&gt;0,W427/O427*1000,"")</f>
        <v/>
      </c>
      <c r="Y427" s="51" t="n">
        <f aca="false">IF(T427&lt;&gt;"",T427,INDEX('Cài đặt'!$B$20:$C$22,MATCH(I427,'Cài đặt'!$A$20:$A$22,0),IF(K427="AI tự động",1,2)))</f>
        <v>4</v>
      </c>
    </row>
    <row r="428" customFormat="false" ht="15" hidden="false" customHeight="false" outlineLevel="0" collapsed="false">
      <c r="A428" s="41" t="s">
        <v>876</v>
      </c>
      <c r="B428" s="41" t="s">
        <v>703</v>
      </c>
      <c r="C428" s="41" t="s">
        <v>163</v>
      </c>
      <c r="D428" s="42" t="str">
        <f aca="false">INDEX('Page và Ngách'!$B$5:$B$10,MATCH(C428,'Page và Ngách'!$A$5:$A$10,0))</f>
        <v>Secret billionaire / CEO</v>
      </c>
      <c r="E428" s="41" t="n">
        <v>15</v>
      </c>
      <c r="F428" s="43" t="n">
        <f aca="false">'Cài đặt'!$B$38+E428-1</f>
        <v>46370</v>
      </c>
      <c r="G428" s="41" t="s">
        <v>451</v>
      </c>
      <c r="H428" s="44" t="str">
        <f aca="false">IF(G428="S1",'Cài đặt'!$B$7,'Cài đặt'!$B$8)</f>
        <v>20:00</v>
      </c>
      <c r="I428" s="44" t="str">
        <f aca="false">'Cài đặt'!$B$32</f>
        <v>Carousel</v>
      </c>
      <c r="J428" s="41" t="s">
        <v>704</v>
      </c>
      <c r="K428" s="41" t="s">
        <v>445</v>
      </c>
      <c r="L428" s="42" t="str">
        <f aca="false">C428&amp;"_"&amp;B428&amp;"_"&amp;IF(I428="Reel","R",IF(I428="Carousel","C","I"))&amp;"_"&amp;J428&amp;"_"&amp;IF(K428="AI tự động","AI","HU")&amp;"_"&amp;RIGHT(A428,3)</f>
        <v>P2_EXP2_C_B_AI_030</v>
      </c>
      <c r="M428" s="45"/>
      <c r="N428" s="45"/>
      <c r="O428" s="46"/>
      <c r="P428" s="46"/>
      <c r="Q428" s="46"/>
      <c r="R428" s="47"/>
      <c r="S428" s="45"/>
      <c r="T428" s="45"/>
      <c r="U428" s="48" t="str">
        <f aca="false">IF(O428&gt;0,P428/O428,"")</f>
        <v/>
      </c>
      <c r="V428" s="49" t="str">
        <f aca="false">IF(P428&gt;0,Q428/P428,"")</f>
        <v/>
      </c>
      <c r="W428" s="50" t="n">
        <f aca="false">IF(R428&lt;&gt;"",R428,Q428*'Cài đặt'!$B$12)</f>
        <v>0</v>
      </c>
      <c r="X428" s="50" t="str">
        <f aca="false">IF(O428&gt;0,W428/O428*1000,"")</f>
        <v/>
      </c>
      <c r="Y428" s="51" t="n">
        <f aca="false">IF(T428&lt;&gt;"",T428,INDEX('Cài đặt'!$B$20:$C$22,MATCH(I428,'Cài đặt'!$A$20:$A$22,0),IF(K428="AI tự động",1,2)))</f>
        <v>4</v>
      </c>
    </row>
    <row r="429" customFormat="false" ht="15" hidden="false" customHeight="false" outlineLevel="0" collapsed="false">
      <c r="A429" s="41" t="s">
        <v>877</v>
      </c>
      <c r="B429" s="41" t="s">
        <v>703</v>
      </c>
      <c r="C429" s="41" t="s">
        <v>171</v>
      </c>
      <c r="D429" s="42" t="str">
        <f aca="false">INDEX('Page và Ngách'!$B$5:$B$10,MATCH(C429,'Page và Ngách'!$A$5:$A$10,0))</f>
        <v>Contract marriage / Fake relationship</v>
      </c>
      <c r="E429" s="41" t="n">
        <v>15</v>
      </c>
      <c r="F429" s="43" t="n">
        <f aca="false">'Cài đặt'!$B$38+E429-1</f>
        <v>46370</v>
      </c>
      <c r="G429" s="41" t="s">
        <v>444</v>
      </c>
      <c r="H429" s="44" t="str">
        <f aca="false">IF(G429="S1",'Cài đặt'!$B$7,'Cài đặt'!$B$8)</f>
        <v>12:00</v>
      </c>
      <c r="I429" s="44" t="str">
        <f aca="false">'Cài đặt'!$B$32</f>
        <v>Carousel</v>
      </c>
      <c r="J429" s="41" t="s">
        <v>704</v>
      </c>
      <c r="K429" s="41" t="s">
        <v>445</v>
      </c>
      <c r="L429" s="42" t="str">
        <f aca="false">C429&amp;"_"&amp;B429&amp;"_"&amp;IF(I429="Reel","R",IF(I429="Carousel","C","I"))&amp;"_"&amp;J429&amp;"_"&amp;IF(K429="AI tự động","AI","HU")&amp;"_"&amp;RIGHT(A429,3)</f>
        <v>P3_EXP2_C_B_AI_029</v>
      </c>
      <c r="M429" s="45"/>
      <c r="N429" s="45"/>
      <c r="O429" s="46"/>
      <c r="P429" s="46"/>
      <c r="Q429" s="46"/>
      <c r="R429" s="47"/>
      <c r="S429" s="45"/>
      <c r="T429" s="45"/>
      <c r="U429" s="48" t="str">
        <f aca="false">IF(O429&gt;0,P429/O429,"")</f>
        <v/>
      </c>
      <c r="V429" s="49" t="str">
        <f aca="false">IF(P429&gt;0,Q429/P429,"")</f>
        <v/>
      </c>
      <c r="W429" s="50" t="n">
        <f aca="false">IF(R429&lt;&gt;"",R429,Q429*'Cài đặt'!$B$12)</f>
        <v>0</v>
      </c>
      <c r="X429" s="50" t="str">
        <f aca="false">IF(O429&gt;0,W429/O429*1000,"")</f>
        <v/>
      </c>
      <c r="Y429" s="51" t="n">
        <f aca="false">IF(T429&lt;&gt;"",T429,INDEX('Cài đặt'!$B$20:$C$22,MATCH(I429,'Cài đặt'!$A$20:$A$22,0),IF(K429="AI tự động",1,2)))</f>
        <v>4</v>
      </c>
    </row>
    <row r="430" customFormat="false" ht="15" hidden="false" customHeight="false" outlineLevel="0" collapsed="false">
      <c r="A430" s="41" t="s">
        <v>878</v>
      </c>
      <c r="B430" s="41" t="s">
        <v>703</v>
      </c>
      <c r="C430" s="41" t="s">
        <v>171</v>
      </c>
      <c r="D430" s="42" t="str">
        <f aca="false">INDEX('Page và Ngách'!$B$5:$B$10,MATCH(C430,'Page và Ngách'!$A$5:$A$10,0))</f>
        <v>Contract marriage / Fake relationship</v>
      </c>
      <c r="E430" s="41" t="n">
        <v>15</v>
      </c>
      <c r="F430" s="43" t="n">
        <f aca="false">'Cài đặt'!$B$38+E430-1</f>
        <v>46370</v>
      </c>
      <c r="G430" s="41" t="s">
        <v>451</v>
      </c>
      <c r="H430" s="44" t="str">
        <f aca="false">IF(G430="S1",'Cài đặt'!$B$7,'Cài đặt'!$B$8)</f>
        <v>20:00</v>
      </c>
      <c r="I430" s="44" t="str">
        <f aca="false">'Cài đặt'!$B$32</f>
        <v>Carousel</v>
      </c>
      <c r="J430" s="41" t="s">
        <v>706</v>
      </c>
      <c r="K430" s="41" t="s">
        <v>445</v>
      </c>
      <c r="L430" s="42" t="str">
        <f aca="false">C430&amp;"_"&amp;B430&amp;"_"&amp;IF(I430="Reel","R",IF(I430="Carousel","C","I"))&amp;"_"&amp;J430&amp;"_"&amp;IF(K430="AI tự động","AI","HU")&amp;"_"&amp;RIGHT(A430,3)</f>
        <v>P3_EXP2_C_C_AI_030</v>
      </c>
      <c r="M430" s="45"/>
      <c r="N430" s="45"/>
      <c r="O430" s="46"/>
      <c r="P430" s="46"/>
      <c r="Q430" s="46"/>
      <c r="R430" s="47"/>
      <c r="S430" s="45"/>
      <c r="T430" s="45"/>
      <c r="U430" s="48" t="str">
        <f aca="false">IF(O430&gt;0,P430/O430,"")</f>
        <v/>
      </c>
      <c r="V430" s="49" t="str">
        <f aca="false">IF(P430&gt;0,Q430/P430,"")</f>
        <v/>
      </c>
      <c r="W430" s="50" t="n">
        <f aca="false">IF(R430&lt;&gt;"",R430,Q430*'Cài đặt'!$B$12)</f>
        <v>0</v>
      </c>
      <c r="X430" s="50" t="str">
        <f aca="false">IF(O430&gt;0,W430/O430*1000,"")</f>
        <v/>
      </c>
      <c r="Y430" s="51" t="n">
        <f aca="false">IF(T430&lt;&gt;"",T430,INDEX('Cài đặt'!$B$20:$C$22,MATCH(I430,'Cài đặt'!$A$20:$A$22,0),IF(K430="AI tự động",1,2)))</f>
        <v>4</v>
      </c>
    </row>
    <row r="431" customFormat="false" ht="15" hidden="false" customHeight="false" outlineLevel="0" collapsed="false">
      <c r="A431" s="41" t="s">
        <v>879</v>
      </c>
      <c r="B431" s="41" t="s">
        <v>703</v>
      </c>
      <c r="C431" s="41" t="s">
        <v>178</v>
      </c>
      <c r="D431" s="42" t="str">
        <f aca="false">INDEX('Page và Ngách'!$B$5:$B$10,MATCH(C431,'Page và Ngách'!$A$5:$A$10,0))</f>
        <v>Revenge / Betrayal ("you'll regret it")</v>
      </c>
      <c r="E431" s="41" t="n">
        <v>15</v>
      </c>
      <c r="F431" s="43" t="n">
        <f aca="false">'Cài đặt'!$B$38+E431-1</f>
        <v>46370</v>
      </c>
      <c r="G431" s="41" t="s">
        <v>444</v>
      </c>
      <c r="H431" s="44" t="str">
        <f aca="false">IF(G431="S1",'Cài đặt'!$B$7,'Cài đặt'!$B$8)</f>
        <v>12:00</v>
      </c>
      <c r="I431" s="44" t="str">
        <f aca="false">'Cài đặt'!$B$32</f>
        <v>Carousel</v>
      </c>
      <c r="J431" s="41" t="s">
        <v>706</v>
      </c>
      <c r="K431" s="41" t="s">
        <v>445</v>
      </c>
      <c r="L431" s="42" t="str">
        <f aca="false">C431&amp;"_"&amp;B431&amp;"_"&amp;IF(I431="Reel","R",IF(I431="Carousel","C","I"))&amp;"_"&amp;J431&amp;"_"&amp;IF(K431="AI tự động","AI","HU")&amp;"_"&amp;RIGHT(A431,3)</f>
        <v>P4_EXP2_C_C_AI_029</v>
      </c>
      <c r="M431" s="45"/>
      <c r="N431" s="45"/>
      <c r="O431" s="46"/>
      <c r="P431" s="46"/>
      <c r="Q431" s="46"/>
      <c r="R431" s="47"/>
      <c r="S431" s="45"/>
      <c r="T431" s="45"/>
      <c r="U431" s="48" t="str">
        <f aca="false">IF(O431&gt;0,P431/O431,"")</f>
        <v/>
      </c>
      <c r="V431" s="49" t="str">
        <f aca="false">IF(P431&gt;0,Q431/P431,"")</f>
        <v/>
      </c>
      <c r="W431" s="50" t="n">
        <f aca="false">IF(R431&lt;&gt;"",R431,Q431*'Cài đặt'!$B$12)</f>
        <v>0</v>
      </c>
      <c r="X431" s="50" t="str">
        <f aca="false">IF(O431&gt;0,W431/O431*1000,"")</f>
        <v/>
      </c>
      <c r="Y431" s="51" t="n">
        <f aca="false">IF(T431&lt;&gt;"",T431,INDEX('Cài đặt'!$B$20:$C$22,MATCH(I431,'Cài đặt'!$A$20:$A$22,0),IF(K431="AI tự động",1,2)))</f>
        <v>4</v>
      </c>
    </row>
    <row r="432" customFormat="false" ht="15" hidden="false" customHeight="false" outlineLevel="0" collapsed="false">
      <c r="A432" s="41" t="s">
        <v>880</v>
      </c>
      <c r="B432" s="41" t="s">
        <v>703</v>
      </c>
      <c r="C432" s="41" t="s">
        <v>178</v>
      </c>
      <c r="D432" s="42" t="str">
        <f aca="false">INDEX('Page và Ngách'!$B$5:$B$10,MATCH(C432,'Page và Ngách'!$A$5:$A$10,0))</f>
        <v>Revenge / Betrayal ("you'll regret it")</v>
      </c>
      <c r="E432" s="41" t="n">
        <v>15</v>
      </c>
      <c r="F432" s="43" t="n">
        <f aca="false">'Cài đặt'!$B$38+E432-1</f>
        <v>46370</v>
      </c>
      <c r="G432" s="41" t="s">
        <v>451</v>
      </c>
      <c r="H432" s="44" t="str">
        <f aca="false">IF(G432="S1",'Cài đặt'!$B$7,'Cài đặt'!$B$8)</f>
        <v>20:00</v>
      </c>
      <c r="I432" s="44" t="str">
        <f aca="false">'Cài đặt'!$B$32</f>
        <v>Carousel</v>
      </c>
      <c r="J432" s="41" t="s">
        <v>132</v>
      </c>
      <c r="K432" s="41" t="s">
        <v>445</v>
      </c>
      <c r="L432" s="42" t="str">
        <f aca="false">C432&amp;"_"&amp;B432&amp;"_"&amp;IF(I432="Reel","R",IF(I432="Carousel","C","I"))&amp;"_"&amp;J432&amp;"_"&amp;IF(K432="AI tự động","AI","HU")&amp;"_"&amp;RIGHT(A432,3)</f>
        <v>P4_EXP2_C_A_AI_030</v>
      </c>
      <c r="M432" s="45"/>
      <c r="N432" s="45"/>
      <c r="O432" s="46"/>
      <c r="P432" s="46"/>
      <c r="Q432" s="46"/>
      <c r="R432" s="47"/>
      <c r="S432" s="45"/>
      <c r="T432" s="45"/>
      <c r="U432" s="48" t="str">
        <f aca="false">IF(O432&gt;0,P432/O432,"")</f>
        <v/>
      </c>
      <c r="V432" s="49" t="str">
        <f aca="false">IF(P432&gt;0,Q432/P432,"")</f>
        <v/>
      </c>
      <c r="W432" s="50" t="n">
        <f aca="false">IF(R432&lt;&gt;"",R432,Q432*'Cài đặt'!$B$12)</f>
        <v>0</v>
      </c>
      <c r="X432" s="50" t="str">
        <f aca="false">IF(O432&gt;0,W432/O432*1000,"")</f>
        <v/>
      </c>
      <c r="Y432" s="51" t="n">
        <f aca="false">IF(T432&lt;&gt;"",T432,INDEX('Cài đặt'!$B$20:$C$22,MATCH(I432,'Cài đặt'!$A$20:$A$22,0),IF(K432="AI tự động",1,2)))</f>
        <v>4</v>
      </c>
    </row>
    <row r="433" customFormat="false" ht="15" hidden="false" customHeight="false" outlineLevel="0" collapsed="false">
      <c r="A433" s="41" t="s">
        <v>881</v>
      </c>
      <c r="B433" s="41" t="s">
        <v>703</v>
      </c>
      <c r="C433" s="41" t="s">
        <v>185</v>
      </c>
      <c r="D433" s="42" t="str">
        <f aca="false">INDEX('Page và Ngách'!$B$5:$B$10,MATCH(C433,'Page và Ngách'!$A$5:$A$10,0))</f>
        <v>Mafia / Dark romance (teaser PG-13)</v>
      </c>
      <c r="E433" s="41" t="n">
        <v>15</v>
      </c>
      <c r="F433" s="43" t="n">
        <f aca="false">'Cài đặt'!$B$38+E433-1</f>
        <v>46370</v>
      </c>
      <c r="G433" s="41" t="s">
        <v>444</v>
      </c>
      <c r="H433" s="44" t="str">
        <f aca="false">IF(G433="S1",'Cài đặt'!$B$7,'Cài đặt'!$B$8)</f>
        <v>12:00</v>
      </c>
      <c r="I433" s="44" t="str">
        <f aca="false">'Cài đặt'!$B$32</f>
        <v>Carousel</v>
      </c>
      <c r="J433" s="41" t="s">
        <v>132</v>
      </c>
      <c r="K433" s="41" t="s">
        <v>445</v>
      </c>
      <c r="L433" s="42" t="str">
        <f aca="false">C433&amp;"_"&amp;B433&amp;"_"&amp;IF(I433="Reel","R",IF(I433="Carousel","C","I"))&amp;"_"&amp;J433&amp;"_"&amp;IF(K433="AI tự động","AI","HU")&amp;"_"&amp;RIGHT(A433,3)</f>
        <v>P5_EXP2_C_A_AI_029</v>
      </c>
      <c r="M433" s="45"/>
      <c r="N433" s="45"/>
      <c r="O433" s="46"/>
      <c r="P433" s="46"/>
      <c r="Q433" s="46"/>
      <c r="R433" s="47"/>
      <c r="S433" s="45"/>
      <c r="T433" s="45"/>
      <c r="U433" s="48" t="str">
        <f aca="false">IF(O433&gt;0,P433/O433,"")</f>
        <v/>
      </c>
      <c r="V433" s="49" t="str">
        <f aca="false">IF(P433&gt;0,Q433/P433,"")</f>
        <v/>
      </c>
      <c r="W433" s="50" t="n">
        <f aca="false">IF(R433&lt;&gt;"",R433,Q433*'Cài đặt'!$B$12)</f>
        <v>0</v>
      </c>
      <c r="X433" s="50" t="str">
        <f aca="false">IF(O433&gt;0,W433/O433*1000,"")</f>
        <v/>
      </c>
      <c r="Y433" s="51" t="n">
        <f aca="false">IF(T433&lt;&gt;"",T433,INDEX('Cài đặt'!$B$20:$C$22,MATCH(I433,'Cài đặt'!$A$20:$A$22,0),IF(K433="AI tự động",1,2)))</f>
        <v>4</v>
      </c>
    </row>
    <row r="434" customFormat="false" ht="15" hidden="false" customHeight="false" outlineLevel="0" collapsed="false">
      <c r="A434" s="41" t="s">
        <v>882</v>
      </c>
      <c r="B434" s="41" t="s">
        <v>703</v>
      </c>
      <c r="C434" s="41" t="s">
        <v>185</v>
      </c>
      <c r="D434" s="42" t="str">
        <f aca="false">INDEX('Page và Ngách'!$B$5:$B$10,MATCH(C434,'Page và Ngách'!$A$5:$A$10,0))</f>
        <v>Mafia / Dark romance (teaser PG-13)</v>
      </c>
      <c r="E434" s="41" t="n">
        <v>15</v>
      </c>
      <c r="F434" s="43" t="n">
        <f aca="false">'Cài đặt'!$B$38+E434-1</f>
        <v>46370</v>
      </c>
      <c r="G434" s="41" t="s">
        <v>451</v>
      </c>
      <c r="H434" s="44" t="str">
        <f aca="false">IF(G434="S1",'Cài đặt'!$B$7,'Cài đặt'!$B$8)</f>
        <v>20:00</v>
      </c>
      <c r="I434" s="44" t="str">
        <f aca="false">'Cài đặt'!$B$32</f>
        <v>Carousel</v>
      </c>
      <c r="J434" s="41" t="s">
        <v>704</v>
      </c>
      <c r="K434" s="41" t="s">
        <v>445</v>
      </c>
      <c r="L434" s="42" t="str">
        <f aca="false">C434&amp;"_"&amp;B434&amp;"_"&amp;IF(I434="Reel","R",IF(I434="Carousel","C","I"))&amp;"_"&amp;J434&amp;"_"&amp;IF(K434="AI tự động","AI","HU")&amp;"_"&amp;RIGHT(A434,3)</f>
        <v>P5_EXP2_C_B_AI_030</v>
      </c>
      <c r="M434" s="45"/>
      <c r="N434" s="45"/>
      <c r="O434" s="46"/>
      <c r="P434" s="46"/>
      <c r="Q434" s="46"/>
      <c r="R434" s="47"/>
      <c r="S434" s="45"/>
      <c r="T434" s="45"/>
      <c r="U434" s="48" t="str">
        <f aca="false">IF(O434&gt;0,P434/O434,"")</f>
        <v/>
      </c>
      <c r="V434" s="49" t="str">
        <f aca="false">IF(P434&gt;0,Q434/P434,"")</f>
        <v/>
      </c>
      <c r="W434" s="50" t="n">
        <f aca="false">IF(R434&lt;&gt;"",R434,Q434*'Cài đặt'!$B$12)</f>
        <v>0</v>
      </c>
      <c r="X434" s="50" t="str">
        <f aca="false">IF(O434&gt;0,W434/O434*1000,"")</f>
        <v/>
      </c>
      <c r="Y434" s="51" t="n">
        <f aca="false">IF(T434&lt;&gt;"",T434,INDEX('Cài đặt'!$B$20:$C$22,MATCH(I434,'Cài đặt'!$A$20:$A$22,0),IF(K434="AI tự động",1,2)))</f>
        <v>4</v>
      </c>
    </row>
    <row r="435" customFormat="false" ht="15" hidden="false" customHeight="false" outlineLevel="0" collapsed="false">
      <c r="A435" s="41" t="s">
        <v>883</v>
      </c>
      <c r="B435" s="41" t="s">
        <v>703</v>
      </c>
      <c r="C435" s="41" t="s">
        <v>193</v>
      </c>
      <c r="D435" s="42" t="str">
        <f aca="false">INDEX('Page và Ngách'!$B$5:$B$10,MATCH(C435,'Page và Ngách'!$A$5:$A$10,0))</f>
        <v>Second chance / Secret baby</v>
      </c>
      <c r="E435" s="41" t="n">
        <v>15</v>
      </c>
      <c r="F435" s="43" t="n">
        <f aca="false">'Cài đặt'!$B$38+E435-1</f>
        <v>46370</v>
      </c>
      <c r="G435" s="41" t="s">
        <v>444</v>
      </c>
      <c r="H435" s="44" t="str">
        <f aca="false">IF(G435="S1",'Cài đặt'!$B$7,'Cài đặt'!$B$8)</f>
        <v>12:00</v>
      </c>
      <c r="I435" s="44" t="str">
        <f aca="false">'Cài đặt'!$B$32</f>
        <v>Carousel</v>
      </c>
      <c r="J435" s="41" t="s">
        <v>704</v>
      </c>
      <c r="K435" s="41" t="s">
        <v>445</v>
      </c>
      <c r="L435" s="42" t="str">
        <f aca="false">C435&amp;"_"&amp;B435&amp;"_"&amp;IF(I435="Reel","R",IF(I435="Carousel","C","I"))&amp;"_"&amp;J435&amp;"_"&amp;IF(K435="AI tự động","AI","HU")&amp;"_"&amp;RIGHT(A435,3)</f>
        <v>P6_EXP2_C_B_AI_029</v>
      </c>
      <c r="M435" s="45"/>
      <c r="N435" s="45"/>
      <c r="O435" s="46"/>
      <c r="P435" s="46"/>
      <c r="Q435" s="46"/>
      <c r="R435" s="47"/>
      <c r="S435" s="45"/>
      <c r="T435" s="45"/>
      <c r="U435" s="48" t="str">
        <f aca="false">IF(O435&gt;0,P435/O435,"")</f>
        <v/>
      </c>
      <c r="V435" s="49" t="str">
        <f aca="false">IF(P435&gt;0,Q435/P435,"")</f>
        <v/>
      </c>
      <c r="W435" s="50" t="n">
        <f aca="false">IF(R435&lt;&gt;"",R435,Q435*'Cài đặt'!$B$12)</f>
        <v>0</v>
      </c>
      <c r="X435" s="50" t="str">
        <f aca="false">IF(O435&gt;0,W435/O435*1000,"")</f>
        <v/>
      </c>
      <c r="Y435" s="51" t="n">
        <f aca="false">IF(T435&lt;&gt;"",T435,INDEX('Cài đặt'!$B$20:$C$22,MATCH(I435,'Cài đặt'!$A$20:$A$22,0),IF(K435="AI tự động",1,2)))</f>
        <v>4</v>
      </c>
    </row>
    <row r="436" customFormat="false" ht="15" hidden="false" customHeight="false" outlineLevel="0" collapsed="false">
      <c r="A436" s="41" t="s">
        <v>884</v>
      </c>
      <c r="B436" s="41" t="s">
        <v>703</v>
      </c>
      <c r="C436" s="41" t="s">
        <v>193</v>
      </c>
      <c r="D436" s="42" t="str">
        <f aca="false">INDEX('Page và Ngách'!$B$5:$B$10,MATCH(C436,'Page và Ngách'!$A$5:$A$10,0))</f>
        <v>Second chance / Secret baby</v>
      </c>
      <c r="E436" s="41" t="n">
        <v>15</v>
      </c>
      <c r="F436" s="43" t="n">
        <f aca="false">'Cài đặt'!$B$38+E436-1</f>
        <v>46370</v>
      </c>
      <c r="G436" s="41" t="s">
        <v>451</v>
      </c>
      <c r="H436" s="44" t="str">
        <f aca="false">IF(G436="S1",'Cài đặt'!$B$7,'Cài đặt'!$B$8)</f>
        <v>20:00</v>
      </c>
      <c r="I436" s="44" t="str">
        <f aca="false">'Cài đặt'!$B$32</f>
        <v>Carousel</v>
      </c>
      <c r="J436" s="41" t="s">
        <v>706</v>
      </c>
      <c r="K436" s="41" t="s">
        <v>445</v>
      </c>
      <c r="L436" s="42" t="str">
        <f aca="false">C436&amp;"_"&amp;B436&amp;"_"&amp;IF(I436="Reel","R",IF(I436="Carousel","C","I"))&amp;"_"&amp;J436&amp;"_"&amp;IF(K436="AI tự động","AI","HU")&amp;"_"&amp;RIGHT(A436,3)</f>
        <v>P6_EXP2_C_C_AI_030</v>
      </c>
      <c r="M436" s="45"/>
      <c r="N436" s="45"/>
      <c r="O436" s="46"/>
      <c r="P436" s="46"/>
      <c r="Q436" s="46"/>
      <c r="R436" s="47"/>
      <c r="S436" s="45"/>
      <c r="T436" s="45"/>
      <c r="U436" s="48" t="str">
        <f aca="false">IF(O436&gt;0,P436/O436,"")</f>
        <v/>
      </c>
      <c r="V436" s="49" t="str">
        <f aca="false">IF(P436&gt;0,Q436/P436,"")</f>
        <v/>
      </c>
      <c r="W436" s="50" t="n">
        <f aca="false">IF(R436&lt;&gt;"",R436,Q436*'Cài đặt'!$B$12)</f>
        <v>0</v>
      </c>
      <c r="X436" s="50" t="str">
        <f aca="false">IF(O436&gt;0,W436/O436*1000,"")</f>
        <v/>
      </c>
      <c r="Y436" s="51" t="n">
        <f aca="false">IF(T436&lt;&gt;"",T436,INDEX('Cài đặt'!$B$20:$C$22,MATCH(I436,'Cài đặt'!$A$20:$A$22,0),IF(K436="AI tự động",1,2)))</f>
        <v>4</v>
      </c>
    </row>
    <row r="437" customFormat="false" ht="15" hidden="false" customHeight="false" outlineLevel="0" collapsed="false">
      <c r="A437" s="41" t="s">
        <v>885</v>
      </c>
      <c r="B437" s="41" t="s">
        <v>703</v>
      </c>
      <c r="C437" s="41" t="s">
        <v>154</v>
      </c>
      <c r="D437" s="42" t="str">
        <f aca="false">INDEX('Page và Ngách'!$B$5:$B$10,MATCH(C437,'Page và Ngách'!$A$5:$A$10,0))</f>
        <v>Werewolf / Rejected mate</v>
      </c>
      <c r="E437" s="41" t="n">
        <v>16</v>
      </c>
      <c r="F437" s="43" t="n">
        <f aca="false">'Cài đặt'!$B$38+E437-1</f>
        <v>46371</v>
      </c>
      <c r="G437" s="41" t="s">
        <v>444</v>
      </c>
      <c r="H437" s="44" t="str">
        <f aca="false">IF(G437="S1",'Cài đặt'!$B$7,'Cài đặt'!$B$8)</f>
        <v>12:00</v>
      </c>
      <c r="I437" s="44" t="str">
        <f aca="false">'Cài đặt'!$B$32</f>
        <v>Carousel</v>
      </c>
      <c r="J437" s="41" t="s">
        <v>704</v>
      </c>
      <c r="K437" s="41" t="s">
        <v>445</v>
      </c>
      <c r="L437" s="42" t="str">
        <f aca="false">C437&amp;"_"&amp;B437&amp;"_"&amp;IF(I437="Reel","R",IF(I437="Carousel","C","I"))&amp;"_"&amp;J437&amp;"_"&amp;IF(K437="AI tự động","AI","HU")&amp;"_"&amp;RIGHT(A437,3)</f>
        <v>P1_EXP2_C_B_AI_031</v>
      </c>
      <c r="M437" s="45"/>
      <c r="N437" s="45"/>
      <c r="O437" s="46"/>
      <c r="P437" s="46"/>
      <c r="Q437" s="46"/>
      <c r="R437" s="47"/>
      <c r="S437" s="45"/>
      <c r="T437" s="45"/>
      <c r="U437" s="48" t="str">
        <f aca="false">IF(O437&gt;0,P437/O437,"")</f>
        <v/>
      </c>
      <c r="V437" s="49" t="str">
        <f aca="false">IF(P437&gt;0,Q437/P437,"")</f>
        <v/>
      </c>
      <c r="W437" s="50" t="n">
        <f aca="false">IF(R437&lt;&gt;"",R437,Q437*'Cài đặt'!$B$12)</f>
        <v>0</v>
      </c>
      <c r="X437" s="50" t="str">
        <f aca="false">IF(O437&gt;0,W437/O437*1000,"")</f>
        <v/>
      </c>
      <c r="Y437" s="51" t="n">
        <f aca="false">IF(T437&lt;&gt;"",T437,INDEX('Cài đặt'!$B$20:$C$22,MATCH(I437,'Cài đặt'!$A$20:$A$22,0),IF(K437="AI tự động",1,2)))</f>
        <v>4</v>
      </c>
    </row>
    <row r="438" customFormat="false" ht="15" hidden="false" customHeight="false" outlineLevel="0" collapsed="false">
      <c r="A438" s="41" t="s">
        <v>886</v>
      </c>
      <c r="B438" s="41" t="s">
        <v>703</v>
      </c>
      <c r="C438" s="41" t="s">
        <v>154</v>
      </c>
      <c r="D438" s="42" t="str">
        <f aca="false">INDEX('Page và Ngách'!$B$5:$B$10,MATCH(C438,'Page và Ngách'!$A$5:$A$10,0))</f>
        <v>Werewolf / Rejected mate</v>
      </c>
      <c r="E438" s="41" t="n">
        <v>16</v>
      </c>
      <c r="F438" s="43" t="n">
        <f aca="false">'Cài đặt'!$B$38+E438-1</f>
        <v>46371</v>
      </c>
      <c r="G438" s="41" t="s">
        <v>451</v>
      </c>
      <c r="H438" s="44" t="str">
        <f aca="false">IF(G438="S1",'Cài đặt'!$B$7,'Cài đặt'!$B$8)</f>
        <v>20:00</v>
      </c>
      <c r="I438" s="44" t="str">
        <f aca="false">'Cài đặt'!$B$32</f>
        <v>Carousel</v>
      </c>
      <c r="J438" s="41" t="s">
        <v>706</v>
      </c>
      <c r="K438" s="41" t="s">
        <v>445</v>
      </c>
      <c r="L438" s="42" t="str">
        <f aca="false">C438&amp;"_"&amp;B438&amp;"_"&amp;IF(I438="Reel","R",IF(I438="Carousel","C","I"))&amp;"_"&amp;J438&amp;"_"&amp;IF(K438="AI tự động","AI","HU")&amp;"_"&amp;RIGHT(A438,3)</f>
        <v>P1_EXP2_C_C_AI_032</v>
      </c>
      <c r="M438" s="45"/>
      <c r="N438" s="45"/>
      <c r="O438" s="46"/>
      <c r="P438" s="46"/>
      <c r="Q438" s="46"/>
      <c r="R438" s="47"/>
      <c r="S438" s="45"/>
      <c r="T438" s="45"/>
      <c r="U438" s="48" t="str">
        <f aca="false">IF(O438&gt;0,P438/O438,"")</f>
        <v/>
      </c>
      <c r="V438" s="49" t="str">
        <f aca="false">IF(P438&gt;0,Q438/P438,"")</f>
        <v/>
      </c>
      <c r="W438" s="50" t="n">
        <f aca="false">IF(R438&lt;&gt;"",R438,Q438*'Cài đặt'!$B$12)</f>
        <v>0</v>
      </c>
      <c r="X438" s="50" t="str">
        <f aca="false">IF(O438&gt;0,W438/O438*1000,"")</f>
        <v/>
      </c>
      <c r="Y438" s="51" t="n">
        <f aca="false">IF(T438&lt;&gt;"",T438,INDEX('Cài đặt'!$B$20:$C$22,MATCH(I438,'Cài đặt'!$A$20:$A$22,0),IF(K438="AI tự động",1,2)))</f>
        <v>4</v>
      </c>
    </row>
    <row r="439" customFormat="false" ht="15" hidden="false" customHeight="false" outlineLevel="0" collapsed="false">
      <c r="A439" s="41" t="s">
        <v>887</v>
      </c>
      <c r="B439" s="41" t="s">
        <v>703</v>
      </c>
      <c r="C439" s="41" t="s">
        <v>163</v>
      </c>
      <c r="D439" s="42" t="str">
        <f aca="false">INDEX('Page và Ngách'!$B$5:$B$10,MATCH(C439,'Page và Ngách'!$A$5:$A$10,0))</f>
        <v>Secret billionaire / CEO</v>
      </c>
      <c r="E439" s="41" t="n">
        <v>16</v>
      </c>
      <c r="F439" s="43" t="n">
        <f aca="false">'Cài đặt'!$B$38+E439-1</f>
        <v>46371</v>
      </c>
      <c r="G439" s="41" t="s">
        <v>444</v>
      </c>
      <c r="H439" s="44" t="str">
        <f aca="false">IF(G439="S1",'Cài đặt'!$B$7,'Cài đặt'!$B$8)</f>
        <v>12:00</v>
      </c>
      <c r="I439" s="44" t="str">
        <f aca="false">'Cài đặt'!$B$32</f>
        <v>Carousel</v>
      </c>
      <c r="J439" s="41" t="s">
        <v>706</v>
      </c>
      <c r="K439" s="41" t="s">
        <v>445</v>
      </c>
      <c r="L439" s="42" t="str">
        <f aca="false">C439&amp;"_"&amp;B439&amp;"_"&amp;IF(I439="Reel","R",IF(I439="Carousel","C","I"))&amp;"_"&amp;J439&amp;"_"&amp;IF(K439="AI tự động","AI","HU")&amp;"_"&amp;RIGHT(A439,3)</f>
        <v>P2_EXP2_C_C_AI_031</v>
      </c>
      <c r="M439" s="45"/>
      <c r="N439" s="45"/>
      <c r="O439" s="46"/>
      <c r="P439" s="46"/>
      <c r="Q439" s="46"/>
      <c r="R439" s="47"/>
      <c r="S439" s="45"/>
      <c r="T439" s="45"/>
      <c r="U439" s="48" t="str">
        <f aca="false">IF(O439&gt;0,P439/O439,"")</f>
        <v/>
      </c>
      <c r="V439" s="49" t="str">
        <f aca="false">IF(P439&gt;0,Q439/P439,"")</f>
        <v/>
      </c>
      <c r="W439" s="50" t="n">
        <f aca="false">IF(R439&lt;&gt;"",R439,Q439*'Cài đặt'!$B$12)</f>
        <v>0</v>
      </c>
      <c r="X439" s="50" t="str">
        <f aca="false">IF(O439&gt;0,W439/O439*1000,"")</f>
        <v/>
      </c>
      <c r="Y439" s="51" t="n">
        <f aca="false">IF(T439&lt;&gt;"",T439,INDEX('Cài đặt'!$B$20:$C$22,MATCH(I439,'Cài đặt'!$A$20:$A$22,0),IF(K439="AI tự động",1,2)))</f>
        <v>4</v>
      </c>
    </row>
    <row r="440" customFormat="false" ht="15" hidden="false" customHeight="false" outlineLevel="0" collapsed="false">
      <c r="A440" s="41" t="s">
        <v>888</v>
      </c>
      <c r="B440" s="41" t="s">
        <v>703</v>
      </c>
      <c r="C440" s="41" t="s">
        <v>163</v>
      </c>
      <c r="D440" s="42" t="str">
        <f aca="false">INDEX('Page và Ngách'!$B$5:$B$10,MATCH(C440,'Page và Ngách'!$A$5:$A$10,0))</f>
        <v>Secret billionaire / CEO</v>
      </c>
      <c r="E440" s="41" t="n">
        <v>16</v>
      </c>
      <c r="F440" s="43" t="n">
        <f aca="false">'Cài đặt'!$B$38+E440-1</f>
        <v>46371</v>
      </c>
      <c r="G440" s="41" t="s">
        <v>451</v>
      </c>
      <c r="H440" s="44" t="str">
        <f aca="false">IF(G440="S1",'Cài đặt'!$B$7,'Cài đặt'!$B$8)</f>
        <v>20:00</v>
      </c>
      <c r="I440" s="44" t="str">
        <f aca="false">'Cài đặt'!$B$32</f>
        <v>Carousel</v>
      </c>
      <c r="J440" s="41" t="s">
        <v>132</v>
      </c>
      <c r="K440" s="41" t="s">
        <v>445</v>
      </c>
      <c r="L440" s="42" t="str">
        <f aca="false">C440&amp;"_"&amp;B440&amp;"_"&amp;IF(I440="Reel","R",IF(I440="Carousel","C","I"))&amp;"_"&amp;J440&amp;"_"&amp;IF(K440="AI tự động","AI","HU")&amp;"_"&amp;RIGHT(A440,3)</f>
        <v>P2_EXP2_C_A_AI_032</v>
      </c>
      <c r="M440" s="45"/>
      <c r="N440" s="45"/>
      <c r="O440" s="46"/>
      <c r="P440" s="46"/>
      <c r="Q440" s="46"/>
      <c r="R440" s="47"/>
      <c r="S440" s="45"/>
      <c r="T440" s="45"/>
      <c r="U440" s="48" t="str">
        <f aca="false">IF(O440&gt;0,P440/O440,"")</f>
        <v/>
      </c>
      <c r="V440" s="49" t="str">
        <f aca="false">IF(P440&gt;0,Q440/P440,"")</f>
        <v/>
      </c>
      <c r="W440" s="50" t="n">
        <f aca="false">IF(R440&lt;&gt;"",R440,Q440*'Cài đặt'!$B$12)</f>
        <v>0</v>
      </c>
      <c r="X440" s="50" t="str">
        <f aca="false">IF(O440&gt;0,W440/O440*1000,"")</f>
        <v/>
      </c>
      <c r="Y440" s="51" t="n">
        <f aca="false">IF(T440&lt;&gt;"",T440,INDEX('Cài đặt'!$B$20:$C$22,MATCH(I440,'Cài đặt'!$A$20:$A$22,0),IF(K440="AI tự động",1,2)))</f>
        <v>4</v>
      </c>
    </row>
    <row r="441" customFormat="false" ht="15" hidden="false" customHeight="false" outlineLevel="0" collapsed="false">
      <c r="A441" s="41" t="s">
        <v>889</v>
      </c>
      <c r="B441" s="41" t="s">
        <v>703</v>
      </c>
      <c r="C441" s="41" t="s">
        <v>171</v>
      </c>
      <c r="D441" s="42" t="str">
        <f aca="false">INDEX('Page và Ngách'!$B$5:$B$10,MATCH(C441,'Page và Ngách'!$A$5:$A$10,0))</f>
        <v>Contract marriage / Fake relationship</v>
      </c>
      <c r="E441" s="41" t="n">
        <v>16</v>
      </c>
      <c r="F441" s="43" t="n">
        <f aca="false">'Cài đặt'!$B$38+E441-1</f>
        <v>46371</v>
      </c>
      <c r="G441" s="41" t="s">
        <v>444</v>
      </c>
      <c r="H441" s="44" t="str">
        <f aca="false">IF(G441="S1",'Cài đặt'!$B$7,'Cài đặt'!$B$8)</f>
        <v>12:00</v>
      </c>
      <c r="I441" s="44" t="str">
        <f aca="false">'Cài đặt'!$B$32</f>
        <v>Carousel</v>
      </c>
      <c r="J441" s="41" t="s">
        <v>132</v>
      </c>
      <c r="K441" s="41" t="s">
        <v>445</v>
      </c>
      <c r="L441" s="42" t="str">
        <f aca="false">C441&amp;"_"&amp;B441&amp;"_"&amp;IF(I441="Reel","R",IF(I441="Carousel","C","I"))&amp;"_"&amp;J441&amp;"_"&amp;IF(K441="AI tự động","AI","HU")&amp;"_"&amp;RIGHT(A441,3)</f>
        <v>P3_EXP2_C_A_AI_031</v>
      </c>
      <c r="M441" s="45"/>
      <c r="N441" s="45"/>
      <c r="O441" s="46"/>
      <c r="P441" s="46"/>
      <c r="Q441" s="46"/>
      <c r="R441" s="47"/>
      <c r="S441" s="45"/>
      <c r="T441" s="45"/>
      <c r="U441" s="48" t="str">
        <f aca="false">IF(O441&gt;0,P441/O441,"")</f>
        <v/>
      </c>
      <c r="V441" s="49" t="str">
        <f aca="false">IF(P441&gt;0,Q441/P441,"")</f>
        <v/>
      </c>
      <c r="W441" s="50" t="n">
        <f aca="false">IF(R441&lt;&gt;"",R441,Q441*'Cài đặt'!$B$12)</f>
        <v>0</v>
      </c>
      <c r="X441" s="50" t="str">
        <f aca="false">IF(O441&gt;0,W441/O441*1000,"")</f>
        <v/>
      </c>
      <c r="Y441" s="51" t="n">
        <f aca="false">IF(T441&lt;&gt;"",T441,INDEX('Cài đặt'!$B$20:$C$22,MATCH(I441,'Cài đặt'!$A$20:$A$22,0),IF(K441="AI tự động",1,2)))</f>
        <v>4</v>
      </c>
    </row>
    <row r="442" customFormat="false" ht="15" hidden="false" customHeight="false" outlineLevel="0" collapsed="false">
      <c r="A442" s="41" t="s">
        <v>890</v>
      </c>
      <c r="B442" s="41" t="s">
        <v>703</v>
      </c>
      <c r="C442" s="41" t="s">
        <v>171</v>
      </c>
      <c r="D442" s="42" t="str">
        <f aca="false">INDEX('Page và Ngách'!$B$5:$B$10,MATCH(C442,'Page và Ngách'!$A$5:$A$10,0))</f>
        <v>Contract marriage / Fake relationship</v>
      </c>
      <c r="E442" s="41" t="n">
        <v>16</v>
      </c>
      <c r="F442" s="43" t="n">
        <f aca="false">'Cài đặt'!$B$38+E442-1</f>
        <v>46371</v>
      </c>
      <c r="G442" s="41" t="s">
        <v>451</v>
      </c>
      <c r="H442" s="44" t="str">
        <f aca="false">IF(G442="S1",'Cài đặt'!$B$7,'Cài đặt'!$B$8)</f>
        <v>20:00</v>
      </c>
      <c r="I442" s="44" t="str">
        <f aca="false">'Cài đặt'!$B$32</f>
        <v>Carousel</v>
      </c>
      <c r="J442" s="41" t="s">
        <v>704</v>
      </c>
      <c r="K442" s="41" t="s">
        <v>445</v>
      </c>
      <c r="L442" s="42" t="str">
        <f aca="false">C442&amp;"_"&amp;B442&amp;"_"&amp;IF(I442="Reel","R",IF(I442="Carousel","C","I"))&amp;"_"&amp;J442&amp;"_"&amp;IF(K442="AI tự động","AI","HU")&amp;"_"&amp;RIGHT(A442,3)</f>
        <v>P3_EXP2_C_B_AI_032</v>
      </c>
      <c r="M442" s="45"/>
      <c r="N442" s="45"/>
      <c r="O442" s="46"/>
      <c r="P442" s="46"/>
      <c r="Q442" s="46"/>
      <c r="R442" s="47"/>
      <c r="S442" s="45"/>
      <c r="T442" s="45"/>
      <c r="U442" s="48" t="str">
        <f aca="false">IF(O442&gt;0,P442/O442,"")</f>
        <v/>
      </c>
      <c r="V442" s="49" t="str">
        <f aca="false">IF(P442&gt;0,Q442/P442,"")</f>
        <v/>
      </c>
      <c r="W442" s="50" t="n">
        <f aca="false">IF(R442&lt;&gt;"",R442,Q442*'Cài đặt'!$B$12)</f>
        <v>0</v>
      </c>
      <c r="X442" s="50" t="str">
        <f aca="false">IF(O442&gt;0,W442/O442*1000,"")</f>
        <v/>
      </c>
      <c r="Y442" s="51" t="n">
        <f aca="false">IF(T442&lt;&gt;"",T442,INDEX('Cài đặt'!$B$20:$C$22,MATCH(I442,'Cài đặt'!$A$20:$A$22,0),IF(K442="AI tự động",1,2)))</f>
        <v>4</v>
      </c>
    </row>
    <row r="443" customFormat="false" ht="15" hidden="false" customHeight="false" outlineLevel="0" collapsed="false">
      <c r="A443" s="41" t="s">
        <v>891</v>
      </c>
      <c r="B443" s="41" t="s">
        <v>703</v>
      </c>
      <c r="C443" s="41" t="s">
        <v>178</v>
      </c>
      <c r="D443" s="42" t="str">
        <f aca="false">INDEX('Page và Ngách'!$B$5:$B$10,MATCH(C443,'Page và Ngách'!$A$5:$A$10,0))</f>
        <v>Revenge / Betrayal ("you'll regret it")</v>
      </c>
      <c r="E443" s="41" t="n">
        <v>16</v>
      </c>
      <c r="F443" s="43" t="n">
        <f aca="false">'Cài đặt'!$B$38+E443-1</f>
        <v>46371</v>
      </c>
      <c r="G443" s="41" t="s">
        <v>444</v>
      </c>
      <c r="H443" s="44" t="str">
        <f aca="false">IF(G443="S1",'Cài đặt'!$B$7,'Cài đặt'!$B$8)</f>
        <v>12:00</v>
      </c>
      <c r="I443" s="44" t="str">
        <f aca="false">'Cài đặt'!$B$32</f>
        <v>Carousel</v>
      </c>
      <c r="J443" s="41" t="s">
        <v>704</v>
      </c>
      <c r="K443" s="41" t="s">
        <v>445</v>
      </c>
      <c r="L443" s="42" t="str">
        <f aca="false">C443&amp;"_"&amp;B443&amp;"_"&amp;IF(I443="Reel","R",IF(I443="Carousel","C","I"))&amp;"_"&amp;J443&amp;"_"&amp;IF(K443="AI tự động","AI","HU")&amp;"_"&amp;RIGHT(A443,3)</f>
        <v>P4_EXP2_C_B_AI_031</v>
      </c>
      <c r="M443" s="45"/>
      <c r="N443" s="45"/>
      <c r="O443" s="46"/>
      <c r="P443" s="46"/>
      <c r="Q443" s="46"/>
      <c r="R443" s="47"/>
      <c r="S443" s="45"/>
      <c r="T443" s="45"/>
      <c r="U443" s="48" t="str">
        <f aca="false">IF(O443&gt;0,P443/O443,"")</f>
        <v/>
      </c>
      <c r="V443" s="49" t="str">
        <f aca="false">IF(P443&gt;0,Q443/P443,"")</f>
        <v/>
      </c>
      <c r="W443" s="50" t="n">
        <f aca="false">IF(R443&lt;&gt;"",R443,Q443*'Cài đặt'!$B$12)</f>
        <v>0</v>
      </c>
      <c r="X443" s="50" t="str">
        <f aca="false">IF(O443&gt;0,W443/O443*1000,"")</f>
        <v/>
      </c>
      <c r="Y443" s="51" t="n">
        <f aca="false">IF(T443&lt;&gt;"",T443,INDEX('Cài đặt'!$B$20:$C$22,MATCH(I443,'Cài đặt'!$A$20:$A$22,0),IF(K443="AI tự động",1,2)))</f>
        <v>4</v>
      </c>
    </row>
    <row r="444" customFormat="false" ht="15" hidden="false" customHeight="false" outlineLevel="0" collapsed="false">
      <c r="A444" s="41" t="s">
        <v>892</v>
      </c>
      <c r="B444" s="41" t="s">
        <v>703</v>
      </c>
      <c r="C444" s="41" t="s">
        <v>178</v>
      </c>
      <c r="D444" s="42" t="str">
        <f aca="false">INDEX('Page và Ngách'!$B$5:$B$10,MATCH(C444,'Page và Ngách'!$A$5:$A$10,0))</f>
        <v>Revenge / Betrayal ("you'll regret it")</v>
      </c>
      <c r="E444" s="41" t="n">
        <v>16</v>
      </c>
      <c r="F444" s="43" t="n">
        <f aca="false">'Cài đặt'!$B$38+E444-1</f>
        <v>46371</v>
      </c>
      <c r="G444" s="41" t="s">
        <v>451</v>
      </c>
      <c r="H444" s="44" t="str">
        <f aca="false">IF(G444="S1",'Cài đặt'!$B$7,'Cài đặt'!$B$8)</f>
        <v>20:00</v>
      </c>
      <c r="I444" s="44" t="str">
        <f aca="false">'Cài đặt'!$B$32</f>
        <v>Carousel</v>
      </c>
      <c r="J444" s="41" t="s">
        <v>706</v>
      </c>
      <c r="K444" s="41" t="s">
        <v>445</v>
      </c>
      <c r="L444" s="42" t="str">
        <f aca="false">C444&amp;"_"&amp;B444&amp;"_"&amp;IF(I444="Reel","R",IF(I444="Carousel","C","I"))&amp;"_"&amp;J444&amp;"_"&amp;IF(K444="AI tự động","AI","HU")&amp;"_"&amp;RIGHT(A444,3)</f>
        <v>P4_EXP2_C_C_AI_032</v>
      </c>
      <c r="M444" s="45"/>
      <c r="N444" s="45"/>
      <c r="O444" s="46"/>
      <c r="P444" s="46"/>
      <c r="Q444" s="46"/>
      <c r="R444" s="47"/>
      <c r="S444" s="45"/>
      <c r="T444" s="45"/>
      <c r="U444" s="48" t="str">
        <f aca="false">IF(O444&gt;0,P444/O444,"")</f>
        <v/>
      </c>
      <c r="V444" s="49" t="str">
        <f aca="false">IF(P444&gt;0,Q444/P444,"")</f>
        <v/>
      </c>
      <c r="W444" s="50" t="n">
        <f aca="false">IF(R444&lt;&gt;"",R444,Q444*'Cài đặt'!$B$12)</f>
        <v>0</v>
      </c>
      <c r="X444" s="50" t="str">
        <f aca="false">IF(O444&gt;0,W444/O444*1000,"")</f>
        <v/>
      </c>
      <c r="Y444" s="51" t="n">
        <f aca="false">IF(T444&lt;&gt;"",T444,INDEX('Cài đặt'!$B$20:$C$22,MATCH(I444,'Cài đặt'!$A$20:$A$22,0),IF(K444="AI tự động",1,2)))</f>
        <v>4</v>
      </c>
    </row>
    <row r="445" customFormat="false" ht="15" hidden="false" customHeight="false" outlineLevel="0" collapsed="false">
      <c r="A445" s="41" t="s">
        <v>893</v>
      </c>
      <c r="B445" s="41" t="s">
        <v>703</v>
      </c>
      <c r="C445" s="41" t="s">
        <v>185</v>
      </c>
      <c r="D445" s="42" t="str">
        <f aca="false">INDEX('Page và Ngách'!$B$5:$B$10,MATCH(C445,'Page và Ngách'!$A$5:$A$10,0))</f>
        <v>Mafia / Dark romance (teaser PG-13)</v>
      </c>
      <c r="E445" s="41" t="n">
        <v>16</v>
      </c>
      <c r="F445" s="43" t="n">
        <f aca="false">'Cài đặt'!$B$38+E445-1</f>
        <v>46371</v>
      </c>
      <c r="G445" s="41" t="s">
        <v>444</v>
      </c>
      <c r="H445" s="44" t="str">
        <f aca="false">IF(G445="S1",'Cài đặt'!$B$7,'Cài đặt'!$B$8)</f>
        <v>12:00</v>
      </c>
      <c r="I445" s="44" t="str">
        <f aca="false">'Cài đặt'!$B$32</f>
        <v>Carousel</v>
      </c>
      <c r="J445" s="41" t="s">
        <v>706</v>
      </c>
      <c r="K445" s="41" t="s">
        <v>445</v>
      </c>
      <c r="L445" s="42" t="str">
        <f aca="false">C445&amp;"_"&amp;B445&amp;"_"&amp;IF(I445="Reel","R",IF(I445="Carousel","C","I"))&amp;"_"&amp;J445&amp;"_"&amp;IF(K445="AI tự động","AI","HU")&amp;"_"&amp;RIGHT(A445,3)</f>
        <v>P5_EXP2_C_C_AI_031</v>
      </c>
      <c r="M445" s="45"/>
      <c r="N445" s="45"/>
      <c r="O445" s="46"/>
      <c r="P445" s="46"/>
      <c r="Q445" s="46"/>
      <c r="R445" s="47"/>
      <c r="S445" s="45"/>
      <c r="T445" s="45"/>
      <c r="U445" s="48" t="str">
        <f aca="false">IF(O445&gt;0,P445/O445,"")</f>
        <v/>
      </c>
      <c r="V445" s="49" t="str">
        <f aca="false">IF(P445&gt;0,Q445/P445,"")</f>
        <v/>
      </c>
      <c r="W445" s="50" t="n">
        <f aca="false">IF(R445&lt;&gt;"",R445,Q445*'Cài đặt'!$B$12)</f>
        <v>0</v>
      </c>
      <c r="X445" s="50" t="str">
        <f aca="false">IF(O445&gt;0,W445/O445*1000,"")</f>
        <v/>
      </c>
      <c r="Y445" s="51" t="n">
        <f aca="false">IF(T445&lt;&gt;"",T445,INDEX('Cài đặt'!$B$20:$C$22,MATCH(I445,'Cài đặt'!$A$20:$A$22,0),IF(K445="AI tự động",1,2)))</f>
        <v>4</v>
      </c>
    </row>
    <row r="446" customFormat="false" ht="15" hidden="false" customHeight="false" outlineLevel="0" collapsed="false">
      <c r="A446" s="41" t="s">
        <v>894</v>
      </c>
      <c r="B446" s="41" t="s">
        <v>703</v>
      </c>
      <c r="C446" s="41" t="s">
        <v>185</v>
      </c>
      <c r="D446" s="42" t="str">
        <f aca="false">INDEX('Page và Ngách'!$B$5:$B$10,MATCH(C446,'Page và Ngách'!$A$5:$A$10,0))</f>
        <v>Mafia / Dark romance (teaser PG-13)</v>
      </c>
      <c r="E446" s="41" t="n">
        <v>16</v>
      </c>
      <c r="F446" s="43" t="n">
        <f aca="false">'Cài đặt'!$B$38+E446-1</f>
        <v>46371</v>
      </c>
      <c r="G446" s="41" t="s">
        <v>451</v>
      </c>
      <c r="H446" s="44" t="str">
        <f aca="false">IF(G446="S1",'Cài đặt'!$B$7,'Cài đặt'!$B$8)</f>
        <v>20:00</v>
      </c>
      <c r="I446" s="44" t="str">
        <f aca="false">'Cài đặt'!$B$32</f>
        <v>Carousel</v>
      </c>
      <c r="J446" s="41" t="s">
        <v>132</v>
      </c>
      <c r="K446" s="41" t="s">
        <v>445</v>
      </c>
      <c r="L446" s="42" t="str">
        <f aca="false">C446&amp;"_"&amp;B446&amp;"_"&amp;IF(I446="Reel","R",IF(I446="Carousel","C","I"))&amp;"_"&amp;J446&amp;"_"&amp;IF(K446="AI tự động","AI","HU")&amp;"_"&amp;RIGHT(A446,3)</f>
        <v>P5_EXP2_C_A_AI_032</v>
      </c>
      <c r="M446" s="45"/>
      <c r="N446" s="45"/>
      <c r="O446" s="46"/>
      <c r="P446" s="46"/>
      <c r="Q446" s="46"/>
      <c r="R446" s="47"/>
      <c r="S446" s="45"/>
      <c r="T446" s="45"/>
      <c r="U446" s="48" t="str">
        <f aca="false">IF(O446&gt;0,P446/O446,"")</f>
        <v/>
      </c>
      <c r="V446" s="49" t="str">
        <f aca="false">IF(P446&gt;0,Q446/P446,"")</f>
        <v/>
      </c>
      <c r="W446" s="50" t="n">
        <f aca="false">IF(R446&lt;&gt;"",R446,Q446*'Cài đặt'!$B$12)</f>
        <v>0</v>
      </c>
      <c r="X446" s="50" t="str">
        <f aca="false">IF(O446&gt;0,W446/O446*1000,"")</f>
        <v/>
      </c>
      <c r="Y446" s="51" t="n">
        <f aca="false">IF(T446&lt;&gt;"",T446,INDEX('Cài đặt'!$B$20:$C$22,MATCH(I446,'Cài đặt'!$A$20:$A$22,0),IF(K446="AI tự động",1,2)))</f>
        <v>4</v>
      </c>
    </row>
    <row r="447" customFormat="false" ht="15" hidden="false" customHeight="false" outlineLevel="0" collapsed="false">
      <c r="A447" s="41" t="s">
        <v>895</v>
      </c>
      <c r="B447" s="41" t="s">
        <v>703</v>
      </c>
      <c r="C447" s="41" t="s">
        <v>193</v>
      </c>
      <c r="D447" s="42" t="str">
        <f aca="false">INDEX('Page và Ngách'!$B$5:$B$10,MATCH(C447,'Page và Ngách'!$A$5:$A$10,0))</f>
        <v>Second chance / Secret baby</v>
      </c>
      <c r="E447" s="41" t="n">
        <v>16</v>
      </c>
      <c r="F447" s="43" t="n">
        <f aca="false">'Cài đặt'!$B$38+E447-1</f>
        <v>46371</v>
      </c>
      <c r="G447" s="41" t="s">
        <v>444</v>
      </c>
      <c r="H447" s="44" t="str">
        <f aca="false">IF(G447="S1",'Cài đặt'!$B$7,'Cài đặt'!$B$8)</f>
        <v>12:00</v>
      </c>
      <c r="I447" s="44" t="str">
        <f aca="false">'Cài đặt'!$B$32</f>
        <v>Carousel</v>
      </c>
      <c r="J447" s="41" t="s">
        <v>132</v>
      </c>
      <c r="K447" s="41" t="s">
        <v>445</v>
      </c>
      <c r="L447" s="42" t="str">
        <f aca="false">C447&amp;"_"&amp;B447&amp;"_"&amp;IF(I447="Reel","R",IF(I447="Carousel","C","I"))&amp;"_"&amp;J447&amp;"_"&amp;IF(K447="AI tự động","AI","HU")&amp;"_"&amp;RIGHT(A447,3)</f>
        <v>P6_EXP2_C_A_AI_031</v>
      </c>
      <c r="M447" s="45"/>
      <c r="N447" s="45"/>
      <c r="O447" s="46"/>
      <c r="P447" s="46"/>
      <c r="Q447" s="46"/>
      <c r="R447" s="47"/>
      <c r="S447" s="45"/>
      <c r="T447" s="45"/>
      <c r="U447" s="48" t="str">
        <f aca="false">IF(O447&gt;0,P447/O447,"")</f>
        <v/>
      </c>
      <c r="V447" s="49" t="str">
        <f aca="false">IF(P447&gt;0,Q447/P447,"")</f>
        <v/>
      </c>
      <c r="W447" s="50" t="n">
        <f aca="false">IF(R447&lt;&gt;"",R447,Q447*'Cài đặt'!$B$12)</f>
        <v>0</v>
      </c>
      <c r="X447" s="50" t="str">
        <f aca="false">IF(O447&gt;0,W447/O447*1000,"")</f>
        <v/>
      </c>
      <c r="Y447" s="51" t="n">
        <f aca="false">IF(T447&lt;&gt;"",T447,INDEX('Cài đặt'!$B$20:$C$22,MATCH(I447,'Cài đặt'!$A$20:$A$22,0),IF(K447="AI tự động",1,2)))</f>
        <v>4</v>
      </c>
    </row>
    <row r="448" customFormat="false" ht="15" hidden="false" customHeight="false" outlineLevel="0" collapsed="false">
      <c r="A448" s="41" t="s">
        <v>896</v>
      </c>
      <c r="B448" s="41" t="s">
        <v>703</v>
      </c>
      <c r="C448" s="41" t="s">
        <v>193</v>
      </c>
      <c r="D448" s="42" t="str">
        <f aca="false">INDEX('Page và Ngách'!$B$5:$B$10,MATCH(C448,'Page và Ngách'!$A$5:$A$10,0))</f>
        <v>Second chance / Secret baby</v>
      </c>
      <c r="E448" s="41" t="n">
        <v>16</v>
      </c>
      <c r="F448" s="43" t="n">
        <f aca="false">'Cài đặt'!$B$38+E448-1</f>
        <v>46371</v>
      </c>
      <c r="G448" s="41" t="s">
        <v>451</v>
      </c>
      <c r="H448" s="44" t="str">
        <f aca="false">IF(G448="S1",'Cài đặt'!$B$7,'Cài đặt'!$B$8)</f>
        <v>20:00</v>
      </c>
      <c r="I448" s="44" t="str">
        <f aca="false">'Cài đặt'!$B$32</f>
        <v>Carousel</v>
      </c>
      <c r="J448" s="41" t="s">
        <v>704</v>
      </c>
      <c r="K448" s="41" t="s">
        <v>445</v>
      </c>
      <c r="L448" s="42" t="str">
        <f aca="false">C448&amp;"_"&amp;B448&amp;"_"&amp;IF(I448="Reel","R",IF(I448="Carousel","C","I"))&amp;"_"&amp;J448&amp;"_"&amp;IF(K448="AI tự động","AI","HU")&amp;"_"&amp;RIGHT(A448,3)</f>
        <v>P6_EXP2_C_B_AI_032</v>
      </c>
      <c r="M448" s="45"/>
      <c r="N448" s="45"/>
      <c r="O448" s="46"/>
      <c r="P448" s="46"/>
      <c r="Q448" s="46"/>
      <c r="R448" s="47"/>
      <c r="S448" s="45"/>
      <c r="T448" s="45"/>
      <c r="U448" s="48" t="str">
        <f aca="false">IF(O448&gt;0,P448/O448,"")</f>
        <v/>
      </c>
      <c r="V448" s="49" t="str">
        <f aca="false">IF(P448&gt;0,Q448/P448,"")</f>
        <v/>
      </c>
      <c r="W448" s="50" t="n">
        <f aca="false">IF(R448&lt;&gt;"",R448,Q448*'Cài đặt'!$B$12)</f>
        <v>0</v>
      </c>
      <c r="X448" s="50" t="str">
        <f aca="false">IF(O448&gt;0,W448/O448*1000,"")</f>
        <v/>
      </c>
      <c r="Y448" s="51" t="n">
        <f aca="false">IF(T448&lt;&gt;"",T448,INDEX('Cài đặt'!$B$20:$C$22,MATCH(I448,'Cài đặt'!$A$20:$A$22,0),IF(K448="AI tự động",1,2)))</f>
        <v>4</v>
      </c>
    </row>
    <row r="449" customFormat="false" ht="15" hidden="false" customHeight="false" outlineLevel="0" collapsed="false">
      <c r="A449" s="41" t="s">
        <v>897</v>
      </c>
      <c r="B449" s="41" t="s">
        <v>703</v>
      </c>
      <c r="C449" s="41" t="s">
        <v>154</v>
      </c>
      <c r="D449" s="42" t="str">
        <f aca="false">INDEX('Page và Ngách'!$B$5:$B$10,MATCH(C449,'Page và Ngách'!$A$5:$A$10,0))</f>
        <v>Werewolf / Rejected mate</v>
      </c>
      <c r="E449" s="41" t="n">
        <v>17</v>
      </c>
      <c r="F449" s="43" t="n">
        <f aca="false">'Cài đặt'!$B$38+E449-1</f>
        <v>46372</v>
      </c>
      <c r="G449" s="41" t="s">
        <v>444</v>
      </c>
      <c r="H449" s="44" t="str">
        <f aca="false">IF(G449="S1",'Cài đặt'!$B$7,'Cài đặt'!$B$8)</f>
        <v>12:00</v>
      </c>
      <c r="I449" s="44" t="str">
        <f aca="false">'Cài đặt'!$B$32</f>
        <v>Carousel</v>
      </c>
      <c r="J449" s="41" t="s">
        <v>132</v>
      </c>
      <c r="K449" s="41" t="s">
        <v>445</v>
      </c>
      <c r="L449" s="42" t="str">
        <f aca="false">C449&amp;"_"&amp;B449&amp;"_"&amp;IF(I449="Reel","R",IF(I449="Carousel","C","I"))&amp;"_"&amp;J449&amp;"_"&amp;IF(K449="AI tự động","AI","HU")&amp;"_"&amp;RIGHT(A449,3)</f>
        <v>P1_EXP2_C_A_AI_033</v>
      </c>
      <c r="M449" s="45"/>
      <c r="N449" s="45"/>
      <c r="O449" s="46"/>
      <c r="P449" s="46"/>
      <c r="Q449" s="46"/>
      <c r="R449" s="47"/>
      <c r="S449" s="45"/>
      <c r="T449" s="45"/>
      <c r="U449" s="48" t="str">
        <f aca="false">IF(O449&gt;0,P449/O449,"")</f>
        <v/>
      </c>
      <c r="V449" s="49" t="str">
        <f aca="false">IF(P449&gt;0,Q449/P449,"")</f>
        <v/>
      </c>
      <c r="W449" s="50" t="n">
        <f aca="false">IF(R449&lt;&gt;"",R449,Q449*'Cài đặt'!$B$12)</f>
        <v>0</v>
      </c>
      <c r="X449" s="50" t="str">
        <f aca="false">IF(O449&gt;0,W449/O449*1000,"")</f>
        <v/>
      </c>
      <c r="Y449" s="51" t="n">
        <f aca="false">IF(T449&lt;&gt;"",T449,INDEX('Cài đặt'!$B$20:$C$22,MATCH(I449,'Cài đặt'!$A$20:$A$22,0),IF(K449="AI tự động",1,2)))</f>
        <v>4</v>
      </c>
    </row>
    <row r="450" customFormat="false" ht="15" hidden="false" customHeight="false" outlineLevel="0" collapsed="false">
      <c r="A450" s="41" t="s">
        <v>898</v>
      </c>
      <c r="B450" s="41" t="s">
        <v>703</v>
      </c>
      <c r="C450" s="41" t="s">
        <v>154</v>
      </c>
      <c r="D450" s="42" t="str">
        <f aca="false">INDEX('Page và Ngách'!$B$5:$B$10,MATCH(C450,'Page và Ngách'!$A$5:$A$10,0))</f>
        <v>Werewolf / Rejected mate</v>
      </c>
      <c r="E450" s="41" t="n">
        <v>17</v>
      </c>
      <c r="F450" s="43" t="n">
        <f aca="false">'Cài đặt'!$B$38+E450-1</f>
        <v>46372</v>
      </c>
      <c r="G450" s="41" t="s">
        <v>451</v>
      </c>
      <c r="H450" s="44" t="str">
        <f aca="false">IF(G450="S1",'Cài đặt'!$B$7,'Cài đặt'!$B$8)</f>
        <v>20:00</v>
      </c>
      <c r="I450" s="44" t="str">
        <f aca="false">'Cài đặt'!$B$32</f>
        <v>Carousel</v>
      </c>
      <c r="J450" s="41" t="s">
        <v>704</v>
      </c>
      <c r="K450" s="41" t="s">
        <v>445</v>
      </c>
      <c r="L450" s="42" t="str">
        <f aca="false">C450&amp;"_"&amp;B450&amp;"_"&amp;IF(I450="Reel","R",IF(I450="Carousel","C","I"))&amp;"_"&amp;J450&amp;"_"&amp;IF(K450="AI tự động","AI","HU")&amp;"_"&amp;RIGHT(A450,3)</f>
        <v>P1_EXP2_C_B_AI_034</v>
      </c>
      <c r="M450" s="45"/>
      <c r="N450" s="45"/>
      <c r="O450" s="46"/>
      <c r="P450" s="46"/>
      <c r="Q450" s="46"/>
      <c r="R450" s="47"/>
      <c r="S450" s="45"/>
      <c r="T450" s="45"/>
      <c r="U450" s="48" t="str">
        <f aca="false">IF(O450&gt;0,P450/O450,"")</f>
        <v/>
      </c>
      <c r="V450" s="49" t="str">
        <f aca="false">IF(P450&gt;0,Q450/P450,"")</f>
        <v/>
      </c>
      <c r="W450" s="50" t="n">
        <f aca="false">IF(R450&lt;&gt;"",R450,Q450*'Cài đặt'!$B$12)</f>
        <v>0</v>
      </c>
      <c r="X450" s="50" t="str">
        <f aca="false">IF(O450&gt;0,W450/O450*1000,"")</f>
        <v/>
      </c>
      <c r="Y450" s="51" t="n">
        <f aca="false">IF(T450&lt;&gt;"",T450,INDEX('Cài đặt'!$B$20:$C$22,MATCH(I450,'Cài đặt'!$A$20:$A$22,0),IF(K450="AI tự động",1,2)))</f>
        <v>4</v>
      </c>
    </row>
    <row r="451" customFormat="false" ht="15" hidden="false" customHeight="false" outlineLevel="0" collapsed="false">
      <c r="A451" s="41" t="s">
        <v>899</v>
      </c>
      <c r="B451" s="41" t="s">
        <v>703</v>
      </c>
      <c r="C451" s="41" t="s">
        <v>163</v>
      </c>
      <c r="D451" s="42" t="str">
        <f aca="false">INDEX('Page và Ngách'!$B$5:$B$10,MATCH(C451,'Page và Ngách'!$A$5:$A$10,0))</f>
        <v>Secret billionaire / CEO</v>
      </c>
      <c r="E451" s="41" t="n">
        <v>17</v>
      </c>
      <c r="F451" s="43" t="n">
        <f aca="false">'Cài đặt'!$B$38+E451-1</f>
        <v>46372</v>
      </c>
      <c r="G451" s="41" t="s">
        <v>444</v>
      </c>
      <c r="H451" s="44" t="str">
        <f aca="false">IF(G451="S1",'Cài đặt'!$B$7,'Cài đặt'!$B$8)</f>
        <v>12:00</v>
      </c>
      <c r="I451" s="44" t="str">
        <f aca="false">'Cài đặt'!$B$32</f>
        <v>Carousel</v>
      </c>
      <c r="J451" s="41" t="s">
        <v>704</v>
      </c>
      <c r="K451" s="41" t="s">
        <v>445</v>
      </c>
      <c r="L451" s="42" t="str">
        <f aca="false">C451&amp;"_"&amp;B451&amp;"_"&amp;IF(I451="Reel","R",IF(I451="Carousel","C","I"))&amp;"_"&amp;J451&amp;"_"&amp;IF(K451="AI tự động","AI","HU")&amp;"_"&amp;RIGHT(A451,3)</f>
        <v>P2_EXP2_C_B_AI_033</v>
      </c>
      <c r="M451" s="45"/>
      <c r="N451" s="45"/>
      <c r="O451" s="46"/>
      <c r="P451" s="46"/>
      <c r="Q451" s="46"/>
      <c r="R451" s="47"/>
      <c r="S451" s="45"/>
      <c r="T451" s="45"/>
      <c r="U451" s="48" t="str">
        <f aca="false">IF(O451&gt;0,P451/O451,"")</f>
        <v/>
      </c>
      <c r="V451" s="49" t="str">
        <f aca="false">IF(P451&gt;0,Q451/P451,"")</f>
        <v/>
      </c>
      <c r="W451" s="50" t="n">
        <f aca="false">IF(R451&lt;&gt;"",R451,Q451*'Cài đặt'!$B$12)</f>
        <v>0</v>
      </c>
      <c r="X451" s="50" t="str">
        <f aca="false">IF(O451&gt;0,W451/O451*1000,"")</f>
        <v/>
      </c>
      <c r="Y451" s="51" t="n">
        <f aca="false">IF(T451&lt;&gt;"",T451,INDEX('Cài đặt'!$B$20:$C$22,MATCH(I451,'Cài đặt'!$A$20:$A$22,0),IF(K451="AI tự động",1,2)))</f>
        <v>4</v>
      </c>
    </row>
    <row r="452" customFormat="false" ht="15" hidden="false" customHeight="false" outlineLevel="0" collapsed="false">
      <c r="A452" s="41" t="s">
        <v>900</v>
      </c>
      <c r="B452" s="41" t="s">
        <v>703</v>
      </c>
      <c r="C452" s="41" t="s">
        <v>163</v>
      </c>
      <c r="D452" s="42" t="str">
        <f aca="false">INDEX('Page và Ngách'!$B$5:$B$10,MATCH(C452,'Page và Ngách'!$A$5:$A$10,0))</f>
        <v>Secret billionaire / CEO</v>
      </c>
      <c r="E452" s="41" t="n">
        <v>17</v>
      </c>
      <c r="F452" s="43" t="n">
        <f aca="false">'Cài đặt'!$B$38+E452-1</f>
        <v>46372</v>
      </c>
      <c r="G452" s="41" t="s">
        <v>451</v>
      </c>
      <c r="H452" s="44" t="str">
        <f aca="false">IF(G452="S1",'Cài đặt'!$B$7,'Cài đặt'!$B$8)</f>
        <v>20:00</v>
      </c>
      <c r="I452" s="44" t="str">
        <f aca="false">'Cài đặt'!$B$32</f>
        <v>Carousel</v>
      </c>
      <c r="J452" s="41" t="s">
        <v>706</v>
      </c>
      <c r="K452" s="41" t="s">
        <v>445</v>
      </c>
      <c r="L452" s="42" t="str">
        <f aca="false">C452&amp;"_"&amp;B452&amp;"_"&amp;IF(I452="Reel","R",IF(I452="Carousel","C","I"))&amp;"_"&amp;J452&amp;"_"&amp;IF(K452="AI tự động","AI","HU")&amp;"_"&amp;RIGHT(A452,3)</f>
        <v>P2_EXP2_C_C_AI_034</v>
      </c>
      <c r="M452" s="45"/>
      <c r="N452" s="45"/>
      <c r="O452" s="46"/>
      <c r="P452" s="46"/>
      <c r="Q452" s="46"/>
      <c r="R452" s="47"/>
      <c r="S452" s="45"/>
      <c r="T452" s="45"/>
      <c r="U452" s="48" t="str">
        <f aca="false">IF(O452&gt;0,P452/O452,"")</f>
        <v/>
      </c>
      <c r="V452" s="49" t="str">
        <f aca="false">IF(P452&gt;0,Q452/P452,"")</f>
        <v/>
      </c>
      <c r="W452" s="50" t="n">
        <f aca="false">IF(R452&lt;&gt;"",R452,Q452*'Cài đặt'!$B$12)</f>
        <v>0</v>
      </c>
      <c r="X452" s="50" t="str">
        <f aca="false">IF(O452&gt;0,W452/O452*1000,"")</f>
        <v/>
      </c>
      <c r="Y452" s="51" t="n">
        <f aca="false">IF(T452&lt;&gt;"",T452,INDEX('Cài đặt'!$B$20:$C$22,MATCH(I452,'Cài đặt'!$A$20:$A$22,0),IF(K452="AI tự động",1,2)))</f>
        <v>4</v>
      </c>
    </row>
    <row r="453" customFormat="false" ht="15" hidden="false" customHeight="false" outlineLevel="0" collapsed="false">
      <c r="A453" s="41" t="s">
        <v>901</v>
      </c>
      <c r="B453" s="41" t="s">
        <v>703</v>
      </c>
      <c r="C453" s="41" t="s">
        <v>171</v>
      </c>
      <c r="D453" s="42" t="str">
        <f aca="false">INDEX('Page và Ngách'!$B$5:$B$10,MATCH(C453,'Page và Ngách'!$A$5:$A$10,0))</f>
        <v>Contract marriage / Fake relationship</v>
      </c>
      <c r="E453" s="41" t="n">
        <v>17</v>
      </c>
      <c r="F453" s="43" t="n">
        <f aca="false">'Cài đặt'!$B$38+E453-1</f>
        <v>46372</v>
      </c>
      <c r="G453" s="41" t="s">
        <v>444</v>
      </c>
      <c r="H453" s="44" t="str">
        <f aca="false">IF(G453="S1",'Cài đặt'!$B$7,'Cài đặt'!$B$8)</f>
        <v>12:00</v>
      </c>
      <c r="I453" s="44" t="str">
        <f aca="false">'Cài đặt'!$B$32</f>
        <v>Carousel</v>
      </c>
      <c r="J453" s="41" t="s">
        <v>706</v>
      </c>
      <c r="K453" s="41" t="s">
        <v>445</v>
      </c>
      <c r="L453" s="42" t="str">
        <f aca="false">C453&amp;"_"&amp;B453&amp;"_"&amp;IF(I453="Reel","R",IF(I453="Carousel","C","I"))&amp;"_"&amp;J453&amp;"_"&amp;IF(K453="AI tự động","AI","HU")&amp;"_"&amp;RIGHT(A453,3)</f>
        <v>P3_EXP2_C_C_AI_033</v>
      </c>
      <c r="M453" s="45"/>
      <c r="N453" s="45"/>
      <c r="O453" s="46"/>
      <c r="P453" s="46"/>
      <c r="Q453" s="46"/>
      <c r="R453" s="47"/>
      <c r="S453" s="45"/>
      <c r="T453" s="45"/>
      <c r="U453" s="48" t="str">
        <f aca="false">IF(O453&gt;0,P453/O453,"")</f>
        <v/>
      </c>
      <c r="V453" s="49" t="str">
        <f aca="false">IF(P453&gt;0,Q453/P453,"")</f>
        <v/>
      </c>
      <c r="W453" s="50" t="n">
        <f aca="false">IF(R453&lt;&gt;"",R453,Q453*'Cài đặt'!$B$12)</f>
        <v>0</v>
      </c>
      <c r="X453" s="50" t="str">
        <f aca="false">IF(O453&gt;0,W453/O453*1000,"")</f>
        <v/>
      </c>
      <c r="Y453" s="51" t="n">
        <f aca="false">IF(T453&lt;&gt;"",T453,INDEX('Cài đặt'!$B$20:$C$22,MATCH(I453,'Cài đặt'!$A$20:$A$22,0),IF(K453="AI tự động",1,2)))</f>
        <v>4</v>
      </c>
    </row>
    <row r="454" customFormat="false" ht="15" hidden="false" customHeight="false" outlineLevel="0" collapsed="false">
      <c r="A454" s="41" t="s">
        <v>902</v>
      </c>
      <c r="B454" s="41" t="s">
        <v>703</v>
      </c>
      <c r="C454" s="41" t="s">
        <v>171</v>
      </c>
      <c r="D454" s="42" t="str">
        <f aca="false">INDEX('Page và Ngách'!$B$5:$B$10,MATCH(C454,'Page và Ngách'!$A$5:$A$10,0))</f>
        <v>Contract marriage / Fake relationship</v>
      </c>
      <c r="E454" s="41" t="n">
        <v>17</v>
      </c>
      <c r="F454" s="43" t="n">
        <f aca="false">'Cài đặt'!$B$38+E454-1</f>
        <v>46372</v>
      </c>
      <c r="G454" s="41" t="s">
        <v>451</v>
      </c>
      <c r="H454" s="44" t="str">
        <f aca="false">IF(G454="S1",'Cài đặt'!$B$7,'Cài đặt'!$B$8)</f>
        <v>20:00</v>
      </c>
      <c r="I454" s="44" t="str">
        <f aca="false">'Cài đặt'!$B$32</f>
        <v>Carousel</v>
      </c>
      <c r="J454" s="41" t="s">
        <v>132</v>
      </c>
      <c r="K454" s="41" t="s">
        <v>445</v>
      </c>
      <c r="L454" s="42" t="str">
        <f aca="false">C454&amp;"_"&amp;B454&amp;"_"&amp;IF(I454="Reel","R",IF(I454="Carousel","C","I"))&amp;"_"&amp;J454&amp;"_"&amp;IF(K454="AI tự động","AI","HU")&amp;"_"&amp;RIGHT(A454,3)</f>
        <v>P3_EXP2_C_A_AI_034</v>
      </c>
      <c r="M454" s="45"/>
      <c r="N454" s="45"/>
      <c r="O454" s="46"/>
      <c r="P454" s="46"/>
      <c r="Q454" s="46"/>
      <c r="R454" s="47"/>
      <c r="S454" s="45"/>
      <c r="T454" s="45"/>
      <c r="U454" s="48" t="str">
        <f aca="false">IF(O454&gt;0,P454/O454,"")</f>
        <v/>
      </c>
      <c r="V454" s="49" t="str">
        <f aca="false">IF(P454&gt;0,Q454/P454,"")</f>
        <v/>
      </c>
      <c r="W454" s="50" t="n">
        <f aca="false">IF(R454&lt;&gt;"",R454,Q454*'Cài đặt'!$B$12)</f>
        <v>0</v>
      </c>
      <c r="X454" s="50" t="str">
        <f aca="false">IF(O454&gt;0,W454/O454*1000,"")</f>
        <v/>
      </c>
      <c r="Y454" s="51" t="n">
        <f aca="false">IF(T454&lt;&gt;"",T454,INDEX('Cài đặt'!$B$20:$C$22,MATCH(I454,'Cài đặt'!$A$20:$A$22,0),IF(K454="AI tự động",1,2)))</f>
        <v>4</v>
      </c>
    </row>
    <row r="455" customFormat="false" ht="15" hidden="false" customHeight="false" outlineLevel="0" collapsed="false">
      <c r="A455" s="41" t="s">
        <v>903</v>
      </c>
      <c r="B455" s="41" t="s">
        <v>703</v>
      </c>
      <c r="C455" s="41" t="s">
        <v>178</v>
      </c>
      <c r="D455" s="42" t="str">
        <f aca="false">INDEX('Page và Ngách'!$B$5:$B$10,MATCH(C455,'Page và Ngách'!$A$5:$A$10,0))</f>
        <v>Revenge / Betrayal ("you'll regret it")</v>
      </c>
      <c r="E455" s="41" t="n">
        <v>17</v>
      </c>
      <c r="F455" s="43" t="n">
        <f aca="false">'Cài đặt'!$B$38+E455-1</f>
        <v>46372</v>
      </c>
      <c r="G455" s="41" t="s">
        <v>444</v>
      </c>
      <c r="H455" s="44" t="str">
        <f aca="false">IF(G455="S1",'Cài đặt'!$B$7,'Cài đặt'!$B$8)</f>
        <v>12:00</v>
      </c>
      <c r="I455" s="44" t="str">
        <f aca="false">'Cài đặt'!$B$32</f>
        <v>Carousel</v>
      </c>
      <c r="J455" s="41" t="s">
        <v>132</v>
      </c>
      <c r="K455" s="41" t="s">
        <v>445</v>
      </c>
      <c r="L455" s="42" t="str">
        <f aca="false">C455&amp;"_"&amp;B455&amp;"_"&amp;IF(I455="Reel","R",IF(I455="Carousel","C","I"))&amp;"_"&amp;J455&amp;"_"&amp;IF(K455="AI tự động","AI","HU")&amp;"_"&amp;RIGHT(A455,3)</f>
        <v>P4_EXP2_C_A_AI_033</v>
      </c>
      <c r="M455" s="45"/>
      <c r="N455" s="45"/>
      <c r="O455" s="46"/>
      <c r="P455" s="46"/>
      <c r="Q455" s="46"/>
      <c r="R455" s="47"/>
      <c r="S455" s="45"/>
      <c r="T455" s="45"/>
      <c r="U455" s="48" t="str">
        <f aca="false">IF(O455&gt;0,P455/O455,"")</f>
        <v/>
      </c>
      <c r="V455" s="49" t="str">
        <f aca="false">IF(P455&gt;0,Q455/P455,"")</f>
        <v/>
      </c>
      <c r="W455" s="50" t="n">
        <f aca="false">IF(R455&lt;&gt;"",R455,Q455*'Cài đặt'!$B$12)</f>
        <v>0</v>
      </c>
      <c r="X455" s="50" t="str">
        <f aca="false">IF(O455&gt;0,W455/O455*1000,"")</f>
        <v/>
      </c>
      <c r="Y455" s="51" t="n">
        <f aca="false">IF(T455&lt;&gt;"",T455,INDEX('Cài đặt'!$B$20:$C$22,MATCH(I455,'Cài đặt'!$A$20:$A$22,0),IF(K455="AI tự động",1,2)))</f>
        <v>4</v>
      </c>
    </row>
    <row r="456" customFormat="false" ht="15" hidden="false" customHeight="false" outlineLevel="0" collapsed="false">
      <c r="A456" s="41" t="s">
        <v>904</v>
      </c>
      <c r="B456" s="41" t="s">
        <v>703</v>
      </c>
      <c r="C456" s="41" t="s">
        <v>178</v>
      </c>
      <c r="D456" s="42" t="str">
        <f aca="false">INDEX('Page và Ngách'!$B$5:$B$10,MATCH(C456,'Page và Ngách'!$A$5:$A$10,0))</f>
        <v>Revenge / Betrayal ("you'll regret it")</v>
      </c>
      <c r="E456" s="41" t="n">
        <v>17</v>
      </c>
      <c r="F456" s="43" t="n">
        <f aca="false">'Cài đặt'!$B$38+E456-1</f>
        <v>46372</v>
      </c>
      <c r="G456" s="41" t="s">
        <v>451</v>
      </c>
      <c r="H456" s="44" t="str">
        <f aca="false">IF(G456="S1",'Cài đặt'!$B$7,'Cài đặt'!$B$8)</f>
        <v>20:00</v>
      </c>
      <c r="I456" s="44" t="str">
        <f aca="false">'Cài đặt'!$B$32</f>
        <v>Carousel</v>
      </c>
      <c r="J456" s="41" t="s">
        <v>704</v>
      </c>
      <c r="K456" s="41" t="s">
        <v>445</v>
      </c>
      <c r="L456" s="42" t="str">
        <f aca="false">C456&amp;"_"&amp;B456&amp;"_"&amp;IF(I456="Reel","R",IF(I456="Carousel","C","I"))&amp;"_"&amp;J456&amp;"_"&amp;IF(K456="AI tự động","AI","HU")&amp;"_"&amp;RIGHT(A456,3)</f>
        <v>P4_EXP2_C_B_AI_034</v>
      </c>
      <c r="M456" s="45"/>
      <c r="N456" s="45"/>
      <c r="O456" s="46"/>
      <c r="P456" s="46"/>
      <c r="Q456" s="46"/>
      <c r="R456" s="47"/>
      <c r="S456" s="45"/>
      <c r="T456" s="45"/>
      <c r="U456" s="48" t="str">
        <f aca="false">IF(O456&gt;0,P456/O456,"")</f>
        <v/>
      </c>
      <c r="V456" s="49" t="str">
        <f aca="false">IF(P456&gt;0,Q456/P456,"")</f>
        <v/>
      </c>
      <c r="W456" s="50" t="n">
        <f aca="false">IF(R456&lt;&gt;"",R456,Q456*'Cài đặt'!$B$12)</f>
        <v>0</v>
      </c>
      <c r="X456" s="50" t="str">
        <f aca="false">IF(O456&gt;0,W456/O456*1000,"")</f>
        <v/>
      </c>
      <c r="Y456" s="51" t="n">
        <f aca="false">IF(T456&lt;&gt;"",T456,INDEX('Cài đặt'!$B$20:$C$22,MATCH(I456,'Cài đặt'!$A$20:$A$22,0),IF(K456="AI tự động",1,2)))</f>
        <v>4</v>
      </c>
    </row>
    <row r="457" customFormat="false" ht="15" hidden="false" customHeight="false" outlineLevel="0" collapsed="false">
      <c r="A457" s="41" t="s">
        <v>905</v>
      </c>
      <c r="B457" s="41" t="s">
        <v>703</v>
      </c>
      <c r="C457" s="41" t="s">
        <v>185</v>
      </c>
      <c r="D457" s="42" t="str">
        <f aca="false">INDEX('Page và Ngách'!$B$5:$B$10,MATCH(C457,'Page và Ngách'!$A$5:$A$10,0))</f>
        <v>Mafia / Dark romance (teaser PG-13)</v>
      </c>
      <c r="E457" s="41" t="n">
        <v>17</v>
      </c>
      <c r="F457" s="43" t="n">
        <f aca="false">'Cài đặt'!$B$38+E457-1</f>
        <v>46372</v>
      </c>
      <c r="G457" s="41" t="s">
        <v>444</v>
      </c>
      <c r="H457" s="44" t="str">
        <f aca="false">IF(G457="S1",'Cài đặt'!$B$7,'Cài đặt'!$B$8)</f>
        <v>12:00</v>
      </c>
      <c r="I457" s="44" t="str">
        <f aca="false">'Cài đặt'!$B$32</f>
        <v>Carousel</v>
      </c>
      <c r="J457" s="41" t="s">
        <v>704</v>
      </c>
      <c r="K457" s="41" t="s">
        <v>445</v>
      </c>
      <c r="L457" s="42" t="str">
        <f aca="false">C457&amp;"_"&amp;B457&amp;"_"&amp;IF(I457="Reel","R",IF(I457="Carousel","C","I"))&amp;"_"&amp;J457&amp;"_"&amp;IF(K457="AI tự động","AI","HU")&amp;"_"&amp;RIGHT(A457,3)</f>
        <v>P5_EXP2_C_B_AI_033</v>
      </c>
      <c r="M457" s="45"/>
      <c r="N457" s="45"/>
      <c r="O457" s="46"/>
      <c r="P457" s="46"/>
      <c r="Q457" s="46"/>
      <c r="R457" s="47"/>
      <c r="S457" s="45"/>
      <c r="T457" s="45"/>
      <c r="U457" s="48" t="str">
        <f aca="false">IF(O457&gt;0,P457/O457,"")</f>
        <v/>
      </c>
      <c r="V457" s="49" t="str">
        <f aca="false">IF(P457&gt;0,Q457/P457,"")</f>
        <v/>
      </c>
      <c r="W457" s="50" t="n">
        <f aca="false">IF(R457&lt;&gt;"",R457,Q457*'Cài đặt'!$B$12)</f>
        <v>0</v>
      </c>
      <c r="X457" s="50" t="str">
        <f aca="false">IF(O457&gt;0,W457/O457*1000,"")</f>
        <v/>
      </c>
      <c r="Y457" s="51" t="n">
        <f aca="false">IF(T457&lt;&gt;"",T457,INDEX('Cài đặt'!$B$20:$C$22,MATCH(I457,'Cài đặt'!$A$20:$A$22,0),IF(K457="AI tự động",1,2)))</f>
        <v>4</v>
      </c>
    </row>
    <row r="458" customFormat="false" ht="15" hidden="false" customHeight="false" outlineLevel="0" collapsed="false">
      <c r="A458" s="41" t="s">
        <v>906</v>
      </c>
      <c r="B458" s="41" t="s">
        <v>703</v>
      </c>
      <c r="C458" s="41" t="s">
        <v>185</v>
      </c>
      <c r="D458" s="42" t="str">
        <f aca="false">INDEX('Page và Ngách'!$B$5:$B$10,MATCH(C458,'Page và Ngách'!$A$5:$A$10,0))</f>
        <v>Mafia / Dark romance (teaser PG-13)</v>
      </c>
      <c r="E458" s="41" t="n">
        <v>17</v>
      </c>
      <c r="F458" s="43" t="n">
        <f aca="false">'Cài đặt'!$B$38+E458-1</f>
        <v>46372</v>
      </c>
      <c r="G458" s="41" t="s">
        <v>451</v>
      </c>
      <c r="H458" s="44" t="str">
        <f aca="false">IF(G458="S1",'Cài đặt'!$B$7,'Cài đặt'!$B$8)</f>
        <v>20:00</v>
      </c>
      <c r="I458" s="44" t="str">
        <f aca="false">'Cài đặt'!$B$32</f>
        <v>Carousel</v>
      </c>
      <c r="J458" s="41" t="s">
        <v>706</v>
      </c>
      <c r="K458" s="41" t="s">
        <v>445</v>
      </c>
      <c r="L458" s="42" t="str">
        <f aca="false">C458&amp;"_"&amp;B458&amp;"_"&amp;IF(I458="Reel","R",IF(I458="Carousel","C","I"))&amp;"_"&amp;J458&amp;"_"&amp;IF(K458="AI tự động","AI","HU")&amp;"_"&amp;RIGHT(A458,3)</f>
        <v>P5_EXP2_C_C_AI_034</v>
      </c>
      <c r="M458" s="45"/>
      <c r="N458" s="45"/>
      <c r="O458" s="46"/>
      <c r="P458" s="46"/>
      <c r="Q458" s="46"/>
      <c r="R458" s="47"/>
      <c r="S458" s="45"/>
      <c r="T458" s="45"/>
      <c r="U458" s="48" t="str">
        <f aca="false">IF(O458&gt;0,P458/O458,"")</f>
        <v/>
      </c>
      <c r="V458" s="49" t="str">
        <f aca="false">IF(P458&gt;0,Q458/P458,"")</f>
        <v/>
      </c>
      <c r="W458" s="50" t="n">
        <f aca="false">IF(R458&lt;&gt;"",R458,Q458*'Cài đặt'!$B$12)</f>
        <v>0</v>
      </c>
      <c r="X458" s="50" t="str">
        <f aca="false">IF(O458&gt;0,W458/O458*1000,"")</f>
        <v/>
      </c>
      <c r="Y458" s="51" t="n">
        <f aca="false">IF(T458&lt;&gt;"",T458,INDEX('Cài đặt'!$B$20:$C$22,MATCH(I458,'Cài đặt'!$A$20:$A$22,0),IF(K458="AI tự động",1,2)))</f>
        <v>4</v>
      </c>
    </row>
    <row r="459" customFormat="false" ht="15" hidden="false" customHeight="false" outlineLevel="0" collapsed="false">
      <c r="A459" s="41" t="s">
        <v>907</v>
      </c>
      <c r="B459" s="41" t="s">
        <v>703</v>
      </c>
      <c r="C459" s="41" t="s">
        <v>193</v>
      </c>
      <c r="D459" s="42" t="str">
        <f aca="false">INDEX('Page và Ngách'!$B$5:$B$10,MATCH(C459,'Page và Ngách'!$A$5:$A$10,0))</f>
        <v>Second chance / Secret baby</v>
      </c>
      <c r="E459" s="41" t="n">
        <v>17</v>
      </c>
      <c r="F459" s="43" t="n">
        <f aca="false">'Cài đặt'!$B$38+E459-1</f>
        <v>46372</v>
      </c>
      <c r="G459" s="41" t="s">
        <v>444</v>
      </c>
      <c r="H459" s="44" t="str">
        <f aca="false">IF(G459="S1",'Cài đặt'!$B$7,'Cài đặt'!$B$8)</f>
        <v>12:00</v>
      </c>
      <c r="I459" s="44" t="str">
        <f aca="false">'Cài đặt'!$B$32</f>
        <v>Carousel</v>
      </c>
      <c r="J459" s="41" t="s">
        <v>706</v>
      </c>
      <c r="K459" s="41" t="s">
        <v>445</v>
      </c>
      <c r="L459" s="42" t="str">
        <f aca="false">C459&amp;"_"&amp;B459&amp;"_"&amp;IF(I459="Reel","R",IF(I459="Carousel","C","I"))&amp;"_"&amp;J459&amp;"_"&amp;IF(K459="AI tự động","AI","HU")&amp;"_"&amp;RIGHT(A459,3)</f>
        <v>P6_EXP2_C_C_AI_033</v>
      </c>
      <c r="M459" s="45"/>
      <c r="N459" s="45"/>
      <c r="O459" s="46"/>
      <c r="P459" s="46"/>
      <c r="Q459" s="46"/>
      <c r="R459" s="47"/>
      <c r="S459" s="45"/>
      <c r="T459" s="45"/>
      <c r="U459" s="48" t="str">
        <f aca="false">IF(O459&gt;0,P459/O459,"")</f>
        <v/>
      </c>
      <c r="V459" s="49" t="str">
        <f aca="false">IF(P459&gt;0,Q459/P459,"")</f>
        <v/>
      </c>
      <c r="W459" s="50" t="n">
        <f aca="false">IF(R459&lt;&gt;"",R459,Q459*'Cài đặt'!$B$12)</f>
        <v>0</v>
      </c>
      <c r="X459" s="50" t="str">
        <f aca="false">IF(O459&gt;0,W459/O459*1000,"")</f>
        <v/>
      </c>
      <c r="Y459" s="51" t="n">
        <f aca="false">IF(T459&lt;&gt;"",T459,INDEX('Cài đặt'!$B$20:$C$22,MATCH(I459,'Cài đặt'!$A$20:$A$22,0),IF(K459="AI tự động",1,2)))</f>
        <v>4</v>
      </c>
    </row>
    <row r="460" customFormat="false" ht="15" hidden="false" customHeight="false" outlineLevel="0" collapsed="false">
      <c r="A460" s="41" t="s">
        <v>908</v>
      </c>
      <c r="B460" s="41" t="s">
        <v>703</v>
      </c>
      <c r="C460" s="41" t="s">
        <v>193</v>
      </c>
      <c r="D460" s="42" t="str">
        <f aca="false">INDEX('Page và Ngách'!$B$5:$B$10,MATCH(C460,'Page và Ngách'!$A$5:$A$10,0))</f>
        <v>Second chance / Secret baby</v>
      </c>
      <c r="E460" s="41" t="n">
        <v>17</v>
      </c>
      <c r="F460" s="43" t="n">
        <f aca="false">'Cài đặt'!$B$38+E460-1</f>
        <v>46372</v>
      </c>
      <c r="G460" s="41" t="s">
        <v>451</v>
      </c>
      <c r="H460" s="44" t="str">
        <f aca="false">IF(G460="S1",'Cài đặt'!$B$7,'Cài đặt'!$B$8)</f>
        <v>20:00</v>
      </c>
      <c r="I460" s="44" t="str">
        <f aca="false">'Cài đặt'!$B$32</f>
        <v>Carousel</v>
      </c>
      <c r="J460" s="41" t="s">
        <v>132</v>
      </c>
      <c r="K460" s="41" t="s">
        <v>445</v>
      </c>
      <c r="L460" s="42" t="str">
        <f aca="false">C460&amp;"_"&amp;B460&amp;"_"&amp;IF(I460="Reel","R",IF(I460="Carousel","C","I"))&amp;"_"&amp;J460&amp;"_"&amp;IF(K460="AI tự động","AI","HU")&amp;"_"&amp;RIGHT(A460,3)</f>
        <v>P6_EXP2_C_A_AI_034</v>
      </c>
      <c r="M460" s="45"/>
      <c r="N460" s="45"/>
      <c r="O460" s="46"/>
      <c r="P460" s="46"/>
      <c r="Q460" s="46"/>
      <c r="R460" s="47"/>
      <c r="S460" s="45"/>
      <c r="T460" s="45"/>
      <c r="U460" s="48" t="str">
        <f aca="false">IF(O460&gt;0,P460/O460,"")</f>
        <v/>
      </c>
      <c r="V460" s="49" t="str">
        <f aca="false">IF(P460&gt;0,Q460/P460,"")</f>
        <v/>
      </c>
      <c r="W460" s="50" t="n">
        <f aca="false">IF(R460&lt;&gt;"",R460,Q460*'Cài đặt'!$B$12)</f>
        <v>0</v>
      </c>
      <c r="X460" s="50" t="str">
        <f aca="false">IF(O460&gt;0,W460/O460*1000,"")</f>
        <v/>
      </c>
      <c r="Y460" s="51" t="n">
        <f aca="false">IF(T460&lt;&gt;"",T460,INDEX('Cài đặt'!$B$20:$C$22,MATCH(I460,'Cài đặt'!$A$20:$A$22,0),IF(K460="AI tự động",1,2)))</f>
        <v>4</v>
      </c>
    </row>
    <row r="461" customFormat="false" ht="15" hidden="false" customHeight="false" outlineLevel="0" collapsed="false">
      <c r="A461" s="41" t="s">
        <v>909</v>
      </c>
      <c r="B461" s="41" t="s">
        <v>703</v>
      </c>
      <c r="C461" s="41" t="s">
        <v>154</v>
      </c>
      <c r="D461" s="42" t="str">
        <f aca="false">INDEX('Page và Ngách'!$B$5:$B$10,MATCH(C461,'Page và Ngách'!$A$5:$A$10,0))</f>
        <v>Werewolf / Rejected mate</v>
      </c>
      <c r="E461" s="41" t="n">
        <v>18</v>
      </c>
      <c r="F461" s="43" t="n">
        <f aca="false">'Cài đặt'!$B$38+E461-1</f>
        <v>46373</v>
      </c>
      <c r="G461" s="41" t="s">
        <v>444</v>
      </c>
      <c r="H461" s="44" t="str">
        <f aca="false">IF(G461="S1",'Cài đặt'!$B$7,'Cài đặt'!$B$8)</f>
        <v>12:00</v>
      </c>
      <c r="I461" s="44" t="str">
        <f aca="false">'Cài đặt'!$B$32</f>
        <v>Carousel</v>
      </c>
      <c r="J461" s="41" t="s">
        <v>706</v>
      </c>
      <c r="K461" s="41" t="s">
        <v>445</v>
      </c>
      <c r="L461" s="42" t="str">
        <f aca="false">C461&amp;"_"&amp;B461&amp;"_"&amp;IF(I461="Reel","R",IF(I461="Carousel","C","I"))&amp;"_"&amp;J461&amp;"_"&amp;IF(K461="AI tự động","AI","HU")&amp;"_"&amp;RIGHT(A461,3)</f>
        <v>P1_EXP2_C_C_AI_035</v>
      </c>
      <c r="M461" s="45"/>
      <c r="N461" s="45"/>
      <c r="O461" s="46"/>
      <c r="P461" s="46"/>
      <c r="Q461" s="46"/>
      <c r="R461" s="47"/>
      <c r="S461" s="45"/>
      <c r="T461" s="45"/>
      <c r="U461" s="48" t="str">
        <f aca="false">IF(O461&gt;0,P461/O461,"")</f>
        <v/>
      </c>
      <c r="V461" s="49" t="str">
        <f aca="false">IF(P461&gt;0,Q461/P461,"")</f>
        <v/>
      </c>
      <c r="W461" s="50" t="n">
        <f aca="false">IF(R461&lt;&gt;"",R461,Q461*'Cài đặt'!$B$12)</f>
        <v>0</v>
      </c>
      <c r="X461" s="50" t="str">
        <f aca="false">IF(O461&gt;0,W461/O461*1000,"")</f>
        <v/>
      </c>
      <c r="Y461" s="51" t="n">
        <f aca="false">IF(T461&lt;&gt;"",T461,INDEX('Cài đặt'!$B$20:$C$22,MATCH(I461,'Cài đặt'!$A$20:$A$22,0),IF(K461="AI tự động",1,2)))</f>
        <v>4</v>
      </c>
    </row>
    <row r="462" customFormat="false" ht="15" hidden="false" customHeight="false" outlineLevel="0" collapsed="false">
      <c r="A462" s="41" t="s">
        <v>910</v>
      </c>
      <c r="B462" s="41" t="s">
        <v>703</v>
      </c>
      <c r="C462" s="41" t="s">
        <v>154</v>
      </c>
      <c r="D462" s="42" t="str">
        <f aca="false">INDEX('Page và Ngách'!$B$5:$B$10,MATCH(C462,'Page và Ngách'!$A$5:$A$10,0))</f>
        <v>Werewolf / Rejected mate</v>
      </c>
      <c r="E462" s="41" t="n">
        <v>18</v>
      </c>
      <c r="F462" s="43" t="n">
        <f aca="false">'Cài đặt'!$B$38+E462-1</f>
        <v>46373</v>
      </c>
      <c r="G462" s="41" t="s">
        <v>451</v>
      </c>
      <c r="H462" s="44" t="str">
        <f aca="false">IF(G462="S1",'Cài đặt'!$B$7,'Cài đặt'!$B$8)</f>
        <v>20:00</v>
      </c>
      <c r="I462" s="44" t="str">
        <f aca="false">'Cài đặt'!$B$32</f>
        <v>Carousel</v>
      </c>
      <c r="J462" s="41" t="s">
        <v>132</v>
      </c>
      <c r="K462" s="41" t="s">
        <v>445</v>
      </c>
      <c r="L462" s="42" t="str">
        <f aca="false">C462&amp;"_"&amp;B462&amp;"_"&amp;IF(I462="Reel","R",IF(I462="Carousel","C","I"))&amp;"_"&amp;J462&amp;"_"&amp;IF(K462="AI tự động","AI","HU")&amp;"_"&amp;RIGHT(A462,3)</f>
        <v>P1_EXP2_C_A_AI_036</v>
      </c>
      <c r="M462" s="45"/>
      <c r="N462" s="45"/>
      <c r="O462" s="46"/>
      <c r="P462" s="46"/>
      <c r="Q462" s="46"/>
      <c r="R462" s="47"/>
      <c r="S462" s="45"/>
      <c r="T462" s="45"/>
      <c r="U462" s="48" t="str">
        <f aca="false">IF(O462&gt;0,P462/O462,"")</f>
        <v/>
      </c>
      <c r="V462" s="49" t="str">
        <f aca="false">IF(P462&gt;0,Q462/P462,"")</f>
        <v/>
      </c>
      <c r="W462" s="50" t="n">
        <f aca="false">IF(R462&lt;&gt;"",R462,Q462*'Cài đặt'!$B$12)</f>
        <v>0</v>
      </c>
      <c r="X462" s="50" t="str">
        <f aca="false">IF(O462&gt;0,W462/O462*1000,"")</f>
        <v/>
      </c>
      <c r="Y462" s="51" t="n">
        <f aca="false">IF(T462&lt;&gt;"",T462,INDEX('Cài đặt'!$B$20:$C$22,MATCH(I462,'Cài đặt'!$A$20:$A$22,0),IF(K462="AI tự động",1,2)))</f>
        <v>4</v>
      </c>
    </row>
    <row r="463" customFormat="false" ht="15" hidden="false" customHeight="false" outlineLevel="0" collapsed="false">
      <c r="A463" s="41" t="s">
        <v>911</v>
      </c>
      <c r="B463" s="41" t="s">
        <v>703</v>
      </c>
      <c r="C463" s="41" t="s">
        <v>163</v>
      </c>
      <c r="D463" s="42" t="str">
        <f aca="false">INDEX('Page và Ngách'!$B$5:$B$10,MATCH(C463,'Page và Ngách'!$A$5:$A$10,0))</f>
        <v>Secret billionaire / CEO</v>
      </c>
      <c r="E463" s="41" t="n">
        <v>18</v>
      </c>
      <c r="F463" s="43" t="n">
        <f aca="false">'Cài đặt'!$B$38+E463-1</f>
        <v>46373</v>
      </c>
      <c r="G463" s="41" t="s">
        <v>444</v>
      </c>
      <c r="H463" s="44" t="str">
        <f aca="false">IF(G463="S1",'Cài đặt'!$B$7,'Cài đặt'!$B$8)</f>
        <v>12:00</v>
      </c>
      <c r="I463" s="44" t="str">
        <f aca="false">'Cài đặt'!$B$32</f>
        <v>Carousel</v>
      </c>
      <c r="J463" s="41" t="s">
        <v>132</v>
      </c>
      <c r="K463" s="41" t="s">
        <v>445</v>
      </c>
      <c r="L463" s="42" t="str">
        <f aca="false">C463&amp;"_"&amp;B463&amp;"_"&amp;IF(I463="Reel","R",IF(I463="Carousel","C","I"))&amp;"_"&amp;J463&amp;"_"&amp;IF(K463="AI tự động","AI","HU")&amp;"_"&amp;RIGHT(A463,3)</f>
        <v>P2_EXP2_C_A_AI_035</v>
      </c>
      <c r="M463" s="45"/>
      <c r="N463" s="45"/>
      <c r="O463" s="46"/>
      <c r="P463" s="46"/>
      <c r="Q463" s="46"/>
      <c r="R463" s="47"/>
      <c r="S463" s="45"/>
      <c r="T463" s="45"/>
      <c r="U463" s="48" t="str">
        <f aca="false">IF(O463&gt;0,P463/O463,"")</f>
        <v/>
      </c>
      <c r="V463" s="49" t="str">
        <f aca="false">IF(P463&gt;0,Q463/P463,"")</f>
        <v/>
      </c>
      <c r="W463" s="50" t="n">
        <f aca="false">IF(R463&lt;&gt;"",R463,Q463*'Cài đặt'!$B$12)</f>
        <v>0</v>
      </c>
      <c r="X463" s="50" t="str">
        <f aca="false">IF(O463&gt;0,W463/O463*1000,"")</f>
        <v/>
      </c>
      <c r="Y463" s="51" t="n">
        <f aca="false">IF(T463&lt;&gt;"",T463,INDEX('Cài đặt'!$B$20:$C$22,MATCH(I463,'Cài đặt'!$A$20:$A$22,0),IF(K463="AI tự động",1,2)))</f>
        <v>4</v>
      </c>
    </row>
    <row r="464" customFormat="false" ht="15" hidden="false" customHeight="false" outlineLevel="0" collapsed="false">
      <c r="A464" s="41" t="s">
        <v>912</v>
      </c>
      <c r="B464" s="41" t="s">
        <v>703</v>
      </c>
      <c r="C464" s="41" t="s">
        <v>163</v>
      </c>
      <c r="D464" s="42" t="str">
        <f aca="false">INDEX('Page và Ngách'!$B$5:$B$10,MATCH(C464,'Page và Ngách'!$A$5:$A$10,0))</f>
        <v>Secret billionaire / CEO</v>
      </c>
      <c r="E464" s="41" t="n">
        <v>18</v>
      </c>
      <c r="F464" s="43" t="n">
        <f aca="false">'Cài đặt'!$B$38+E464-1</f>
        <v>46373</v>
      </c>
      <c r="G464" s="41" t="s">
        <v>451</v>
      </c>
      <c r="H464" s="44" t="str">
        <f aca="false">IF(G464="S1",'Cài đặt'!$B$7,'Cài đặt'!$B$8)</f>
        <v>20:00</v>
      </c>
      <c r="I464" s="44" t="str">
        <f aca="false">'Cài đặt'!$B$32</f>
        <v>Carousel</v>
      </c>
      <c r="J464" s="41" t="s">
        <v>704</v>
      </c>
      <c r="K464" s="41" t="s">
        <v>445</v>
      </c>
      <c r="L464" s="42" t="str">
        <f aca="false">C464&amp;"_"&amp;B464&amp;"_"&amp;IF(I464="Reel","R",IF(I464="Carousel","C","I"))&amp;"_"&amp;J464&amp;"_"&amp;IF(K464="AI tự động","AI","HU")&amp;"_"&amp;RIGHT(A464,3)</f>
        <v>P2_EXP2_C_B_AI_036</v>
      </c>
      <c r="M464" s="45"/>
      <c r="N464" s="45"/>
      <c r="O464" s="46"/>
      <c r="P464" s="46"/>
      <c r="Q464" s="46"/>
      <c r="R464" s="47"/>
      <c r="S464" s="45"/>
      <c r="T464" s="45"/>
      <c r="U464" s="48" t="str">
        <f aca="false">IF(O464&gt;0,P464/O464,"")</f>
        <v/>
      </c>
      <c r="V464" s="49" t="str">
        <f aca="false">IF(P464&gt;0,Q464/P464,"")</f>
        <v/>
      </c>
      <c r="W464" s="50" t="n">
        <f aca="false">IF(R464&lt;&gt;"",R464,Q464*'Cài đặt'!$B$12)</f>
        <v>0</v>
      </c>
      <c r="X464" s="50" t="str">
        <f aca="false">IF(O464&gt;0,W464/O464*1000,"")</f>
        <v/>
      </c>
      <c r="Y464" s="51" t="n">
        <f aca="false">IF(T464&lt;&gt;"",T464,INDEX('Cài đặt'!$B$20:$C$22,MATCH(I464,'Cài đặt'!$A$20:$A$22,0),IF(K464="AI tự động",1,2)))</f>
        <v>4</v>
      </c>
    </row>
    <row r="465" customFormat="false" ht="15" hidden="false" customHeight="false" outlineLevel="0" collapsed="false">
      <c r="A465" s="41" t="s">
        <v>913</v>
      </c>
      <c r="B465" s="41" t="s">
        <v>703</v>
      </c>
      <c r="C465" s="41" t="s">
        <v>171</v>
      </c>
      <c r="D465" s="42" t="str">
        <f aca="false">INDEX('Page và Ngách'!$B$5:$B$10,MATCH(C465,'Page và Ngách'!$A$5:$A$10,0))</f>
        <v>Contract marriage / Fake relationship</v>
      </c>
      <c r="E465" s="41" t="n">
        <v>18</v>
      </c>
      <c r="F465" s="43" t="n">
        <f aca="false">'Cài đặt'!$B$38+E465-1</f>
        <v>46373</v>
      </c>
      <c r="G465" s="41" t="s">
        <v>444</v>
      </c>
      <c r="H465" s="44" t="str">
        <f aca="false">IF(G465="S1",'Cài đặt'!$B$7,'Cài đặt'!$B$8)</f>
        <v>12:00</v>
      </c>
      <c r="I465" s="44" t="str">
        <f aca="false">'Cài đặt'!$B$32</f>
        <v>Carousel</v>
      </c>
      <c r="J465" s="41" t="s">
        <v>704</v>
      </c>
      <c r="K465" s="41" t="s">
        <v>445</v>
      </c>
      <c r="L465" s="42" t="str">
        <f aca="false">C465&amp;"_"&amp;B465&amp;"_"&amp;IF(I465="Reel","R",IF(I465="Carousel","C","I"))&amp;"_"&amp;J465&amp;"_"&amp;IF(K465="AI tự động","AI","HU")&amp;"_"&amp;RIGHT(A465,3)</f>
        <v>P3_EXP2_C_B_AI_035</v>
      </c>
      <c r="M465" s="45"/>
      <c r="N465" s="45"/>
      <c r="O465" s="46"/>
      <c r="P465" s="46"/>
      <c r="Q465" s="46"/>
      <c r="R465" s="47"/>
      <c r="S465" s="45"/>
      <c r="T465" s="45"/>
      <c r="U465" s="48" t="str">
        <f aca="false">IF(O465&gt;0,P465/O465,"")</f>
        <v/>
      </c>
      <c r="V465" s="49" t="str">
        <f aca="false">IF(P465&gt;0,Q465/P465,"")</f>
        <v/>
      </c>
      <c r="W465" s="50" t="n">
        <f aca="false">IF(R465&lt;&gt;"",R465,Q465*'Cài đặt'!$B$12)</f>
        <v>0</v>
      </c>
      <c r="X465" s="50" t="str">
        <f aca="false">IF(O465&gt;0,W465/O465*1000,"")</f>
        <v/>
      </c>
      <c r="Y465" s="51" t="n">
        <f aca="false">IF(T465&lt;&gt;"",T465,INDEX('Cài đặt'!$B$20:$C$22,MATCH(I465,'Cài đặt'!$A$20:$A$22,0),IF(K465="AI tự động",1,2)))</f>
        <v>4</v>
      </c>
    </row>
    <row r="466" customFormat="false" ht="15" hidden="false" customHeight="false" outlineLevel="0" collapsed="false">
      <c r="A466" s="41" t="s">
        <v>914</v>
      </c>
      <c r="B466" s="41" t="s">
        <v>703</v>
      </c>
      <c r="C466" s="41" t="s">
        <v>171</v>
      </c>
      <c r="D466" s="42" t="str">
        <f aca="false">INDEX('Page và Ngách'!$B$5:$B$10,MATCH(C466,'Page và Ngách'!$A$5:$A$10,0))</f>
        <v>Contract marriage / Fake relationship</v>
      </c>
      <c r="E466" s="41" t="n">
        <v>18</v>
      </c>
      <c r="F466" s="43" t="n">
        <f aca="false">'Cài đặt'!$B$38+E466-1</f>
        <v>46373</v>
      </c>
      <c r="G466" s="41" t="s">
        <v>451</v>
      </c>
      <c r="H466" s="44" t="str">
        <f aca="false">IF(G466="S1",'Cài đặt'!$B$7,'Cài đặt'!$B$8)</f>
        <v>20:00</v>
      </c>
      <c r="I466" s="44" t="str">
        <f aca="false">'Cài đặt'!$B$32</f>
        <v>Carousel</v>
      </c>
      <c r="J466" s="41" t="s">
        <v>706</v>
      </c>
      <c r="K466" s="41" t="s">
        <v>445</v>
      </c>
      <c r="L466" s="42" t="str">
        <f aca="false">C466&amp;"_"&amp;B466&amp;"_"&amp;IF(I466="Reel","R",IF(I466="Carousel","C","I"))&amp;"_"&amp;J466&amp;"_"&amp;IF(K466="AI tự động","AI","HU")&amp;"_"&amp;RIGHT(A466,3)</f>
        <v>P3_EXP2_C_C_AI_036</v>
      </c>
      <c r="M466" s="45"/>
      <c r="N466" s="45"/>
      <c r="O466" s="46"/>
      <c r="P466" s="46"/>
      <c r="Q466" s="46"/>
      <c r="R466" s="47"/>
      <c r="S466" s="45"/>
      <c r="T466" s="45"/>
      <c r="U466" s="48" t="str">
        <f aca="false">IF(O466&gt;0,P466/O466,"")</f>
        <v/>
      </c>
      <c r="V466" s="49" t="str">
        <f aca="false">IF(P466&gt;0,Q466/P466,"")</f>
        <v/>
      </c>
      <c r="W466" s="50" t="n">
        <f aca="false">IF(R466&lt;&gt;"",R466,Q466*'Cài đặt'!$B$12)</f>
        <v>0</v>
      </c>
      <c r="X466" s="50" t="str">
        <f aca="false">IF(O466&gt;0,W466/O466*1000,"")</f>
        <v/>
      </c>
      <c r="Y466" s="51" t="n">
        <f aca="false">IF(T466&lt;&gt;"",T466,INDEX('Cài đặt'!$B$20:$C$22,MATCH(I466,'Cài đặt'!$A$20:$A$22,0),IF(K466="AI tự động",1,2)))</f>
        <v>4</v>
      </c>
    </row>
    <row r="467" customFormat="false" ht="15" hidden="false" customHeight="false" outlineLevel="0" collapsed="false">
      <c r="A467" s="41" t="s">
        <v>915</v>
      </c>
      <c r="B467" s="41" t="s">
        <v>703</v>
      </c>
      <c r="C467" s="41" t="s">
        <v>178</v>
      </c>
      <c r="D467" s="42" t="str">
        <f aca="false">INDEX('Page và Ngách'!$B$5:$B$10,MATCH(C467,'Page và Ngách'!$A$5:$A$10,0))</f>
        <v>Revenge / Betrayal ("you'll regret it")</v>
      </c>
      <c r="E467" s="41" t="n">
        <v>18</v>
      </c>
      <c r="F467" s="43" t="n">
        <f aca="false">'Cài đặt'!$B$38+E467-1</f>
        <v>46373</v>
      </c>
      <c r="G467" s="41" t="s">
        <v>444</v>
      </c>
      <c r="H467" s="44" t="str">
        <f aca="false">IF(G467="S1",'Cài đặt'!$B$7,'Cài đặt'!$B$8)</f>
        <v>12:00</v>
      </c>
      <c r="I467" s="44" t="str">
        <f aca="false">'Cài đặt'!$B$32</f>
        <v>Carousel</v>
      </c>
      <c r="J467" s="41" t="s">
        <v>706</v>
      </c>
      <c r="K467" s="41" t="s">
        <v>445</v>
      </c>
      <c r="L467" s="42" t="str">
        <f aca="false">C467&amp;"_"&amp;B467&amp;"_"&amp;IF(I467="Reel","R",IF(I467="Carousel","C","I"))&amp;"_"&amp;J467&amp;"_"&amp;IF(K467="AI tự động","AI","HU")&amp;"_"&amp;RIGHT(A467,3)</f>
        <v>P4_EXP2_C_C_AI_035</v>
      </c>
      <c r="M467" s="45"/>
      <c r="N467" s="45"/>
      <c r="O467" s="46"/>
      <c r="P467" s="46"/>
      <c r="Q467" s="46"/>
      <c r="R467" s="47"/>
      <c r="S467" s="45"/>
      <c r="T467" s="45"/>
      <c r="U467" s="48" t="str">
        <f aca="false">IF(O467&gt;0,P467/O467,"")</f>
        <v/>
      </c>
      <c r="V467" s="49" t="str">
        <f aca="false">IF(P467&gt;0,Q467/P467,"")</f>
        <v/>
      </c>
      <c r="W467" s="50" t="n">
        <f aca="false">IF(R467&lt;&gt;"",R467,Q467*'Cài đặt'!$B$12)</f>
        <v>0</v>
      </c>
      <c r="X467" s="50" t="str">
        <f aca="false">IF(O467&gt;0,W467/O467*1000,"")</f>
        <v/>
      </c>
      <c r="Y467" s="51" t="n">
        <f aca="false">IF(T467&lt;&gt;"",T467,INDEX('Cài đặt'!$B$20:$C$22,MATCH(I467,'Cài đặt'!$A$20:$A$22,0),IF(K467="AI tự động",1,2)))</f>
        <v>4</v>
      </c>
    </row>
    <row r="468" customFormat="false" ht="15" hidden="false" customHeight="false" outlineLevel="0" collapsed="false">
      <c r="A468" s="41" t="s">
        <v>916</v>
      </c>
      <c r="B468" s="41" t="s">
        <v>703</v>
      </c>
      <c r="C468" s="41" t="s">
        <v>178</v>
      </c>
      <c r="D468" s="42" t="str">
        <f aca="false">INDEX('Page và Ngách'!$B$5:$B$10,MATCH(C468,'Page và Ngách'!$A$5:$A$10,0))</f>
        <v>Revenge / Betrayal ("you'll regret it")</v>
      </c>
      <c r="E468" s="41" t="n">
        <v>18</v>
      </c>
      <c r="F468" s="43" t="n">
        <f aca="false">'Cài đặt'!$B$38+E468-1</f>
        <v>46373</v>
      </c>
      <c r="G468" s="41" t="s">
        <v>451</v>
      </c>
      <c r="H468" s="44" t="str">
        <f aca="false">IF(G468="S1",'Cài đặt'!$B$7,'Cài đặt'!$B$8)</f>
        <v>20:00</v>
      </c>
      <c r="I468" s="44" t="str">
        <f aca="false">'Cài đặt'!$B$32</f>
        <v>Carousel</v>
      </c>
      <c r="J468" s="41" t="s">
        <v>132</v>
      </c>
      <c r="K468" s="41" t="s">
        <v>445</v>
      </c>
      <c r="L468" s="42" t="str">
        <f aca="false">C468&amp;"_"&amp;B468&amp;"_"&amp;IF(I468="Reel","R",IF(I468="Carousel","C","I"))&amp;"_"&amp;J468&amp;"_"&amp;IF(K468="AI tự động","AI","HU")&amp;"_"&amp;RIGHT(A468,3)</f>
        <v>P4_EXP2_C_A_AI_036</v>
      </c>
      <c r="M468" s="45"/>
      <c r="N468" s="45"/>
      <c r="O468" s="46"/>
      <c r="P468" s="46"/>
      <c r="Q468" s="46"/>
      <c r="R468" s="47"/>
      <c r="S468" s="45"/>
      <c r="T468" s="45"/>
      <c r="U468" s="48" t="str">
        <f aca="false">IF(O468&gt;0,P468/O468,"")</f>
        <v/>
      </c>
      <c r="V468" s="49" t="str">
        <f aca="false">IF(P468&gt;0,Q468/P468,"")</f>
        <v/>
      </c>
      <c r="W468" s="50" t="n">
        <f aca="false">IF(R468&lt;&gt;"",R468,Q468*'Cài đặt'!$B$12)</f>
        <v>0</v>
      </c>
      <c r="X468" s="50" t="str">
        <f aca="false">IF(O468&gt;0,W468/O468*1000,"")</f>
        <v/>
      </c>
      <c r="Y468" s="51" t="n">
        <f aca="false">IF(T468&lt;&gt;"",T468,INDEX('Cài đặt'!$B$20:$C$22,MATCH(I468,'Cài đặt'!$A$20:$A$22,0),IF(K468="AI tự động",1,2)))</f>
        <v>4</v>
      </c>
    </row>
    <row r="469" customFormat="false" ht="15" hidden="false" customHeight="false" outlineLevel="0" collapsed="false">
      <c r="A469" s="41" t="s">
        <v>917</v>
      </c>
      <c r="B469" s="41" t="s">
        <v>703</v>
      </c>
      <c r="C469" s="41" t="s">
        <v>185</v>
      </c>
      <c r="D469" s="42" t="str">
        <f aca="false">INDEX('Page và Ngách'!$B$5:$B$10,MATCH(C469,'Page và Ngách'!$A$5:$A$10,0))</f>
        <v>Mafia / Dark romance (teaser PG-13)</v>
      </c>
      <c r="E469" s="41" t="n">
        <v>18</v>
      </c>
      <c r="F469" s="43" t="n">
        <f aca="false">'Cài đặt'!$B$38+E469-1</f>
        <v>46373</v>
      </c>
      <c r="G469" s="41" t="s">
        <v>444</v>
      </c>
      <c r="H469" s="44" t="str">
        <f aca="false">IF(G469="S1",'Cài đặt'!$B$7,'Cài đặt'!$B$8)</f>
        <v>12:00</v>
      </c>
      <c r="I469" s="44" t="str">
        <f aca="false">'Cài đặt'!$B$32</f>
        <v>Carousel</v>
      </c>
      <c r="J469" s="41" t="s">
        <v>132</v>
      </c>
      <c r="K469" s="41" t="s">
        <v>445</v>
      </c>
      <c r="L469" s="42" t="str">
        <f aca="false">C469&amp;"_"&amp;B469&amp;"_"&amp;IF(I469="Reel","R",IF(I469="Carousel","C","I"))&amp;"_"&amp;J469&amp;"_"&amp;IF(K469="AI tự động","AI","HU")&amp;"_"&amp;RIGHT(A469,3)</f>
        <v>P5_EXP2_C_A_AI_035</v>
      </c>
      <c r="M469" s="45"/>
      <c r="N469" s="45"/>
      <c r="O469" s="46"/>
      <c r="P469" s="46"/>
      <c r="Q469" s="46"/>
      <c r="R469" s="47"/>
      <c r="S469" s="45"/>
      <c r="T469" s="45"/>
      <c r="U469" s="48" t="str">
        <f aca="false">IF(O469&gt;0,P469/O469,"")</f>
        <v/>
      </c>
      <c r="V469" s="49" t="str">
        <f aca="false">IF(P469&gt;0,Q469/P469,"")</f>
        <v/>
      </c>
      <c r="W469" s="50" t="n">
        <f aca="false">IF(R469&lt;&gt;"",R469,Q469*'Cài đặt'!$B$12)</f>
        <v>0</v>
      </c>
      <c r="X469" s="50" t="str">
        <f aca="false">IF(O469&gt;0,W469/O469*1000,"")</f>
        <v/>
      </c>
      <c r="Y469" s="51" t="n">
        <f aca="false">IF(T469&lt;&gt;"",T469,INDEX('Cài đặt'!$B$20:$C$22,MATCH(I469,'Cài đặt'!$A$20:$A$22,0),IF(K469="AI tự động",1,2)))</f>
        <v>4</v>
      </c>
    </row>
    <row r="470" customFormat="false" ht="15" hidden="false" customHeight="false" outlineLevel="0" collapsed="false">
      <c r="A470" s="41" t="s">
        <v>918</v>
      </c>
      <c r="B470" s="41" t="s">
        <v>703</v>
      </c>
      <c r="C470" s="41" t="s">
        <v>185</v>
      </c>
      <c r="D470" s="42" t="str">
        <f aca="false">INDEX('Page và Ngách'!$B$5:$B$10,MATCH(C470,'Page và Ngách'!$A$5:$A$10,0))</f>
        <v>Mafia / Dark romance (teaser PG-13)</v>
      </c>
      <c r="E470" s="41" t="n">
        <v>18</v>
      </c>
      <c r="F470" s="43" t="n">
        <f aca="false">'Cài đặt'!$B$38+E470-1</f>
        <v>46373</v>
      </c>
      <c r="G470" s="41" t="s">
        <v>451</v>
      </c>
      <c r="H470" s="44" t="str">
        <f aca="false">IF(G470="S1",'Cài đặt'!$B$7,'Cài đặt'!$B$8)</f>
        <v>20:00</v>
      </c>
      <c r="I470" s="44" t="str">
        <f aca="false">'Cài đặt'!$B$32</f>
        <v>Carousel</v>
      </c>
      <c r="J470" s="41" t="s">
        <v>704</v>
      </c>
      <c r="K470" s="41" t="s">
        <v>445</v>
      </c>
      <c r="L470" s="42" t="str">
        <f aca="false">C470&amp;"_"&amp;B470&amp;"_"&amp;IF(I470="Reel","R",IF(I470="Carousel","C","I"))&amp;"_"&amp;J470&amp;"_"&amp;IF(K470="AI tự động","AI","HU")&amp;"_"&amp;RIGHT(A470,3)</f>
        <v>P5_EXP2_C_B_AI_036</v>
      </c>
      <c r="M470" s="45"/>
      <c r="N470" s="45"/>
      <c r="O470" s="46"/>
      <c r="P470" s="46"/>
      <c r="Q470" s="46"/>
      <c r="R470" s="47"/>
      <c r="S470" s="45"/>
      <c r="T470" s="45"/>
      <c r="U470" s="48" t="str">
        <f aca="false">IF(O470&gt;0,P470/O470,"")</f>
        <v/>
      </c>
      <c r="V470" s="49" t="str">
        <f aca="false">IF(P470&gt;0,Q470/P470,"")</f>
        <v/>
      </c>
      <c r="W470" s="50" t="n">
        <f aca="false">IF(R470&lt;&gt;"",R470,Q470*'Cài đặt'!$B$12)</f>
        <v>0</v>
      </c>
      <c r="X470" s="50" t="str">
        <f aca="false">IF(O470&gt;0,W470/O470*1000,"")</f>
        <v/>
      </c>
      <c r="Y470" s="51" t="n">
        <f aca="false">IF(T470&lt;&gt;"",T470,INDEX('Cài đặt'!$B$20:$C$22,MATCH(I470,'Cài đặt'!$A$20:$A$22,0),IF(K470="AI tự động",1,2)))</f>
        <v>4</v>
      </c>
    </row>
    <row r="471" customFormat="false" ht="15" hidden="false" customHeight="false" outlineLevel="0" collapsed="false">
      <c r="A471" s="41" t="s">
        <v>919</v>
      </c>
      <c r="B471" s="41" t="s">
        <v>703</v>
      </c>
      <c r="C471" s="41" t="s">
        <v>193</v>
      </c>
      <c r="D471" s="42" t="str">
        <f aca="false">INDEX('Page và Ngách'!$B$5:$B$10,MATCH(C471,'Page và Ngách'!$A$5:$A$10,0))</f>
        <v>Second chance / Secret baby</v>
      </c>
      <c r="E471" s="41" t="n">
        <v>18</v>
      </c>
      <c r="F471" s="43" t="n">
        <f aca="false">'Cài đặt'!$B$38+E471-1</f>
        <v>46373</v>
      </c>
      <c r="G471" s="41" t="s">
        <v>444</v>
      </c>
      <c r="H471" s="44" t="str">
        <f aca="false">IF(G471="S1",'Cài đặt'!$B$7,'Cài đặt'!$B$8)</f>
        <v>12:00</v>
      </c>
      <c r="I471" s="44" t="str">
        <f aca="false">'Cài đặt'!$B$32</f>
        <v>Carousel</v>
      </c>
      <c r="J471" s="41" t="s">
        <v>704</v>
      </c>
      <c r="K471" s="41" t="s">
        <v>445</v>
      </c>
      <c r="L471" s="42" t="str">
        <f aca="false">C471&amp;"_"&amp;B471&amp;"_"&amp;IF(I471="Reel","R",IF(I471="Carousel","C","I"))&amp;"_"&amp;J471&amp;"_"&amp;IF(K471="AI tự động","AI","HU")&amp;"_"&amp;RIGHT(A471,3)</f>
        <v>P6_EXP2_C_B_AI_035</v>
      </c>
      <c r="M471" s="45"/>
      <c r="N471" s="45"/>
      <c r="O471" s="46"/>
      <c r="P471" s="46"/>
      <c r="Q471" s="46"/>
      <c r="R471" s="47"/>
      <c r="S471" s="45"/>
      <c r="T471" s="45"/>
      <c r="U471" s="48" t="str">
        <f aca="false">IF(O471&gt;0,P471/O471,"")</f>
        <v/>
      </c>
      <c r="V471" s="49" t="str">
        <f aca="false">IF(P471&gt;0,Q471/P471,"")</f>
        <v/>
      </c>
      <c r="W471" s="50" t="n">
        <f aca="false">IF(R471&lt;&gt;"",R471,Q471*'Cài đặt'!$B$12)</f>
        <v>0</v>
      </c>
      <c r="X471" s="50" t="str">
        <f aca="false">IF(O471&gt;0,W471/O471*1000,"")</f>
        <v/>
      </c>
      <c r="Y471" s="51" t="n">
        <f aca="false">IF(T471&lt;&gt;"",T471,INDEX('Cài đặt'!$B$20:$C$22,MATCH(I471,'Cài đặt'!$A$20:$A$22,0),IF(K471="AI tự động",1,2)))</f>
        <v>4</v>
      </c>
    </row>
    <row r="472" customFormat="false" ht="15" hidden="false" customHeight="false" outlineLevel="0" collapsed="false">
      <c r="A472" s="41" t="s">
        <v>920</v>
      </c>
      <c r="B472" s="41" t="s">
        <v>703</v>
      </c>
      <c r="C472" s="41" t="s">
        <v>193</v>
      </c>
      <c r="D472" s="42" t="str">
        <f aca="false">INDEX('Page và Ngách'!$B$5:$B$10,MATCH(C472,'Page và Ngách'!$A$5:$A$10,0))</f>
        <v>Second chance / Secret baby</v>
      </c>
      <c r="E472" s="41" t="n">
        <v>18</v>
      </c>
      <c r="F472" s="43" t="n">
        <f aca="false">'Cài đặt'!$B$38+E472-1</f>
        <v>46373</v>
      </c>
      <c r="G472" s="41" t="s">
        <v>451</v>
      </c>
      <c r="H472" s="44" t="str">
        <f aca="false">IF(G472="S1",'Cài đặt'!$B$7,'Cài đặt'!$B$8)</f>
        <v>20:00</v>
      </c>
      <c r="I472" s="44" t="str">
        <f aca="false">'Cài đặt'!$B$32</f>
        <v>Carousel</v>
      </c>
      <c r="J472" s="41" t="s">
        <v>706</v>
      </c>
      <c r="K472" s="41" t="s">
        <v>445</v>
      </c>
      <c r="L472" s="42" t="str">
        <f aca="false">C472&amp;"_"&amp;B472&amp;"_"&amp;IF(I472="Reel","R",IF(I472="Carousel","C","I"))&amp;"_"&amp;J472&amp;"_"&amp;IF(K472="AI tự động","AI","HU")&amp;"_"&amp;RIGHT(A472,3)</f>
        <v>P6_EXP2_C_C_AI_036</v>
      </c>
      <c r="M472" s="45"/>
      <c r="N472" s="45"/>
      <c r="O472" s="46"/>
      <c r="P472" s="46"/>
      <c r="Q472" s="46"/>
      <c r="R472" s="47"/>
      <c r="S472" s="45"/>
      <c r="T472" s="45"/>
      <c r="U472" s="48" t="str">
        <f aca="false">IF(O472&gt;0,P472/O472,"")</f>
        <v/>
      </c>
      <c r="V472" s="49" t="str">
        <f aca="false">IF(P472&gt;0,Q472/P472,"")</f>
        <v/>
      </c>
      <c r="W472" s="50" t="n">
        <f aca="false">IF(R472&lt;&gt;"",R472,Q472*'Cài đặt'!$B$12)</f>
        <v>0</v>
      </c>
      <c r="X472" s="50" t="str">
        <f aca="false">IF(O472&gt;0,W472/O472*1000,"")</f>
        <v/>
      </c>
      <c r="Y472" s="51" t="n">
        <f aca="false">IF(T472&lt;&gt;"",T472,INDEX('Cài đặt'!$B$20:$C$22,MATCH(I472,'Cài đặt'!$A$20:$A$22,0),IF(K472="AI tự động",1,2)))</f>
        <v>4</v>
      </c>
    </row>
    <row r="473" customFormat="false" ht="15" hidden="false" customHeight="false" outlineLevel="0" collapsed="false">
      <c r="A473" s="41" t="s">
        <v>921</v>
      </c>
      <c r="B473" s="41" t="s">
        <v>703</v>
      </c>
      <c r="C473" s="41" t="s">
        <v>154</v>
      </c>
      <c r="D473" s="42" t="str">
        <f aca="false">INDEX('Page và Ngách'!$B$5:$B$10,MATCH(C473,'Page và Ngách'!$A$5:$A$10,0))</f>
        <v>Werewolf / Rejected mate</v>
      </c>
      <c r="E473" s="41" t="n">
        <v>19</v>
      </c>
      <c r="F473" s="43" t="n">
        <f aca="false">'Cài đặt'!$B$38+E473-1</f>
        <v>46374</v>
      </c>
      <c r="G473" s="41" t="s">
        <v>444</v>
      </c>
      <c r="H473" s="44" t="str">
        <f aca="false">IF(G473="S1",'Cài đặt'!$B$7,'Cài đặt'!$B$8)</f>
        <v>12:00</v>
      </c>
      <c r="I473" s="44" t="str">
        <f aca="false">'Cài đặt'!$B$32</f>
        <v>Carousel</v>
      </c>
      <c r="J473" s="41" t="s">
        <v>704</v>
      </c>
      <c r="K473" s="41" t="s">
        <v>445</v>
      </c>
      <c r="L473" s="42" t="str">
        <f aca="false">C473&amp;"_"&amp;B473&amp;"_"&amp;IF(I473="Reel","R",IF(I473="Carousel","C","I"))&amp;"_"&amp;J473&amp;"_"&amp;IF(K473="AI tự động","AI","HU")&amp;"_"&amp;RIGHT(A473,3)</f>
        <v>P1_EXP2_C_B_AI_037</v>
      </c>
      <c r="M473" s="45"/>
      <c r="N473" s="45"/>
      <c r="O473" s="46"/>
      <c r="P473" s="46"/>
      <c r="Q473" s="46"/>
      <c r="R473" s="47"/>
      <c r="S473" s="45"/>
      <c r="T473" s="45"/>
      <c r="U473" s="48" t="str">
        <f aca="false">IF(O473&gt;0,P473/O473,"")</f>
        <v/>
      </c>
      <c r="V473" s="49" t="str">
        <f aca="false">IF(P473&gt;0,Q473/P473,"")</f>
        <v/>
      </c>
      <c r="W473" s="50" t="n">
        <f aca="false">IF(R473&lt;&gt;"",R473,Q473*'Cài đặt'!$B$12)</f>
        <v>0</v>
      </c>
      <c r="X473" s="50" t="str">
        <f aca="false">IF(O473&gt;0,W473/O473*1000,"")</f>
        <v/>
      </c>
      <c r="Y473" s="51" t="n">
        <f aca="false">IF(T473&lt;&gt;"",T473,INDEX('Cài đặt'!$B$20:$C$22,MATCH(I473,'Cài đặt'!$A$20:$A$22,0),IF(K473="AI tự động",1,2)))</f>
        <v>4</v>
      </c>
    </row>
    <row r="474" customFormat="false" ht="15" hidden="false" customHeight="false" outlineLevel="0" collapsed="false">
      <c r="A474" s="41" t="s">
        <v>922</v>
      </c>
      <c r="B474" s="41" t="s">
        <v>703</v>
      </c>
      <c r="C474" s="41" t="s">
        <v>154</v>
      </c>
      <c r="D474" s="42" t="str">
        <f aca="false">INDEX('Page và Ngách'!$B$5:$B$10,MATCH(C474,'Page và Ngách'!$A$5:$A$10,0))</f>
        <v>Werewolf / Rejected mate</v>
      </c>
      <c r="E474" s="41" t="n">
        <v>19</v>
      </c>
      <c r="F474" s="43" t="n">
        <f aca="false">'Cài đặt'!$B$38+E474-1</f>
        <v>46374</v>
      </c>
      <c r="G474" s="41" t="s">
        <v>451</v>
      </c>
      <c r="H474" s="44" t="str">
        <f aca="false">IF(G474="S1",'Cài đặt'!$B$7,'Cài đặt'!$B$8)</f>
        <v>20:00</v>
      </c>
      <c r="I474" s="44" t="str">
        <f aca="false">'Cài đặt'!$B$32</f>
        <v>Carousel</v>
      </c>
      <c r="J474" s="41" t="s">
        <v>706</v>
      </c>
      <c r="K474" s="41" t="s">
        <v>445</v>
      </c>
      <c r="L474" s="42" t="str">
        <f aca="false">C474&amp;"_"&amp;B474&amp;"_"&amp;IF(I474="Reel","R",IF(I474="Carousel","C","I"))&amp;"_"&amp;J474&amp;"_"&amp;IF(K474="AI tự động","AI","HU")&amp;"_"&amp;RIGHT(A474,3)</f>
        <v>P1_EXP2_C_C_AI_038</v>
      </c>
      <c r="M474" s="45"/>
      <c r="N474" s="45"/>
      <c r="O474" s="46"/>
      <c r="P474" s="46"/>
      <c r="Q474" s="46"/>
      <c r="R474" s="47"/>
      <c r="S474" s="45"/>
      <c r="T474" s="45"/>
      <c r="U474" s="48" t="str">
        <f aca="false">IF(O474&gt;0,P474/O474,"")</f>
        <v/>
      </c>
      <c r="V474" s="49" t="str">
        <f aca="false">IF(P474&gt;0,Q474/P474,"")</f>
        <v/>
      </c>
      <c r="W474" s="50" t="n">
        <f aca="false">IF(R474&lt;&gt;"",R474,Q474*'Cài đặt'!$B$12)</f>
        <v>0</v>
      </c>
      <c r="X474" s="50" t="str">
        <f aca="false">IF(O474&gt;0,W474/O474*1000,"")</f>
        <v/>
      </c>
      <c r="Y474" s="51" t="n">
        <f aca="false">IF(T474&lt;&gt;"",T474,INDEX('Cài đặt'!$B$20:$C$22,MATCH(I474,'Cài đặt'!$A$20:$A$22,0),IF(K474="AI tự động",1,2)))</f>
        <v>4</v>
      </c>
    </row>
    <row r="475" customFormat="false" ht="15" hidden="false" customHeight="false" outlineLevel="0" collapsed="false">
      <c r="A475" s="41" t="s">
        <v>923</v>
      </c>
      <c r="B475" s="41" t="s">
        <v>703</v>
      </c>
      <c r="C475" s="41" t="s">
        <v>163</v>
      </c>
      <c r="D475" s="42" t="str">
        <f aca="false">INDEX('Page và Ngách'!$B$5:$B$10,MATCH(C475,'Page và Ngách'!$A$5:$A$10,0))</f>
        <v>Secret billionaire / CEO</v>
      </c>
      <c r="E475" s="41" t="n">
        <v>19</v>
      </c>
      <c r="F475" s="43" t="n">
        <f aca="false">'Cài đặt'!$B$38+E475-1</f>
        <v>46374</v>
      </c>
      <c r="G475" s="41" t="s">
        <v>444</v>
      </c>
      <c r="H475" s="44" t="str">
        <f aca="false">IF(G475="S1",'Cài đặt'!$B$7,'Cài đặt'!$B$8)</f>
        <v>12:00</v>
      </c>
      <c r="I475" s="44" t="str">
        <f aca="false">'Cài đặt'!$B$32</f>
        <v>Carousel</v>
      </c>
      <c r="J475" s="41" t="s">
        <v>706</v>
      </c>
      <c r="K475" s="41" t="s">
        <v>445</v>
      </c>
      <c r="L475" s="42" t="str">
        <f aca="false">C475&amp;"_"&amp;B475&amp;"_"&amp;IF(I475="Reel","R",IF(I475="Carousel","C","I"))&amp;"_"&amp;J475&amp;"_"&amp;IF(K475="AI tự động","AI","HU")&amp;"_"&amp;RIGHT(A475,3)</f>
        <v>P2_EXP2_C_C_AI_037</v>
      </c>
      <c r="M475" s="45"/>
      <c r="N475" s="45"/>
      <c r="O475" s="46"/>
      <c r="P475" s="46"/>
      <c r="Q475" s="46"/>
      <c r="R475" s="47"/>
      <c r="S475" s="45"/>
      <c r="T475" s="45"/>
      <c r="U475" s="48" t="str">
        <f aca="false">IF(O475&gt;0,P475/O475,"")</f>
        <v/>
      </c>
      <c r="V475" s="49" t="str">
        <f aca="false">IF(P475&gt;0,Q475/P475,"")</f>
        <v/>
      </c>
      <c r="W475" s="50" t="n">
        <f aca="false">IF(R475&lt;&gt;"",R475,Q475*'Cài đặt'!$B$12)</f>
        <v>0</v>
      </c>
      <c r="X475" s="50" t="str">
        <f aca="false">IF(O475&gt;0,W475/O475*1000,"")</f>
        <v/>
      </c>
      <c r="Y475" s="51" t="n">
        <f aca="false">IF(T475&lt;&gt;"",T475,INDEX('Cài đặt'!$B$20:$C$22,MATCH(I475,'Cài đặt'!$A$20:$A$22,0),IF(K475="AI tự động",1,2)))</f>
        <v>4</v>
      </c>
    </row>
    <row r="476" customFormat="false" ht="15" hidden="false" customHeight="false" outlineLevel="0" collapsed="false">
      <c r="A476" s="41" t="s">
        <v>924</v>
      </c>
      <c r="B476" s="41" t="s">
        <v>703</v>
      </c>
      <c r="C476" s="41" t="s">
        <v>163</v>
      </c>
      <c r="D476" s="42" t="str">
        <f aca="false">INDEX('Page và Ngách'!$B$5:$B$10,MATCH(C476,'Page và Ngách'!$A$5:$A$10,0))</f>
        <v>Secret billionaire / CEO</v>
      </c>
      <c r="E476" s="41" t="n">
        <v>19</v>
      </c>
      <c r="F476" s="43" t="n">
        <f aca="false">'Cài đặt'!$B$38+E476-1</f>
        <v>46374</v>
      </c>
      <c r="G476" s="41" t="s">
        <v>451</v>
      </c>
      <c r="H476" s="44" t="str">
        <f aca="false">IF(G476="S1",'Cài đặt'!$B$7,'Cài đặt'!$B$8)</f>
        <v>20:00</v>
      </c>
      <c r="I476" s="44" t="str">
        <f aca="false">'Cài đặt'!$B$32</f>
        <v>Carousel</v>
      </c>
      <c r="J476" s="41" t="s">
        <v>132</v>
      </c>
      <c r="K476" s="41" t="s">
        <v>445</v>
      </c>
      <c r="L476" s="42" t="str">
        <f aca="false">C476&amp;"_"&amp;B476&amp;"_"&amp;IF(I476="Reel","R",IF(I476="Carousel","C","I"))&amp;"_"&amp;J476&amp;"_"&amp;IF(K476="AI tự động","AI","HU")&amp;"_"&amp;RIGHT(A476,3)</f>
        <v>P2_EXP2_C_A_AI_038</v>
      </c>
      <c r="M476" s="45"/>
      <c r="N476" s="45"/>
      <c r="O476" s="46"/>
      <c r="P476" s="46"/>
      <c r="Q476" s="46"/>
      <c r="R476" s="47"/>
      <c r="S476" s="45"/>
      <c r="T476" s="45"/>
      <c r="U476" s="48" t="str">
        <f aca="false">IF(O476&gt;0,P476/O476,"")</f>
        <v/>
      </c>
      <c r="V476" s="49" t="str">
        <f aca="false">IF(P476&gt;0,Q476/P476,"")</f>
        <v/>
      </c>
      <c r="W476" s="50" t="n">
        <f aca="false">IF(R476&lt;&gt;"",R476,Q476*'Cài đặt'!$B$12)</f>
        <v>0</v>
      </c>
      <c r="X476" s="50" t="str">
        <f aca="false">IF(O476&gt;0,W476/O476*1000,"")</f>
        <v/>
      </c>
      <c r="Y476" s="51" t="n">
        <f aca="false">IF(T476&lt;&gt;"",T476,INDEX('Cài đặt'!$B$20:$C$22,MATCH(I476,'Cài đặt'!$A$20:$A$22,0),IF(K476="AI tự động",1,2)))</f>
        <v>4</v>
      </c>
    </row>
    <row r="477" customFormat="false" ht="15" hidden="false" customHeight="false" outlineLevel="0" collapsed="false">
      <c r="A477" s="41" t="s">
        <v>925</v>
      </c>
      <c r="B477" s="41" t="s">
        <v>703</v>
      </c>
      <c r="C477" s="41" t="s">
        <v>171</v>
      </c>
      <c r="D477" s="42" t="str">
        <f aca="false">INDEX('Page và Ngách'!$B$5:$B$10,MATCH(C477,'Page và Ngách'!$A$5:$A$10,0))</f>
        <v>Contract marriage / Fake relationship</v>
      </c>
      <c r="E477" s="41" t="n">
        <v>19</v>
      </c>
      <c r="F477" s="43" t="n">
        <f aca="false">'Cài đặt'!$B$38+E477-1</f>
        <v>46374</v>
      </c>
      <c r="G477" s="41" t="s">
        <v>444</v>
      </c>
      <c r="H477" s="44" t="str">
        <f aca="false">IF(G477="S1",'Cài đặt'!$B$7,'Cài đặt'!$B$8)</f>
        <v>12:00</v>
      </c>
      <c r="I477" s="44" t="str">
        <f aca="false">'Cài đặt'!$B$32</f>
        <v>Carousel</v>
      </c>
      <c r="J477" s="41" t="s">
        <v>132</v>
      </c>
      <c r="K477" s="41" t="s">
        <v>445</v>
      </c>
      <c r="L477" s="42" t="str">
        <f aca="false">C477&amp;"_"&amp;B477&amp;"_"&amp;IF(I477="Reel","R",IF(I477="Carousel","C","I"))&amp;"_"&amp;J477&amp;"_"&amp;IF(K477="AI tự động","AI","HU")&amp;"_"&amp;RIGHT(A477,3)</f>
        <v>P3_EXP2_C_A_AI_037</v>
      </c>
      <c r="M477" s="45"/>
      <c r="N477" s="45"/>
      <c r="O477" s="46"/>
      <c r="P477" s="46"/>
      <c r="Q477" s="46"/>
      <c r="R477" s="47"/>
      <c r="S477" s="45"/>
      <c r="T477" s="45"/>
      <c r="U477" s="48" t="str">
        <f aca="false">IF(O477&gt;0,P477/O477,"")</f>
        <v/>
      </c>
      <c r="V477" s="49" t="str">
        <f aca="false">IF(P477&gt;0,Q477/P477,"")</f>
        <v/>
      </c>
      <c r="W477" s="50" t="n">
        <f aca="false">IF(R477&lt;&gt;"",R477,Q477*'Cài đặt'!$B$12)</f>
        <v>0</v>
      </c>
      <c r="X477" s="50" t="str">
        <f aca="false">IF(O477&gt;0,W477/O477*1000,"")</f>
        <v/>
      </c>
      <c r="Y477" s="51" t="n">
        <f aca="false">IF(T477&lt;&gt;"",T477,INDEX('Cài đặt'!$B$20:$C$22,MATCH(I477,'Cài đặt'!$A$20:$A$22,0),IF(K477="AI tự động",1,2)))</f>
        <v>4</v>
      </c>
    </row>
    <row r="478" customFormat="false" ht="15" hidden="false" customHeight="false" outlineLevel="0" collapsed="false">
      <c r="A478" s="41" t="s">
        <v>926</v>
      </c>
      <c r="B478" s="41" t="s">
        <v>703</v>
      </c>
      <c r="C478" s="41" t="s">
        <v>171</v>
      </c>
      <c r="D478" s="42" t="str">
        <f aca="false">INDEX('Page và Ngách'!$B$5:$B$10,MATCH(C478,'Page và Ngách'!$A$5:$A$10,0))</f>
        <v>Contract marriage / Fake relationship</v>
      </c>
      <c r="E478" s="41" t="n">
        <v>19</v>
      </c>
      <c r="F478" s="43" t="n">
        <f aca="false">'Cài đặt'!$B$38+E478-1</f>
        <v>46374</v>
      </c>
      <c r="G478" s="41" t="s">
        <v>451</v>
      </c>
      <c r="H478" s="44" t="str">
        <f aca="false">IF(G478="S1",'Cài đặt'!$B$7,'Cài đặt'!$B$8)</f>
        <v>20:00</v>
      </c>
      <c r="I478" s="44" t="str">
        <f aca="false">'Cài đặt'!$B$32</f>
        <v>Carousel</v>
      </c>
      <c r="J478" s="41" t="s">
        <v>704</v>
      </c>
      <c r="K478" s="41" t="s">
        <v>445</v>
      </c>
      <c r="L478" s="42" t="str">
        <f aca="false">C478&amp;"_"&amp;B478&amp;"_"&amp;IF(I478="Reel","R",IF(I478="Carousel","C","I"))&amp;"_"&amp;J478&amp;"_"&amp;IF(K478="AI tự động","AI","HU")&amp;"_"&amp;RIGHT(A478,3)</f>
        <v>P3_EXP2_C_B_AI_038</v>
      </c>
      <c r="M478" s="45"/>
      <c r="N478" s="45"/>
      <c r="O478" s="46"/>
      <c r="P478" s="46"/>
      <c r="Q478" s="46"/>
      <c r="R478" s="47"/>
      <c r="S478" s="45"/>
      <c r="T478" s="45"/>
      <c r="U478" s="48" t="str">
        <f aca="false">IF(O478&gt;0,P478/O478,"")</f>
        <v/>
      </c>
      <c r="V478" s="49" t="str">
        <f aca="false">IF(P478&gt;0,Q478/P478,"")</f>
        <v/>
      </c>
      <c r="W478" s="50" t="n">
        <f aca="false">IF(R478&lt;&gt;"",R478,Q478*'Cài đặt'!$B$12)</f>
        <v>0</v>
      </c>
      <c r="X478" s="50" t="str">
        <f aca="false">IF(O478&gt;0,W478/O478*1000,"")</f>
        <v/>
      </c>
      <c r="Y478" s="51" t="n">
        <f aca="false">IF(T478&lt;&gt;"",T478,INDEX('Cài đặt'!$B$20:$C$22,MATCH(I478,'Cài đặt'!$A$20:$A$22,0),IF(K478="AI tự động",1,2)))</f>
        <v>4</v>
      </c>
    </row>
    <row r="479" customFormat="false" ht="15" hidden="false" customHeight="false" outlineLevel="0" collapsed="false">
      <c r="A479" s="41" t="s">
        <v>927</v>
      </c>
      <c r="B479" s="41" t="s">
        <v>703</v>
      </c>
      <c r="C479" s="41" t="s">
        <v>178</v>
      </c>
      <c r="D479" s="42" t="str">
        <f aca="false">INDEX('Page và Ngách'!$B$5:$B$10,MATCH(C479,'Page và Ngách'!$A$5:$A$10,0))</f>
        <v>Revenge / Betrayal ("you'll regret it")</v>
      </c>
      <c r="E479" s="41" t="n">
        <v>19</v>
      </c>
      <c r="F479" s="43" t="n">
        <f aca="false">'Cài đặt'!$B$38+E479-1</f>
        <v>46374</v>
      </c>
      <c r="G479" s="41" t="s">
        <v>444</v>
      </c>
      <c r="H479" s="44" t="str">
        <f aca="false">IF(G479="S1",'Cài đặt'!$B$7,'Cài đặt'!$B$8)</f>
        <v>12:00</v>
      </c>
      <c r="I479" s="44" t="str">
        <f aca="false">'Cài đặt'!$B$32</f>
        <v>Carousel</v>
      </c>
      <c r="J479" s="41" t="s">
        <v>704</v>
      </c>
      <c r="K479" s="41" t="s">
        <v>445</v>
      </c>
      <c r="L479" s="42" t="str">
        <f aca="false">C479&amp;"_"&amp;B479&amp;"_"&amp;IF(I479="Reel","R",IF(I479="Carousel","C","I"))&amp;"_"&amp;J479&amp;"_"&amp;IF(K479="AI tự động","AI","HU")&amp;"_"&amp;RIGHT(A479,3)</f>
        <v>P4_EXP2_C_B_AI_037</v>
      </c>
      <c r="M479" s="45"/>
      <c r="N479" s="45"/>
      <c r="O479" s="46"/>
      <c r="P479" s="46"/>
      <c r="Q479" s="46"/>
      <c r="R479" s="47"/>
      <c r="S479" s="45"/>
      <c r="T479" s="45"/>
      <c r="U479" s="48" t="str">
        <f aca="false">IF(O479&gt;0,P479/O479,"")</f>
        <v/>
      </c>
      <c r="V479" s="49" t="str">
        <f aca="false">IF(P479&gt;0,Q479/P479,"")</f>
        <v/>
      </c>
      <c r="W479" s="50" t="n">
        <f aca="false">IF(R479&lt;&gt;"",R479,Q479*'Cài đặt'!$B$12)</f>
        <v>0</v>
      </c>
      <c r="X479" s="50" t="str">
        <f aca="false">IF(O479&gt;0,W479/O479*1000,"")</f>
        <v/>
      </c>
      <c r="Y479" s="51" t="n">
        <f aca="false">IF(T479&lt;&gt;"",T479,INDEX('Cài đặt'!$B$20:$C$22,MATCH(I479,'Cài đặt'!$A$20:$A$22,0),IF(K479="AI tự động",1,2)))</f>
        <v>4</v>
      </c>
    </row>
    <row r="480" customFormat="false" ht="15" hidden="false" customHeight="false" outlineLevel="0" collapsed="false">
      <c r="A480" s="41" t="s">
        <v>928</v>
      </c>
      <c r="B480" s="41" t="s">
        <v>703</v>
      </c>
      <c r="C480" s="41" t="s">
        <v>178</v>
      </c>
      <c r="D480" s="42" t="str">
        <f aca="false">INDEX('Page và Ngách'!$B$5:$B$10,MATCH(C480,'Page và Ngách'!$A$5:$A$10,0))</f>
        <v>Revenge / Betrayal ("you'll regret it")</v>
      </c>
      <c r="E480" s="41" t="n">
        <v>19</v>
      </c>
      <c r="F480" s="43" t="n">
        <f aca="false">'Cài đặt'!$B$38+E480-1</f>
        <v>46374</v>
      </c>
      <c r="G480" s="41" t="s">
        <v>451</v>
      </c>
      <c r="H480" s="44" t="str">
        <f aca="false">IF(G480="S1",'Cài đặt'!$B$7,'Cài đặt'!$B$8)</f>
        <v>20:00</v>
      </c>
      <c r="I480" s="44" t="str">
        <f aca="false">'Cài đặt'!$B$32</f>
        <v>Carousel</v>
      </c>
      <c r="J480" s="41" t="s">
        <v>706</v>
      </c>
      <c r="K480" s="41" t="s">
        <v>445</v>
      </c>
      <c r="L480" s="42" t="str">
        <f aca="false">C480&amp;"_"&amp;B480&amp;"_"&amp;IF(I480="Reel","R",IF(I480="Carousel","C","I"))&amp;"_"&amp;J480&amp;"_"&amp;IF(K480="AI tự động","AI","HU")&amp;"_"&amp;RIGHT(A480,3)</f>
        <v>P4_EXP2_C_C_AI_038</v>
      </c>
      <c r="M480" s="45"/>
      <c r="N480" s="45"/>
      <c r="O480" s="46"/>
      <c r="P480" s="46"/>
      <c r="Q480" s="46"/>
      <c r="R480" s="47"/>
      <c r="S480" s="45"/>
      <c r="T480" s="45"/>
      <c r="U480" s="48" t="str">
        <f aca="false">IF(O480&gt;0,P480/O480,"")</f>
        <v/>
      </c>
      <c r="V480" s="49" t="str">
        <f aca="false">IF(P480&gt;0,Q480/P480,"")</f>
        <v/>
      </c>
      <c r="W480" s="50" t="n">
        <f aca="false">IF(R480&lt;&gt;"",R480,Q480*'Cài đặt'!$B$12)</f>
        <v>0</v>
      </c>
      <c r="X480" s="50" t="str">
        <f aca="false">IF(O480&gt;0,W480/O480*1000,"")</f>
        <v/>
      </c>
      <c r="Y480" s="51" t="n">
        <f aca="false">IF(T480&lt;&gt;"",T480,INDEX('Cài đặt'!$B$20:$C$22,MATCH(I480,'Cài đặt'!$A$20:$A$22,0),IF(K480="AI tự động",1,2)))</f>
        <v>4</v>
      </c>
    </row>
    <row r="481" customFormat="false" ht="15" hidden="false" customHeight="false" outlineLevel="0" collapsed="false">
      <c r="A481" s="41" t="s">
        <v>929</v>
      </c>
      <c r="B481" s="41" t="s">
        <v>703</v>
      </c>
      <c r="C481" s="41" t="s">
        <v>185</v>
      </c>
      <c r="D481" s="42" t="str">
        <f aca="false">INDEX('Page và Ngách'!$B$5:$B$10,MATCH(C481,'Page và Ngách'!$A$5:$A$10,0))</f>
        <v>Mafia / Dark romance (teaser PG-13)</v>
      </c>
      <c r="E481" s="41" t="n">
        <v>19</v>
      </c>
      <c r="F481" s="43" t="n">
        <f aca="false">'Cài đặt'!$B$38+E481-1</f>
        <v>46374</v>
      </c>
      <c r="G481" s="41" t="s">
        <v>444</v>
      </c>
      <c r="H481" s="44" t="str">
        <f aca="false">IF(G481="S1",'Cài đặt'!$B$7,'Cài đặt'!$B$8)</f>
        <v>12:00</v>
      </c>
      <c r="I481" s="44" t="str">
        <f aca="false">'Cài đặt'!$B$32</f>
        <v>Carousel</v>
      </c>
      <c r="J481" s="41" t="s">
        <v>706</v>
      </c>
      <c r="K481" s="41" t="s">
        <v>445</v>
      </c>
      <c r="L481" s="42" t="str">
        <f aca="false">C481&amp;"_"&amp;B481&amp;"_"&amp;IF(I481="Reel","R",IF(I481="Carousel","C","I"))&amp;"_"&amp;J481&amp;"_"&amp;IF(K481="AI tự động","AI","HU")&amp;"_"&amp;RIGHT(A481,3)</f>
        <v>P5_EXP2_C_C_AI_037</v>
      </c>
      <c r="M481" s="45"/>
      <c r="N481" s="45"/>
      <c r="O481" s="46"/>
      <c r="P481" s="46"/>
      <c r="Q481" s="46"/>
      <c r="R481" s="47"/>
      <c r="S481" s="45"/>
      <c r="T481" s="45"/>
      <c r="U481" s="48" t="str">
        <f aca="false">IF(O481&gt;0,P481/O481,"")</f>
        <v/>
      </c>
      <c r="V481" s="49" t="str">
        <f aca="false">IF(P481&gt;0,Q481/P481,"")</f>
        <v/>
      </c>
      <c r="W481" s="50" t="n">
        <f aca="false">IF(R481&lt;&gt;"",R481,Q481*'Cài đặt'!$B$12)</f>
        <v>0</v>
      </c>
      <c r="X481" s="50" t="str">
        <f aca="false">IF(O481&gt;0,W481/O481*1000,"")</f>
        <v/>
      </c>
      <c r="Y481" s="51" t="n">
        <f aca="false">IF(T481&lt;&gt;"",T481,INDEX('Cài đặt'!$B$20:$C$22,MATCH(I481,'Cài đặt'!$A$20:$A$22,0),IF(K481="AI tự động",1,2)))</f>
        <v>4</v>
      </c>
    </row>
    <row r="482" customFormat="false" ht="15" hidden="false" customHeight="false" outlineLevel="0" collapsed="false">
      <c r="A482" s="41" t="s">
        <v>930</v>
      </c>
      <c r="B482" s="41" t="s">
        <v>703</v>
      </c>
      <c r="C482" s="41" t="s">
        <v>185</v>
      </c>
      <c r="D482" s="42" t="str">
        <f aca="false">INDEX('Page và Ngách'!$B$5:$B$10,MATCH(C482,'Page và Ngách'!$A$5:$A$10,0))</f>
        <v>Mafia / Dark romance (teaser PG-13)</v>
      </c>
      <c r="E482" s="41" t="n">
        <v>19</v>
      </c>
      <c r="F482" s="43" t="n">
        <f aca="false">'Cài đặt'!$B$38+E482-1</f>
        <v>46374</v>
      </c>
      <c r="G482" s="41" t="s">
        <v>451</v>
      </c>
      <c r="H482" s="44" t="str">
        <f aca="false">IF(G482="S1",'Cài đặt'!$B$7,'Cài đặt'!$B$8)</f>
        <v>20:00</v>
      </c>
      <c r="I482" s="44" t="str">
        <f aca="false">'Cài đặt'!$B$32</f>
        <v>Carousel</v>
      </c>
      <c r="J482" s="41" t="s">
        <v>132</v>
      </c>
      <c r="K482" s="41" t="s">
        <v>445</v>
      </c>
      <c r="L482" s="42" t="str">
        <f aca="false">C482&amp;"_"&amp;B482&amp;"_"&amp;IF(I482="Reel","R",IF(I482="Carousel","C","I"))&amp;"_"&amp;J482&amp;"_"&amp;IF(K482="AI tự động","AI","HU")&amp;"_"&amp;RIGHT(A482,3)</f>
        <v>P5_EXP2_C_A_AI_038</v>
      </c>
      <c r="M482" s="45"/>
      <c r="N482" s="45"/>
      <c r="O482" s="46"/>
      <c r="P482" s="46"/>
      <c r="Q482" s="46"/>
      <c r="R482" s="47"/>
      <c r="S482" s="45"/>
      <c r="T482" s="45"/>
      <c r="U482" s="48" t="str">
        <f aca="false">IF(O482&gt;0,P482/O482,"")</f>
        <v/>
      </c>
      <c r="V482" s="49" t="str">
        <f aca="false">IF(P482&gt;0,Q482/P482,"")</f>
        <v/>
      </c>
      <c r="W482" s="50" t="n">
        <f aca="false">IF(R482&lt;&gt;"",R482,Q482*'Cài đặt'!$B$12)</f>
        <v>0</v>
      </c>
      <c r="X482" s="50" t="str">
        <f aca="false">IF(O482&gt;0,W482/O482*1000,"")</f>
        <v/>
      </c>
      <c r="Y482" s="51" t="n">
        <f aca="false">IF(T482&lt;&gt;"",T482,INDEX('Cài đặt'!$B$20:$C$22,MATCH(I482,'Cài đặt'!$A$20:$A$22,0),IF(K482="AI tự động",1,2)))</f>
        <v>4</v>
      </c>
    </row>
    <row r="483" customFormat="false" ht="15" hidden="false" customHeight="false" outlineLevel="0" collapsed="false">
      <c r="A483" s="41" t="s">
        <v>931</v>
      </c>
      <c r="B483" s="41" t="s">
        <v>703</v>
      </c>
      <c r="C483" s="41" t="s">
        <v>193</v>
      </c>
      <c r="D483" s="42" t="str">
        <f aca="false">INDEX('Page và Ngách'!$B$5:$B$10,MATCH(C483,'Page và Ngách'!$A$5:$A$10,0))</f>
        <v>Second chance / Secret baby</v>
      </c>
      <c r="E483" s="41" t="n">
        <v>19</v>
      </c>
      <c r="F483" s="43" t="n">
        <f aca="false">'Cài đặt'!$B$38+E483-1</f>
        <v>46374</v>
      </c>
      <c r="G483" s="41" t="s">
        <v>444</v>
      </c>
      <c r="H483" s="44" t="str">
        <f aca="false">IF(G483="S1",'Cài đặt'!$B$7,'Cài đặt'!$B$8)</f>
        <v>12:00</v>
      </c>
      <c r="I483" s="44" t="str">
        <f aca="false">'Cài đặt'!$B$32</f>
        <v>Carousel</v>
      </c>
      <c r="J483" s="41" t="s">
        <v>132</v>
      </c>
      <c r="K483" s="41" t="s">
        <v>445</v>
      </c>
      <c r="L483" s="42" t="str">
        <f aca="false">C483&amp;"_"&amp;B483&amp;"_"&amp;IF(I483="Reel","R",IF(I483="Carousel","C","I"))&amp;"_"&amp;J483&amp;"_"&amp;IF(K483="AI tự động","AI","HU")&amp;"_"&amp;RIGHT(A483,3)</f>
        <v>P6_EXP2_C_A_AI_037</v>
      </c>
      <c r="M483" s="45"/>
      <c r="N483" s="45"/>
      <c r="O483" s="46"/>
      <c r="P483" s="46"/>
      <c r="Q483" s="46"/>
      <c r="R483" s="47"/>
      <c r="S483" s="45"/>
      <c r="T483" s="45"/>
      <c r="U483" s="48" t="str">
        <f aca="false">IF(O483&gt;0,P483/O483,"")</f>
        <v/>
      </c>
      <c r="V483" s="49" t="str">
        <f aca="false">IF(P483&gt;0,Q483/P483,"")</f>
        <v/>
      </c>
      <c r="W483" s="50" t="n">
        <f aca="false">IF(R483&lt;&gt;"",R483,Q483*'Cài đặt'!$B$12)</f>
        <v>0</v>
      </c>
      <c r="X483" s="50" t="str">
        <f aca="false">IF(O483&gt;0,W483/O483*1000,"")</f>
        <v/>
      </c>
      <c r="Y483" s="51" t="n">
        <f aca="false">IF(T483&lt;&gt;"",T483,INDEX('Cài đặt'!$B$20:$C$22,MATCH(I483,'Cài đặt'!$A$20:$A$22,0),IF(K483="AI tự động",1,2)))</f>
        <v>4</v>
      </c>
    </row>
    <row r="484" customFormat="false" ht="15" hidden="false" customHeight="false" outlineLevel="0" collapsed="false">
      <c r="A484" s="41" t="s">
        <v>932</v>
      </c>
      <c r="B484" s="41" t="s">
        <v>703</v>
      </c>
      <c r="C484" s="41" t="s">
        <v>193</v>
      </c>
      <c r="D484" s="42" t="str">
        <f aca="false">INDEX('Page và Ngách'!$B$5:$B$10,MATCH(C484,'Page và Ngách'!$A$5:$A$10,0))</f>
        <v>Second chance / Secret baby</v>
      </c>
      <c r="E484" s="41" t="n">
        <v>19</v>
      </c>
      <c r="F484" s="43" t="n">
        <f aca="false">'Cài đặt'!$B$38+E484-1</f>
        <v>46374</v>
      </c>
      <c r="G484" s="41" t="s">
        <v>451</v>
      </c>
      <c r="H484" s="44" t="str">
        <f aca="false">IF(G484="S1",'Cài đặt'!$B$7,'Cài đặt'!$B$8)</f>
        <v>20:00</v>
      </c>
      <c r="I484" s="44" t="str">
        <f aca="false">'Cài đặt'!$B$32</f>
        <v>Carousel</v>
      </c>
      <c r="J484" s="41" t="s">
        <v>704</v>
      </c>
      <c r="K484" s="41" t="s">
        <v>445</v>
      </c>
      <c r="L484" s="42" t="str">
        <f aca="false">C484&amp;"_"&amp;B484&amp;"_"&amp;IF(I484="Reel","R",IF(I484="Carousel","C","I"))&amp;"_"&amp;J484&amp;"_"&amp;IF(K484="AI tự động","AI","HU")&amp;"_"&amp;RIGHT(A484,3)</f>
        <v>P6_EXP2_C_B_AI_038</v>
      </c>
      <c r="M484" s="45"/>
      <c r="N484" s="45"/>
      <c r="O484" s="46"/>
      <c r="P484" s="46"/>
      <c r="Q484" s="46"/>
      <c r="R484" s="47"/>
      <c r="S484" s="45"/>
      <c r="T484" s="45"/>
      <c r="U484" s="48" t="str">
        <f aca="false">IF(O484&gt;0,P484/O484,"")</f>
        <v/>
      </c>
      <c r="V484" s="49" t="str">
        <f aca="false">IF(P484&gt;0,Q484/P484,"")</f>
        <v/>
      </c>
      <c r="W484" s="50" t="n">
        <f aca="false">IF(R484&lt;&gt;"",R484,Q484*'Cài đặt'!$B$12)</f>
        <v>0</v>
      </c>
      <c r="X484" s="50" t="str">
        <f aca="false">IF(O484&gt;0,W484/O484*1000,"")</f>
        <v/>
      </c>
      <c r="Y484" s="51" t="n">
        <f aca="false">IF(T484&lt;&gt;"",T484,INDEX('Cài đặt'!$B$20:$C$22,MATCH(I484,'Cài đặt'!$A$20:$A$22,0),IF(K484="AI tự động",1,2)))</f>
        <v>4</v>
      </c>
    </row>
    <row r="485" customFormat="false" ht="15" hidden="false" customHeight="false" outlineLevel="0" collapsed="false">
      <c r="A485" s="41" t="s">
        <v>933</v>
      </c>
      <c r="B485" s="41" t="s">
        <v>703</v>
      </c>
      <c r="C485" s="41" t="s">
        <v>154</v>
      </c>
      <c r="D485" s="42" t="str">
        <f aca="false">INDEX('Page và Ngách'!$B$5:$B$10,MATCH(C485,'Page và Ngách'!$A$5:$A$10,0))</f>
        <v>Werewolf / Rejected mate</v>
      </c>
      <c r="E485" s="41" t="n">
        <v>20</v>
      </c>
      <c r="F485" s="43" t="n">
        <f aca="false">'Cài đặt'!$B$38+E485-1</f>
        <v>46375</v>
      </c>
      <c r="G485" s="41" t="s">
        <v>444</v>
      </c>
      <c r="H485" s="44" t="str">
        <f aca="false">IF(G485="S1",'Cài đặt'!$B$7,'Cài đặt'!$B$8)</f>
        <v>12:00</v>
      </c>
      <c r="I485" s="44" t="str">
        <f aca="false">'Cài đặt'!$B$32</f>
        <v>Carousel</v>
      </c>
      <c r="J485" s="41" t="s">
        <v>132</v>
      </c>
      <c r="K485" s="41" t="s">
        <v>445</v>
      </c>
      <c r="L485" s="42" t="str">
        <f aca="false">C485&amp;"_"&amp;B485&amp;"_"&amp;IF(I485="Reel","R",IF(I485="Carousel","C","I"))&amp;"_"&amp;J485&amp;"_"&amp;IF(K485="AI tự động","AI","HU")&amp;"_"&amp;RIGHT(A485,3)</f>
        <v>P1_EXP2_C_A_AI_039</v>
      </c>
      <c r="M485" s="45"/>
      <c r="N485" s="45"/>
      <c r="O485" s="46"/>
      <c r="P485" s="46"/>
      <c r="Q485" s="46"/>
      <c r="R485" s="47"/>
      <c r="S485" s="45"/>
      <c r="T485" s="45"/>
      <c r="U485" s="48" t="str">
        <f aca="false">IF(O485&gt;0,P485/O485,"")</f>
        <v/>
      </c>
      <c r="V485" s="49" t="str">
        <f aca="false">IF(P485&gt;0,Q485/P485,"")</f>
        <v/>
      </c>
      <c r="W485" s="50" t="n">
        <f aca="false">IF(R485&lt;&gt;"",R485,Q485*'Cài đặt'!$B$12)</f>
        <v>0</v>
      </c>
      <c r="X485" s="50" t="str">
        <f aca="false">IF(O485&gt;0,W485/O485*1000,"")</f>
        <v/>
      </c>
      <c r="Y485" s="51" t="n">
        <f aca="false">IF(T485&lt;&gt;"",T485,INDEX('Cài đặt'!$B$20:$C$22,MATCH(I485,'Cài đặt'!$A$20:$A$22,0),IF(K485="AI tự động",1,2)))</f>
        <v>4</v>
      </c>
    </row>
    <row r="486" customFormat="false" ht="15" hidden="false" customHeight="false" outlineLevel="0" collapsed="false">
      <c r="A486" s="41" t="s">
        <v>934</v>
      </c>
      <c r="B486" s="41" t="s">
        <v>703</v>
      </c>
      <c r="C486" s="41" t="s">
        <v>154</v>
      </c>
      <c r="D486" s="42" t="str">
        <f aca="false">INDEX('Page và Ngách'!$B$5:$B$10,MATCH(C486,'Page và Ngách'!$A$5:$A$10,0))</f>
        <v>Werewolf / Rejected mate</v>
      </c>
      <c r="E486" s="41" t="n">
        <v>20</v>
      </c>
      <c r="F486" s="43" t="n">
        <f aca="false">'Cài đặt'!$B$38+E486-1</f>
        <v>46375</v>
      </c>
      <c r="G486" s="41" t="s">
        <v>451</v>
      </c>
      <c r="H486" s="44" t="str">
        <f aca="false">IF(G486="S1",'Cài đặt'!$B$7,'Cài đặt'!$B$8)</f>
        <v>20:00</v>
      </c>
      <c r="I486" s="44" t="str">
        <f aca="false">'Cài đặt'!$B$32</f>
        <v>Carousel</v>
      </c>
      <c r="J486" s="41" t="s">
        <v>704</v>
      </c>
      <c r="K486" s="41" t="s">
        <v>445</v>
      </c>
      <c r="L486" s="42" t="str">
        <f aca="false">C486&amp;"_"&amp;B486&amp;"_"&amp;IF(I486="Reel","R",IF(I486="Carousel","C","I"))&amp;"_"&amp;J486&amp;"_"&amp;IF(K486="AI tự động","AI","HU")&amp;"_"&amp;RIGHT(A486,3)</f>
        <v>P1_EXP2_C_B_AI_040</v>
      </c>
      <c r="M486" s="45"/>
      <c r="N486" s="45"/>
      <c r="O486" s="46"/>
      <c r="P486" s="46"/>
      <c r="Q486" s="46"/>
      <c r="R486" s="47"/>
      <c r="S486" s="45"/>
      <c r="T486" s="45"/>
      <c r="U486" s="48" t="str">
        <f aca="false">IF(O486&gt;0,P486/O486,"")</f>
        <v/>
      </c>
      <c r="V486" s="49" t="str">
        <f aca="false">IF(P486&gt;0,Q486/P486,"")</f>
        <v/>
      </c>
      <c r="W486" s="50" t="n">
        <f aca="false">IF(R486&lt;&gt;"",R486,Q486*'Cài đặt'!$B$12)</f>
        <v>0</v>
      </c>
      <c r="X486" s="50" t="str">
        <f aca="false">IF(O486&gt;0,W486/O486*1000,"")</f>
        <v/>
      </c>
      <c r="Y486" s="51" t="n">
        <f aca="false">IF(T486&lt;&gt;"",T486,INDEX('Cài đặt'!$B$20:$C$22,MATCH(I486,'Cài đặt'!$A$20:$A$22,0),IF(K486="AI tự động",1,2)))</f>
        <v>4</v>
      </c>
    </row>
    <row r="487" customFormat="false" ht="15" hidden="false" customHeight="false" outlineLevel="0" collapsed="false">
      <c r="A487" s="41" t="s">
        <v>935</v>
      </c>
      <c r="B487" s="41" t="s">
        <v>703</v>
      </c>
      <c r="C487" s="41" t="s">
        <v>163</v>
      </c>
      <c r="D487" s="42" t="str">
        <f aca="false">INDEX('Page và Ngách'!$B$5:$B$10,MATCH(C487,'Page và Ngách'!$A$5:$A$10,0))</f>
        <v>Secret billionaire / CEO</v>
      </c>
      <c r="E487" s="41" t="n">
        <v>20</v>
      </c>
      <c r="F487" s="43" t="n">
        <f aca="false">'Cài đặt'!$B$38+E487-1</f>
        <v>46375</v>
      </c>
      <c r="G487" s="41" t="s">
        <v>444</v>
      </c>
      <c r="H487" s="44" t="str">
        <f aca="false">IF(G487="S1",'Cài đặt'!$B$7,'Cài đặt'!$B$8)</f>
        <v>12:00</v>
      </c>
      <c r="I487" s="44" t="str">
        <f aca="false">'Cài đặt'!$B$32</f>
        <v>Carousel</v>
      </c>
      <c r="J487" s="41" t="s">
        <v>704</v>
      </c>
      <c r="K487" s="41" t="s">
        <v>445</v>
      </c>
      <c r="L487" s="42" t="str">
        <f aca="false">C487&amp;"_"&amp;B487&amp;"_"&amp;IF(I487="Reel","R",IF(I487="Carousel","C","I"))&amp;"_"&amp;J487&amp;"_"&amp;IF(K487="AI tự động","AI","HU")&amp;"_"&amp;RIGHT(A487,3)</f>
        <v>P2_EXP2_C_B_AI_039</v>
      </c>
      <c r="M487" s="45"/>
      <c r="N487" s="45"/>
      <c r="O487" s="46"/>
      <c r="P487" s="46"/>
      <c r="Q487" s="46"/>
      <c r="R487" s="47"/>
      <c r="S487" s="45"/>
      <c r="T487" s="45"/>
      <c r="U487" s="48" t="str">
        <f aca="false">IF(O487&gt;0,P487/O487,"")</f>
        <v/>
      </c>
      <c r="V487" s="49" t="str">
        <f aca="false">IF(P487&gt;0,Q487/P487,"")</f>
        <v/>
      </c>
      <c r="W487" s="50" t="n">
        <f aca="false">IF(R487&lt;&gt;"",R487,Q487*'Cài đặt'!$B$12)</f>
        <v>0</v>
      </c>
      <c r="X487" s="50" t="str">
        <f aca="false">IF(O487&gt;0,W487/O487*1000,"")</f>
        <v/>
      </c>
      <c r="Y487" s="51" t="n">
        <f aca="false">IF(T487&lt;&gt;"",T487,INDEX('Cài đặt'!$B$20:$C$22,MATCH(I487,'Cài đặt'!$A$20:$A$22,0),IF(K487="AI tự động",1,2)))</f>
        <v>4</v>
      </c>
    </row>
    <row r="488" customFormat="false" ht="15" hidden="false" customHeight="false" outlineLevel="0" collapsed="false">
      <c r="A488" s="41" t="s">
        <v>936</v>
      </c>
      <c r="B488" s="41" t="s">
        <v>703</v>
      </c>
      <c r="C488" s="41" t="s">
        <v>163</v>
      </c>
      <c r="D488" s="42" t="str">
        <f aca="false">INDEX('Page và Ngách'!$B$5:$B$10,MATCH(C488,'Page và Ngách'!$A$5:$A$10,0))</f>
        <v>Secret billionaire / CEO</v>
      </c>
      <c r="E488" s="41" t="n">
        <v>20</v>
      </c>
      <c r="F488" s="43" t="n">
        <f aca="false">'Cài đặt'!$B$38+E488-1</f>
        <v>46375</v>
      </c>
      <c r="G488" s="41" t="s">
        <v>451</v>
      </c>
      <c r="H488" s="44" t="str">
        <f aca="false">IF(G488="S1",'Cài đặt'!$B$7,'Cài đặt'!$B$8)</f>
        <v>20:00</v>
      </c>
      <c r="I488" s="44" t="str">
        <f aca="false">'Cài đặt'!$B$32</f>
        <v>Carousel</v>
      </c>
      <c r="J488" s="41" t="s">
        <v>706</v>
      </c>
      <c r="K488" s="41" t="s">
        <v>445</v>
      </c>
      <c r="L488" s="42" t="str">
        <f aca="false">C488&amp;"_"&amp;B488&amp;"_"&amp;IF(I488="Reel","R",IF(I488="Carousel","C","I"))&amp;"_"&amp;J488&amp;"_"&amp;IF(K488="AI tự động","AI","HU")&amp;"_"&amp;RIGHT(A488,3)</f>
        <v>P2_EXP2_C_C_AI_040</v>
      </c>
      <c r="M488" s="45"/>
      <c r="N488" s="45"/>
      <c r="O488" s="46"/>
      <c r="P488" s="46"/>
      <c r="Q488" s="46"/>
      <c r="R488" s="47"/>
      <c r="S488" s="45"/>
      <c r="T488" s="45"/>
      <c r="U488" s="48" t="str">
        <f aca="false">IF(O488&gt;0,P488/O488,"")</f>
        <v/>
      </c>
      <c r="V488" s="49" t="str">
        <f aca="false">IF(P488&gt;0,Q488/P488,"")</f>
        <v/>
      </c>
      <c r="W488" s="50" t="n">
        <f aca="false">IF(R488&lt;&gt;"",R488,Q488*'Cài đặt'!$B$12)</f>
        <v>0</v>
      </c>
      <c r="X488" s="50" t="str">
        <f aca="false">IF(O488&gt;0,W488/O488*1000,"")</f>
        <v/>
      </c>
      <c r="Y488" s="51" t="n">
        <f aca="false">IF(T488&lt;&gt;"",T488,INDEX('Cài đặt'!$B$20:$C$22,MATCH(I488,'Cài đặt'!$A$20:$A$22,0),IF(K488="AI tự động",1,2)))</f>
        <v>4</v>
      </c>
    </row>
    <row r="489" customFormat="false" ht="15" hidden="false" customHeight="false" outlineLevel="0" collapsed="false">
      <c r="A489" s="41" t="s">
        <v>937</v>
      </c>
      <c r="B489" s="41" t="s">
        <v>703</v>
      </c>
      <c r="C489" s="41" t="s">
        <v>171</v>
      </c>
      <c r="D489" s="42" t="str">
        <f aca="false">INDEX('Page và Ngách'!$B$5:$B$10,MATCH(C489,'Page và Ngách'!$A$5:$A$10,0))</f>
        <v>Contract marriage / Fake relationship</v>
      </c>
      <c r="E489" s="41" t="n">
        <v>20</v>
      </c>
      <c r="F489" s="43" t="n">
        <f aca="false">'Cài đặt'!$B$38+E489-1</f>
        <v>46375</v>
      </c>
      <c r="G489" s="41" t="s">
        <v>444</v>
      </c>
      <c r="H489" s="44" t="str">
        <f aca="false">IF(G489="S1",'Cài đặt'!$B$7,'Cài đặt'!$B$8)</f>
        <v>12:00</v>
      </c>
      <c r="I489" s="44" t="str">
        <f aca="false">'Cài đặt'!$B$32</f>
        <v>Carousel</v>
      </c>
      <c r="J489" s="41" t="s">
        <v>706</v>
      </c>
      <c r="K489" s="41" t="s">
        <v>445</v>
      </c>
      <c r="L489" s="42" t="str">
        <f aca="false">C489&amp;"_"&amp;B489&amp;"_"&amp;IF(I489="Reel","R",IF(I489="Carousel","C","I"))&amp;"_"&amp;J489&amp;"_"&amp;IF(K489="AI tự động","AI","HU")&amp;"_"&amp;RIGHT(A489,3)</f>
        <v>P3_EXP2_C_C_AI_039</v>
      </c>
      <c r="M489" s="45"/>
      <c r="N489" s="45"/>
      <c r="O489" s="46"/>
      <c r="P489" s="46"/>
      <c r="Q489" s="46"/>
      <c r="R489" s="47"/>
      <c r="S489" s="45"/>
      <c r="T489" s="45"/>
      <c r="U489" s="48" t="str">
        <f aca="false">IF(O489&gt;0,P489/O489,"")</f>
        <v/>
      </c>
      <c r="V489" s="49" t="str">
        <f aca="false">IF(P489&gt;0,Q489/P489,"")</f>
        <v/>
      </c>
      <c r="W489" s="50" t="n">
        <f aca="false">IF(R489&lt;&gt;"",R489,Q489*'Cài đặt'!$B$12)</f>
        <v>0</v>
      </c>
      <c r="X489" s="50" t="str">
        <f aca="false">IF(O489&gt;0,W489/O489*1000,"")</f>
        <v/>
      </c>
      <c r="Y489" s="51" t="n">
        <f aca="false">IF(T489&lt;&gt;"",T489,INDEX('Cài đặt'!$B$20:$C$22,MATCH(I489,'Cài đặt'!$A$20:$A$22,0),IF(K489="AI tự động",1,2)))</f>
        <v>4</v>
      </c>
    </row>
    <row r="490" customFormat="false" ht="15" hidden="false" customHeight="false" outlineLevel="0" collapsed="false">
      <c r="A490" s="41" t="s">
        <v>938</v>
      </c>
      <c r="B490" s="41" t="s">
        <v>703</v>
      </c>
      <c r="C490" s="41" t="s">
        <v>171</v>
      </c>
      <c r="D490" s="42" t="str">
        <f aca="false">INDEX('Page và Ngách'!$B$5:$B$10,MATCH(C490,'Page và Ngách'!$A$5:$A$10,0))</f>
        <v>Contract marriage / Fake relationship</v>
      </c>
      <c r="E490" s="41" t="n">
        <v>20</v>
      </c>
      <c r="F490" s="43" t="n">
        <f aca="false">'Cài đặt'!$B$38+E490-1</f>
        <v>46375</v>
      </c>
      <c r="G490" s="41" t="s">
        <v>451</v>
      </c>
      <c r="H490" s="44" t="str">
        <f aca="false">IF(G490="S1",'Cài đặt'!$B$7,'Cài đặt'!$B$8)</f>
        <v>20:00</v>
      </c>
      <c r="I490" s="44" t="str">
        <f aca="false">'Cài đặt'!$B$32</f>
        <v>Carousel</v>
      </c>
      <c r="J490" s="41" t="s">
        <v>132</v>
      </c>
      <c r="K490" s="41" t="s">
        <v>445</v>
      </c>
      <c r="L490" s="42" t="str">
        <f aca="false">C490&amp;"_"&amp;B490&amp;"_"&amp;IF(I490="Reel","R",IF(I490="Carousel","C","I"))&amp;"_"&amp;J490&amp;"_"&amp;IF(K490="AI tự động","AI","HU")&amp;"_"&amp;RIGHT(A490,3)</f>
        <v>P3_EXP2_C_A_AI_040</v>
      </c>
      <c r="M490" s="45"/>
      <c r="N490" s="45"/>
      <c r="O490" s="46"/>
      <c r="P490" s="46"/>
      <c r="Q490" s="46"/>
      <c r="R490" s="47"/>
      <c r="S490" s="45"/>
      <c r="T490" s="45"/>
      <c r="U490" s="48" t="str">
        <f aca="false">IF(O490&gt;0,P490/O490,"")</f>
        <v/>
      </c>
      <c r="V490" s="49" t="str">
        <f aca="false">IF(P490&gt;0,Q490/P490,"")</f>
        <v/>
      </c>
      <c r="W490" s="50" t="n">
        <f aca="false">IF(R490&lt;&gt;"",R490,Q490*'Cài đặt'!$B$12)</f>
        <v>0</v>
      </c>
      <c r="X490" s="50" t="str">
        <f aca="false">IF(O490&gt;0,W490/O490*1000,"")</f>
        <v/>
      </c>
      <c r="Y490" s="51" t="n">
        <f aca="false">IF(T490&lt;&gt;"",T490,INDEX('Cài đặt'!$B$20:$C$22,MATCH(I490,'Cài đặt'!$A$20:$A$22,0),IF(K490="AI tự động",1,2)))</f>
        <v>4</v>
      </c>
    </row>
    <row r="491" customFormat="false" ht="15" hidden="false" customHeight="false" outlineLevel="0" collapsed="false">
      <c r="A491" s="41" t="s">
        <v>939</v>
      </c>
      <c r="B491" s="41" t="s">
        <v>703</v>
      </c>
      <c r="C491" s="41" t="s">
        <v>178</v>
      </c>
      <c r="D491" s="42" t="str">
        <f aca="false">INDEX('Page và Ngách'!$B$5:$B$10,MATCH(C491,'Page và Ngách'!$A$5:$A$10,0))</f>
        <v>Revenge / Betrayal ("you'll regret it")</v>
      </c>
      <c r="E491" s="41" t="n">
        <v>20</v>
      </c>
      <c r="F491" s="43" t="n">
        <f aca="false">'Cài đặt'!$B$38+E491-1</f>
        <v>46375</v>
      </c>
      <c r="G491" s="41" t="s">
        <v>444</v>
      </c>
      <c r="H491" s="44" t="str">
        <f aca="false">IF(G491="S1",'Cài đặt'!$B$7,'Cài đặt'!$B$8)</f>
        <v>12:00</v>
      </c>
      <c r="I491" s="44" t="str">
        <f aca="false">'Cài đặt'!$B$32</f>
        <v>Carousel</v>
      </c>
      <c r="J491" s="41" t="s">
        <v>132</v>
      </c>
      <c r="K491" s="41" t="s">
        <v>445</v>
      </c>
      <c r="L491" s="42" t="str">
        <f aca="false">C491&amp;"_"&amp;B491&amp;"_"&amp;IF(I491="Reel","R",IF(I491="Carousel","C","I"))&amp;"_"&amp;J491&amp;"_"&amp;IF(K491="AI tự động","AI","HU")&amp;"_"&amp;RIGHT(A491,3)</f>
        <v>P4_EXP2_C_A_AI_039</v>
      </c>
      <c r="M491" s="45"/>
      <c r="N491" s="45"/>
      <c r="O491" s="46"/>
      <c r="P491" s="46"/>
      <c r="Q491" s="46"/>
      <c r="R491" s="47"/>
      <c r="S491" s="45"/>
      <c r="T491" s="45"/>
      <c r="U491" s="48" t="str">
        <f aca="false">IF(O491&gt;0,P491/O491,"")</f>
        <v/>
      </c>
      <c r="V491" s="49" t="str">
        <f aca="false">IF(P491&gt;0,Q491/P491,"")</f>
        <v/>
      </c>
      <c r="W491" s="50" t="n">
        <f aca="false">IF(R491&lt;&gt;"",R491,Q491*'Cài đặt'!$B$12)</f>
        <v>0</v>
      </c>
      <c r="X491" s="50" t="str">
        <f aca="false">IF(O491&gt;0,W491/O491*1000,"")</f>
        <v/>
      </c>
      <c r="Y491" s="51" t="n">
        <f aca="false">IF(T491&lt;&gt;"",T491,INDEX('Cài đặt'!$B$20:$C$22,MATCH(I491,'Cài đặt'!$A$20:$A$22,0),IF(K491="AI tự động",1,2)))</f>
        <v>4</v>
      </c>
    </row>
    <row r="492" customFormat="false" ht="15" hidden="false" customHeight="false" outlineLevel="0" collapsed="false">
      <c r="A492" s="41" t="s">
        <v>940</v>
      </c>
      <c r="B492" s="41" t="s">
        <v>703</v>
      </c>
      <c r="C492" s="41" t="s">
        <v>178</v>
      </c>
      <c r="D492" s="42" t="str">
        <f aca="false">INDEX('Page và Ngách'!$B$5:$B$10,MATCH(C492,'Page và Ngách'!$A$5:$A$10,0))</f>
        <v>Revenge / Betrayal ("you'll regret it")</v>
      </c>
      <c r="E492" s="41" t="n">
        <v>20</v>
      </c>
      <c r="F492" s="43" t="n">
        <f aca="false">'Cài đặt'!$B$38+E492-1</f>
        <v>46375</v>
      </c>
      <c r="G492" s="41" t="s">
        <v>451</v>
      </c>
      <c r="H492" s="44" t="str">
        <f aca="false">IF(G492="S1",'Cài đặt'!$B$7,'Cài đặt'!$B$8)</f>
        <v>20:00</v>
      </c>
      <c r="I492" s="44" t="str">
        <f aca="false">'Cài đặt'!$B$32</f>
        <v>Carousel</v>
      </c>
      <c r="J492" s="41" t="s">
        <v>704</v>
      </c>
      <c r="K492" s="41" t="s">
        <v>445</v>
      </c>
      <c r="L492" s="42" t="str">
        <f aca="false">C492&amp;"_"&amp;B492&amp;"_"&amp;IF(I492="Reel","R",IF(I492="Carousel","C","I"))&amp;"_"&amp;J492&amp;"_"&amp;IF(K492="AI tự động","AI","HU")&amp;"_"&amp;RIGHT(A492,3)</f>
        <v>P4_EXP2_C_B_AI_040</v>
      </c>
      <c r="M492" s="45"/>
      <c r="N492" s="45"/>
      <c r="O492" s="46"/>
      <c r="P492" s="46"/>
      <c r="Q492" s="46"/>
      <c r="R492" s="47"/>
      <c r="S492" s="45"/>
      <c r="T492" s="45"/>
      <c r="U492" s="48" t="str">
        <f aca="false">IF(O492&gt;0,P492/O492,"")</f>
        <v/>
      </c>
      <c r="V492" s="49" t="str">
        <f aca="false">IF(P492&gt;0,Q492/P492,"")</f>
        <v/>
      </c>
      <c r="W492" s="50" t="n">
        <f aca="false">IF(R492&lt;&gt;"",R492,Q492*'Cài đặt'!$B$12)</f>
        <v>0</v>
      </c>
      <c r="X492" s="50" t="str">
        <f aca="false">IF(O492&gt;0,W492/O492*1000,"")</f>
        <v/>
      </c>
      <c r="Y492" s="51" t="n">
        <f aca="false">IF(T492&lt;&gt;"",T492,INDEX('Cài đặt'!$B$20:$C$22,MATCH(I492,'Cài đặt'!$A$20:$A$22,0),IF(K492="AI tự động",1,2)))</f>
        <v>4</v>
      </c>
    </row>
    <row r="493" customFormat="false" ht="15" hidden="false" customHeight="false" outlineLevel="0" collapsed="false">
      <c r="A493" s="41" t="s">
        <v>941</v>
      </c>
      <c r="B493" s="41" t="s">
        <v>703</v>
      </c>
      <c r="C493" s="41" t="s">
        <v>185</v>
      </c>
      <c r="D493" s="42" t="str">
        <f aca="false">INDEX('Page và Ngách'!$B$5:$B$10,MATCH(C493,'Page và Ngách'!$A$5:$A$10,0))</f>
        <v>Mafia / Dark romance (teaser PG-13)</v>
      </c>
      <c r="E493" s="41" t="n">
        <v>20</v>
      </c>
      <c r="F493" s="43" t="n">
        <f aca="false">'Cài đặt'!$B$38+E493-1</f>
        <v>46375</v>
      </c>
      <c r="G493" s="41" t="s">
        <v>444</v>
      </c>
      <c r="H493" s="44" t="str">
        <f aca="false">IF(G493="S1",'Cài đặt'!$B$7,'Cài đặt'!$B$8)</f>
        <v>12:00</v>
      </c>
      <c r="I493" s="44" t="str">
        <f aca="false">'Cài đặt'!$B$32</f>
        <v>Carousel</v>
      </c>
      <c r="J493" s="41" t="s">
        <v>704</v>
      </c>
      <c r="K493" s="41" t="s">
        <v>445</v>
      </c>
      <c r="L493" s="42" t="str">
        <f aca="false">C493&amp;"_"&amp;B493&amp;"_"&amp;IF(I493="Reel","R",IF(I493="Carousel","C","I"))&amp;"_"&amp;J493&amp;"_"&amp;IF(K493="AI tự động","AI","HU")&amp;"_"&amp;RIGHT(A493,3)</f>
        <v>P5_EXP2_C_B_AI_039</v>
      </c>
      <c r="M493" s="45"/>
      <c r="N493" s="45"/>
      <c r="O493" s="46"/>
      <c r="P493" s="46"/>
      <c r="Q493" s="46"/>
      <c r="R493" s="47"/>
      <c r="S493" s="45"/>
      <c r="T493" s="45"/>
      <c r="U493" s="48" t="str">
        <f aca="false">IF(O493&gt;0,P493/O493,"")</f>
        <v/>
      </c>
      <c r="V493" s="49" t="str">
        <f aca="false">IF(P493&gt;0,Q493/P493,"")</f>
        <v/>
      </c>
      <c r="W493" s="50" t="n">
        <f aca="false">IF(R493&lt;&gt;"",R493,Q493*'Cài đặt'!$B$12)</f>
        <v>0</v>
      </c>
      <c r="X493" s="50" t="str">
        <f aca="false">IF(O493&gt;0,W493/O493*1000,"")</f>
        <v/>
      </c>
      <c r="Y493" s="51" t="n">
        <f aca="false">IF(T493&lt;&gt;"",T493,INDEX('Cài đặt'!$B$20:$C$22,MATCH(I493,'Cài đặt'!$A$20:$A$22,0),IF(K493="AI tự động",1,2)))</f>
        <v>4</v>
      </c>
    </row>
    <row r="494" customFormat="false" ht="15" hidden="false" customHeight="false" outlineLevel="0" collapsed="false">
      <c r="A494" s="41" t="s">
        <v>942</v>
      </c>
      <c r="B494" s="41" t="s">
        <v>703</v>
      </c>
      <c r="C494" s="41" t="s">
        <v>185</v>
      </c>
      <c r="D494" s="42" t="str">
        <f aca="false">INDEX('Page và Ngách'!$B$5:$B$10,MATCH(C494,'Page và Ngách'!$A$5:$A$10,0))</f>
        <v>Mafia / Dark romance (teaser PG-13)</v>
      </c>
      <c r="E494" s="41" t="n">
        <v>20</v>
      </c>
      <c r="F494" s="43" t="n">
        <f aca="false">'Cài đặt'!$B$38+E494-1</f>
        <v>46375</v>
      </c>
      <c r="G494" s="41" t="s">
        <v>451</v>
      </c>
      <c r="H494" s="44" t="str">
        <f aca="false">IF(G494="S1",'Cài đặt'!$B$7,'Cài đặt'!$B$8)</f>
        <v>20:00</v>
      </c>
      <c r="I494" s="44" t="str">
        <f aca="false">'Cài đặt'!$B$32</f>
        <v>Carousel</v>
      </c>
      <c r="J494" s="41" t="s">
        <v>706</v>
      </c>
      <c r="K494" s="41" t="s">
        <v>445</v>
      </c>
      <c r="L494" s="42" t="str">
        <f aca="false">C494&amp;"_"&amp;B494&amp;"_"&amp;IF(I494="Reel","R",IF(I494="Carousel","C","I"))&amp;"_"&amp;J494&amp;"_"&amp;IF(K494="AI tự động","AI","HU")&amp;"_"&amp;RIGHT(A494,3)</f>
        <v>P5_EXP2_C_C_AI_040</v>
      </c>
      <c r="M494" s="45"/>
      <c r="N494" s="45"/>
      <c r="O494" s="46"/>
      <c r="P494" s="46"/>
      <c r="Q494" s="46"/>
      <c r="R494" s="47"/>
      <c r="S494" s="45"/>
      <c r="T494" s="45"/>
      <c r="U494" s="48" t="str">
        <f aca="false">IF(O494&gt;0,P494/O494,"")</f>
        <v/>
      </c>
      <c r="V494" s="49" t="str">
        <f aca="false">IF(P494&gt;0,Q494/P494,"")</f>
        <v/>
      </c>
      <c r="W494" s="50" t="n">
        <f aca="false">IF(R494&lt;&gt;"",R494,Q494*'Cài đặt'!$B$12)</f>
        <v>0</v>
      </c>
      <c r="X494" s="50" t="str">
        <f aca="false">IF(O494&gt;0,W494/O494*1000,"")</f>
        <v/>
      </c>
      <c r="Y494" s="51" t="n">
        <f aca="false">IF(T494&lt;&gt;"",T494,INDEX('Cài đặt'!$B$20:$C$22,MATCH(I494,'Cài đặt'!$A$20:$A$22,0),IF(K494="AI tự động",1,2)))</f>
        <v>4</v>
      </c>
    </row>
    <row r="495" customFormat="false" ht="15" hidden="false" customHeight="false" outlineLevel="0" collapsed="false">
      <c r="A495" s="41" t="s">
        <v>943</v>
      </c>
      <c r="B495" s="41" t="s">
        <v>703</v>
      </c>
      <c r="C495" s="41" t="s">
        <v>193</v>
      </c>
      <c r="D495" s="42" t="str">
        <f aca="false">INDEX('Page và Ngách'!$B$5:$B$10,MATCH(C495,'Page và Ngách'!$A$5:$A$10,0))</f>
        <v>Second chance / Secret baby</v>
      </c>
      <c r="E495" s="41" t="n">
        <v>20</v>
      </c>
      <c r="F495" s="43" t="n">
        <f aca="false">'Cài đặt'!$B$38+E495-1</f>
        <v>46375</v>
      </c>
      <c r="G495" s="41" t="s">
        <v>444</v>
      </c>
      <c r="H495" s="44" t="str">
        <f aca="false">IF(G495="S1",'Cài đặt'!$B$7,'Cài đặt'!$B$8)</f>
        <v>12:00</v>
      </c>
      <c r="I495" s="44" t="str">
        <f aca="false">'Cài đặt'!$B$32</f>
        <v>Carousel</v>
      </c>
      <c r="J495" s="41" t="s">
        <v>706</v>
      </c>
      <c r="K495" s="41" t="s">
        <v>445</v>
      </c>
      <c r="L495" s="42" t="str">
        <f aca="false">C495&amp;"_"&amp;B495&amp;"_"&amp;IF(I495="Reel","R",IF(I495="Carousel","C","I"))&amp;"_"&amp;J495&amp;"_"&amp;IF(K495="AI tự động","AI","HU")&amp;"_"&amp;RIGHT(A495,3)</f>
        <v>P6_EXP2_C_C_AI_039</v>
      </c>
      <c r="M495" s="45"/>
      <c r="N495" s="45"/>
      <c r="O495" s="46"/>
      <c r="P495" s="46"/>
      <c r="Q495" s="46"/>
      <c r="R495" s="47"/>
      <c r="S495" s="45"/>
      <c r="T495" s="45"/>
      <c r="U495" s="48" t="str">
        <f aca="false">IF(O495&gt;0,P495/O495,"")</f>
        <v/>
      </c>
      <c r="V495" s="49" t="str">
        <f aca="false">IF(P495&gt;0,Q495/P495,"")</f>
        <v/>
      </c>
      <c r="W495" s="50" t="n">
        <f aca="false">IF(R495&lt;&gt;"",R495,Q495*'Cài đặt'!$B$12)</f>
        <v>0</v>
      </c>
      <c r="X495" s="50" t="str">
        <f aca="false">IF(O495&gt;0,W495/O495*1000,"")</f>
        <v/>
      </c>
      <c r="Y495" s="51" t="n">
        <f aca="false">IF(T495&lt;&gt;"",T495,INDEX('Cài đặt'!$B$20:$C$22,MATCH(I495,'Cài đặt'!$A$20:$A$22,0),IF(K495="AI tự động",1,2)))</f>
        <v>4</v>
      </c>
    </row>
    <row r="496" customFormat="false" ht="15" hidden="false" customHeight="false" outlineLevel="0" collapsed="false">
      <c r="A496" s="41" t="s">
        <v>944</v>
      </c>
      <c r="B496" s="41" t="s">
        <v>703</v>
      </c>
      <c r="C496" s="41" t="s">
        <v>193</v>
      </c>
      <c r="D496" s="42" t="str">
        <f aca="false">INDEX('Page và Ngách'!$B$5:$B$10,MATCH(C496,'Page và Ngách'!$A$5:$A$10,0))</f>
        <v>Second chance / Secret baby</v>
      </c>
      <c r="E496" s="41" t="n">
        <v>20</v>
      </c>
      <c r="F496" s="43" t="n">
        <f aca="false">'Cài đặt'!$B$38+E496-1</f>
        <v>46375</v>
      </c>
      <c r="G496" s="41" t="s">
        <v>451</v>
      </c>
      <c r="H496" s="44" t="str">
        <f aca="false">IF(G496="S1",'Cài đặt'!$B$7,'Cài đặt'!$B$8)</f>
        <v>20:00</v>
      </c>
      <c r="I496" s="44" t="str">
        <f aca="false">'Cài đặt'!$B$32</f>
        <v>Carousel</v>
      </c>
      <c r="J496" s="41" t="s">
        <v>132</v>
      </c>
      <c r="K496" s="41" t="s">
        <v>445</v>
      </c>
      <c r="L496" s="42" t="str">
        <f aca="false">C496&amp;"_"&amp;B496&amp;"_"&amp;IF(I496="Reel","R",IF(I496="Carousel","C","I"))&amp;"_"&amp;J496&amp;"_"&amp;IF(K496="AI tự động","AI","HU")&amp;"_"&amp;RIGHT(A496,3)</f>
        <v>P6_EXP2_C_A_AI_040</v>
      </c>
      <c r="M496" s="45"/>
      <c r="N496" s="45"/>
      <c r="O496" s="46"/>
      <c r="P496" s="46"/>
      <c r="Q496" s="46"/>
      <c r="R496" s="47"/>
      <c r="S496" s="45"/>
      <c r="T496" s="45"/>
      <c r="U496" s="48" t="str">
        <f aca="false">IF(O496&gt;0,P496/O496,"")</f>
        <v/>
      </c>
      <c r="V496" s="49" t="str">
        <f aca="false">IF(P496&gt;0,Q496/P496,"")</f>
        <v/>
      </c>
      <c r="W496" s="50" t="n">
        <f aca="false">IF(R496&lt;&gt;"",R496,Q496*'Cài đặt'!$B$12)</f>
        <v>0</v>
      </c>
      <c r="X496" s="50" t="str">
        <f aca="false">IF(O496&gt;0,W496/O496*1000,"")</f>
        <v/>
      </c>
      <c r="Y496" s="51" t="n">
        <f aca="false">IF(T496&lt;&gt;"",T496,INDEX('Cài đặt'!$B$20:$C$22,MATCH(I496,'Cài đặt'!$A$20:$A$22,0),IF(K496="AI tự động",1,2)))</f>
        <v>4</v>
      </c>
    </row>
    <row r="497" customFormat="false" ht="15" hidden="false" customHeight="false" outlineLevel="0" collapsed="false">
      <c r="A497" s="41" t="s">
        <v>945</v>
      </c>
      <c r="B497" s="41" t="s">
        <v>703</v>
      </c>
      <c r="C497" s="41" t="s">
        <v>154</v>
      </c>
      <c r="D497" s="42" t="str">
        <f aca="false">INDEX('Page và Ngách'!$B$5:$B$10,MATCH(C497,'Page và Ngách'!$A$5:$A$10,0))</f>
        <v>Werewolf / Rejected mate</v>
      </c>
      <c r="E497" s="41" t="n">
        <v>21</v>
      </c>
      <c r="F497" s="43" t="n">
        <f aca="false">'Cài đặt'!$B$38+E497-1</f>
        <v>46376</v>
      </c>
      <c r="G497" s="41" t="s">
        <v>444</v>
      </c>
      <c r="H497" s="44" t="str">
        <f aca="false">IF(G497="S1",'Cài đặt'!$B$7,'Cài đặt'!$B$8)</f>
        <v>12:00</v>
      </c>
      <c r="I497" s="44" t="str">
        <f aca="false">'Cài đặt'!$B$32</f>
        <v>Carousel</v>
      </c>
      <c r="J497" s="41" t="s">
        <v>706</v>
      </c>
      <c r="K497" s="41" t="s">
        <v>445</v>
      </c>
      <c r="L497" s="42" t="str">
        <f aca="false">C497&amp;"_"&amp;B497&amp;"_"&amp;IF(I497="Reel","R",IF(I497="Carousel","C","I"))&amp;"_"&amp;J497&amp;"_"&amp;IF(K497="AI tự động","AI","HU")&amp;"_"&amp;RIGHT(A497,3)</f>
        <v>P1_EXP2_C_C_AI_041</v>
      </c>
      <c r="M497" s="45"/>
      <c r="N497" s="45"/>
      <c r="O497" s="46"/>
      <c r="P497" s="46"/>
      <c r="Q497" s="46"/>
      <c r="R497" s="47"/>
      <c r="S497" s="45"/>
      <c r="T497" s="45"/>
      <c r="U497" s="48" t="str">
        <f aca="false">IF(O497&gt;0,P497/O497,"")</f>
        <v/>
      </c>
      <c r="V497" s="49" t="str">
        <f aca="false">IF(P497&gt;0,Q497/P497,"")</f>
        <v/>
      </c>
      <c r="W497" s="50" t="n">
        <f aca="false">IF(R497&lt;&gt;"",R497,Q497*'Cài đặt'!$B$12)</f>
        <v>0</v>
      </c>
      <c r="X497" s="50" t="str">
        <f aca="false">IF(O497&gt;0,W497/O497*1000,"")</f>
        <v/>
      </c>
      <c r="Y497" s="51" t="n">
        <f aca="false">IF(T497&lt;&gt;"",T497,INDEX('Cài đặt'!$B$20:$C$22,MATCH(I497,'Cài đặt'!$A$20:$A$22,0),IF(K497="AI tự động",1,2)))</f>
        <v>4</v>
      </c>
    </row>
    <row r="498" customFormat="false" ht="15" hidden="false" customHeight="false" outlineLevel="0" collapsed="false">
      <c r="A498" s="41" t="s">
        <v>946</v>
      </c>
      <c r="B498" s="41" t="s">
        <v>703</v>
      </c>
      <c r="C498" s="41" t="s">
        <v>154</v>
      </c>
      <c r="D498" s="42" t="str">
        <f aca="false">INDEX('Page và Ngách'!$B$5:$B$10,MATCH(C498,'Page và Ngách'!$A$5:$A$10,0))</f>
        <v>Werewolf / Rejected mate</v>
      </c>
      <c r="E498" s="41" t="n">
        <v>21</v>
      </c>
      <c r="F498" s="43" t="n">
        <f aca="false">'Cài đặt'!$B$38+E498-1</f>
        <v>46376</v>
      </c>
      <c r="G498" s="41" t="s">
        <v>451</v>
      </c>
      <c r="H498" s="44" t="str">
        <f aca="false">IF(G498="S1",'Cài đặt'!$B$7,'Cài đặt'!$B$8)</f>
        <v>20:00</v>
      </c>
      <c r="I498" s="44" t="str">
        <f aca="false">'Cài đặt'!$B$32</f>
        <v>Carousel</v>
      </c>
      <c r="J498" s="41" t="s">
        <v>132</v>
      </c>
      <c r="K498" s="41" t="s">
        <v>445</v>
      </c>
      <c r="L498" s="42" t="str">
        <f aca="false">C498&amp;"_"&amp;B498&amp;"_"&amp;IF(I498="Reel","R",IF(I498="Carousel","C","I"))&amp;"_"&amp;J498&amp;"_"&amp;IF(K498="AI tự động","AI","HU")&amp;"_"&amp;RIGHT(A498,3)</f>
        <v>P1_EXP2_C_A_AI_042</v>
      </c>
      <c r="M498" s="45"/>
      <c r="N498" s="45"/>
      <c r="O498" s="46"/>
      <c r="P498" s="46"/>
      <c r="Q498" s="46"/>
      <c r="R498" s="47"/>
      <c r="S498" s="45"/>
      <c r="T498" s="45"/>
      <c r="U498" s="48" t="str">
        <f aca="false">IF(O498&gt;0,P498/O498,"")</f>
        <v/>
      </c>
      <c r="V498" s="49" t="str">
        <f aca="false">IF(P498&gt;0,Q498/P498,"")</f>
        <v/>
      </c>
      <c r="W498" s="50" t="n">
        <f aca="false">IF(R498&lt;&gt;"",R498,Q498*'Cài đặt'!$B$12)</f>
        <v>0</v>
      </c>
      <c r="X498" s="50" t="str">
        <f aca="false">IF(O498&gt;0,W498/O498*1000,"")</f>
        <v/>
      </c>
      <c r="Y498" s="51" t="n">
        <f aca="false">IF(T498&lt;&gt;"",T498,INDEX('Cài đặt'!$B$20:$C$22,MATCH(I498,'Cài đặt'!$A$20:$A$22,0),IF(K498="AI tự động",1,2)))</f>
        <v>4</v>
      </c>
    </row>
    <row r="499" customFormat="false" ht="15" hidden="false" customHeight="false" outlineLevel="0" collapsed="false">
      <c r="A499" s="41" t="s">
        <v>947</v>
      </c>
      <c r="B499" s="41" t="s">
        <v>703</v>
      </c>
      <c r="C499" s="41" t="s">
        <v>163</v>
      </c>
      <c r="D499" s="42" t="str">
        <f aca="false">INDEX('Page và Ngách'!$B$5:$B$10,MATCH(C499,'Page và Ngách'!$A$5:$A$10,0))</f>
        <v>Secret billionaire / CEO</v>
      </c>
      <c r="E499" s="41" t="n">
        <v>21</v>
      </c>
      <c r="F499" s="43" t="n">
        <f aca="false">'Cài đặt'!$B$38+E499-1</f>
        <v>46376</v>
      </c>
      <c r="G499" s="41" t="s">
        <v>444</v>
      </c>
      <c r="H499" s="44" t="str">
        <f aca="false">IF(G499="S1",'Cài đặt'!$B$7,'Cài đặt'!$B$8)</f>
        <v>12:00</v>
      </c>
      <c r="I499" s="44" t="str">
        <f aca="false">'Cài đặt'!$B$32</f>
        <v>Carousel</v>
      </c>
      <c r="J499" s="41" t="s">
        <v>132</v>
      </c>
      <c r="K499" s="41" t="s">
        <v>445</v>
      </c>
      <c r="L499" s="42" t="str">
        <f aca="false">C499&amp;"_"&amp;B499&amp;"_"&amp;IF(I499="Reel","R",IF(I499="Carousel","C","I"))&amp;"_"&amp;J499&amp;"_"&amp;IF(K499="AI tự động","AI","HU")&amp;"_"&amp;RIGHT(A499,3)</f>
        <v>P2_EXP2_C_A_AI_041</v>
      </c>
      <c r="M499" s="45"/>
      <c r="N499" s="45"/>
      <c r="O499" s="46"/>
      <c r="P499" s="46"/>
      <c r="Q499" s="46"/>
      <c r="R499" s="47"/>
      <c r="S499" s="45"/>
      <c r="T499" s="45"/>
      <c r="U499" s="48" t="str">
        <f aca="false">IF(O499&gt;0,P499/O499,"")</f>
        <v/>
      </c>
      <c r="V499" s="49" t="str">
        <f aca="false">IF(P499&gt;0,Q499/P499,"")</f>
        <v/>
      </c>
      <c r="W499" s="50" t="n">
        <f aca="false">IF(R499&lt;&gt;"",R499,Q499*'Cài đặt'!$B$12)</f>
        <v>0</v>
      </c>
      <c r="X499" s="50" t="str">
        <f aca="false">IF(O499&gt;0,W499/O499*1000,"")</f>
        <v/>
      </c>
      <c r="Y499" s="51" t="n">
        <f aca="false">IF(T499&lt;&gt;"",T499,INDEX('Cài đặt'!$B$20:$C$22,MATCH(I499,'Cài đặt'!$A$20:$A$22,0),IF(K499="AI tự động",1,2)))</f>
        <v>4</v>
      </c>
    </row>
    <row r="500" customFormat="false" ht="15" hidden="false" customHeight="false" outlineLevel="0" collapsed="false">
      <c r="A500" s="41" t="s">
        <v>948</v>
      </c>
      <c r="B500" s="41" t="s">
        <v>703</v>
      </c>
      <c r="C500" s="41" t="s">
        <v>163</v>
      </c>
      <c r="D500" s="42" t="str">
        <f aca="false">INDEX('Page và Ngách'!$B$5:$B$10,MATCH(C500,'Page và Ngách'!$A$5:$A$10,0))</f>
        <v>Secret billionaire / CEO</v>
      </c>
      <c r="E500" s="41" t="n">
        <v>21</v>
      </c>
      <c r="F500" s="43" t="n">
        <f aca="false">'Cài đặt'!$B$38+E500-1</f>
        <v>46376</v>
      </c>
      <c r="G500" s="41" t="s">
        <v>451</v>
      </c>
      <c r="H500" s="44" t="str">
        <f aca="false">IF(G500="S1",'Cài đặt'!$B$7,'Cài đặt'!$B$8)</f>
        <v>20:00</v>
      </c>
      <c r="I500" s="44" t="str">
        <f aca="false">'Cài đặt'!$B$32</f>
        <v>Carousel</v>
      </c>
      <c r="J500" s="41" t="s">
        <v>704</v>
      </c>
      <c r="K500" s="41" t="s">
        <v>445</v>
      </c>
      <c r="L500" s="42" t="str">
        <f aca="false">C500&amp;"_"&amp;B500&amp;"_"&amp;IF(I500="Reel","R",IF(I500="Carousel","C","I"))&amp;"_"&amp;J500&amp;"_"&amp;IF(K500="AI tự động","AI","HU")&amp;"_"&amp;RIGHT(A500,3)</f>
        <v>P2_EXP2_C_B_AI_042</v>
      </c>
      <c r="M500" s="45"/>
      <c r="N500" s="45"/>
      <c r="O500" s="46"/>
      <c r="P500" s="46"/>
      <c r="Q500" s="46"/>
      <c r="R500" s="47"/>
      <c r="S500" s="45"/>
      <c r="T500" s="45"/>
      <c r="U500" s="48" t="str">
        <f aca="false">IF(O500&gt;0,P500/O500,"")</f>
        <v/>
      </c>
      <c r="V500" s="49" t="str">
        <f aca="false">IF(P500&gt;0,Q500/P500,"")</f>
        <v/>
      </c>
      <c r="W500" s="50" t="n">
        <f aca="false">IF(R500&lt;&gt;"",R500,Q500*'Cài đặt'!$B$12)</f>
        <v>0</v>
      </c>
      <c r="X500" s="50" t="str">
        <f aca="false">IF(O500&gt;0,W500/O500*1000,"")</f>
        <v/>
      </c>
      <c r="Y500" s="51" t="n">
        <f aca="false">IF(T500&lt;&gt;"",T500,INDEX('Cài đặt'!$B$20:$C$22,MATCH(I500,'Cài đặt'!$A$20:$A$22,0),IF(K500="AI tự động",1,2)))</f>
        <v>4</v>
      </c>
    </row>
    <row r="501" customFormat="false" ht="15" hidden="false" customHeight="false" outlineLevel="0" collapsed="false">
      <c r="A501" s="41" t="s">
        <v>949</v>
      </c>
      <c r="B501" s="41" t="s">
        <v>703</v>
      </c>
      <c r="C501" s="41" t="s">
        <v>171</v>
      </c>
      <c r="D501" s="42" t="str">
        <f aca="false">INDEX('Page và Ngách'!$B$5:$B$10,MATCH(C501,'Page và Ngách'!$A$5:$A$10,0))</f>
        <v>Contract marriage / Fake relationship</v>
      </c>
      <c r="E501" s="41" t="n">
        <v>21</v>
      </c>
      <c r="F501" s="43" t="n">
        <f aca="false">'Cài đặt'!$B$38+E501-1</f>
        <v>46376</v>
      </c>
      <c r="G501" s="41" t="s">
        <v>444</v>
      </c>
      <c r="H501" s="44" t="str">
        <f aca="false">IF(G501="S1",'Cài đặt'!$B$7,'Cài đặt'!$B$8)</f>
        <v>12:00</v>
      </c>
      <c r="I501" s="44" t="str">
        <f aca="false">'Cài đặt'!$B$32</f>
        <v>Carousel</v>
      </c>
      <c r="J501" s="41" t="s">
        <v>704</v>
      </c>
      <c r="K501" s="41" t="s">
        <v>445</v>
      </c>
      <c r="L501" s="42" t="str">
        <f aca="false">C501&amp;"_"&amp;B501&amp;"_"&amp;IF(I501="Reel","R",IF(I501="Carousel","C","I"))&amp;"_"&amp;J501&amp;"_"&amp;IF(K501="AI tự động","AI","HU")&amp;"_"&amp;RIGHT(A501,3)</f>
        <v>P3_EXP2_C_B_AI_041</v>
      </c>
      <c r="M501" s="45"/>
      <c r="N501" s="45"/>
      <c r="O501" s="46"/>
      <c r="P501" s="46"/>
      <c r="Q501" s="46"/>
      <c r="R501" s="47"/>
      <c r="S501" s="45"/>
      <c r="T501" s="45"/>
      <c r="U501" s="48" t="str">
        <f aca="false">IF(O501&gt;0,P501/O501,"")</f>
        <v/>
      </c>
      <c r="V501" s="49" t="str">
        <f aca="false">IF(P501&gt;0,Q501/P501,"")</f>
        <v/>
      </c>
      <c r="W501" s="50" t="n">
        <f aca="false">IF(R501&lt;&gt;"",R501,Q501*'Cài đặt'!$B$12)</f>
        <v>0</v>
      </c>
      <c r="X501" s="50" t="str">
        <f aca="false">IF(O501&gt;0,W501/O501*1000,"")</f>
        <v/>
      </c>
      <c r="Y501" s="51" t="n">
        <f aca="false">IF(T501&lt;&gt;"",T501,INDEX('Cài đặt'!$B$20:$C$22,MATCH(I501,'Cài đặt'!$A$20:$A$22,0),IF(K501="AI tự động",1,2)))</f>
        <v>4</v>
      </c>
    </row>
    <row r="502" customFormat="false" ht="15" hidden="false" customHeight="false" outlineLevel="0" collapsed="false">
      <c r="A502" s="41" t="s">
        <v>950</v>
      </c>
      <c r="B502" s="41" t="s">
        <v>703</v>
      </c>
      <c r="C502" s="41" t="s">
        <v>171</v>
      </c>
      <c r="D502" s="42" t="str">
        <f aca="false">INDEX('Page và Ngách'!$B$5:$B$10,MATCH(C502,'Page và Ngách'!$A$5:$A$10,0))</f>
        <v>Contract marriage / Fake relationship</v>
      </c>
      <c r="E502" s="41" t="n">
        <v>21</v>
      </c>
      <c r="F502" s="43" t="n">
        <f aca="false">'Cài đặt'!$B$38+E502-1</f>
        <v>46376</v>
      </c>
      <c r="G502" s="41" t="s">
        <v>451</v>
      </c>
      <c r="H502" s="44" t="str">
        <f aca="false">IF(G502="S1",'Cài đặt'!$B$7,'Cài đặt'!$B$8)</f>
        <v>20:00</v>
      </c>
      <c r="I502" s="44" t="str">
        <f aca="false">'Cài đặt'!$B$32</f>
        <v>Carousel</v>
      </c>
      <c r="J502" s="41" t="s">
        <v>706</v>
      </c>
      <c r="K502" s="41" t="s">
        <v>445</v>
      </c>
      <c r="L502" s="42" t="str">
        <f aca="false">C502&amp;"_"&amp;B502&amp;"_"&amp;IF(I502="Reel","R",IF(I502="Carousel","C","I"))&amp;"_"&amp;J502&amp;"_"&amp;IF(K502="AI tự động","AI","HU")&amp;"_"&amp;RIGHT(A502,3)</f>
        <v>P3_EXP2_C_C_AI_042</v>
      </c>
      <c r="M502" s="45"/>
      <c r="N502" s="45"/>
      <c r="O502" s="46"/>
      <c r="P502" s="46"/>
      <c r="Q502" s="46"/>
      <c r="R502" s="47"/>
      <c r="S502" s="45"/>
      <c r="T502" s="45"/>
      <c r="U502" s="48" t="str">
        <f aca="false">IF(O502&gt;0,P502/O502,"")</f>
        <v/>
      </c>
      <c r="V502" s="49" t="str">
        <f aca="false">IF(P502&gt;0,Q502/P502,"")</f>
        <v/>
      </c>
      <c r="W502" s="50" t="n">
        <f aca="false">IF(R502&lt;&gt;"",R502,Q502*'Cài đặt'!$B$12)</f>
        <v>0</v>
      </c>
      <c r="X502" s="50" t="str">
        <f aca="false">IF(O502&gt;0,W502/O502*1000,"")</f>
        <v/>
      </c>
      <c r="Y502" s="51" t="n">
        <f aca="false">IF(T502&lt;&gt;"",T502,INDEX('Cài đặt'!$B$20:$C$22,MATCH(I502,'Cài đặt'!$A$20:$A$22,0),IF(K502="AI tự động",1,2)))</f>
        <v>4</v>
      </c>
    </row>
    <row r="503" customFormat="false" ht="15" hidden="false" customHeight="false" outlineLevel="0" collapsed="false">
      <c r="A503" s="41" t="s">
        <v>951</v>
      </c>
      <c r="B503" s="41" t="s">
        <v>703</v>
      </c>
      <c r="C503" s="41" t="s">
        <v>178</v>
      </c>
      <c r="D503" s="42" t="str">
        <f aca="false">INDEX('Page và Ngách'!$B$5:$B$10,MATCH(C503,'Page và Ngách'!$A$5:$A$10,0))</f>
        <v>Revenge / Betrayal ("you'll regret it")</v>
      </c>
      <c r="E503" s="41" t="n">
        <v>21</v>
      </c>
      <c r="F503" s="43" t="n">
        <f aca="false">'Cài đặt'!$B$38+E503-1</f>
        <v>46376</v>
      </c>
      <c r="G503" s="41" t="s">
        <v>444</v>
      </c>
      <c r="H503" s="44" t="str">
        <f aca="false">IF(G503="S1",'Cài đặt'!$B$7,'Cài đặt'!$B$8)</f>
        <v>12:00</v>
      </c>
      <c r="I503" s="44" t="str">
        <f aca="false">'Cài đặt'!$B$32</f>
        <v>Carousel</v>
      </c>
      <c r="J503" s="41" t="s">
        <v>706</v>
      </c>
      <c r="K503" s="41" t="s">
        <v>445</v>
      </c>
      <c r="L503" s="42" t="str">
        <f aca="false">C503&amp;"_"&amp;B503&amp;"_"&amp;IF(I503="Reel","R",IF(I503="Carousel","C","I"))&amp;"_"&amp;J503&amp;"_"&amp;IF(K503="AI tự động","AI","HU")&amp;"_"&amp;RIGHT(A503,3)</f>
        <v>P4_EXP2_C_C_AI_041</v>
      </c>
      <c r="M503" s="45"/>
      <c r="N503" s="45"/>
      <c r="O503" s="46"/>
      <c r="P503" s="46"/>
      <c r="Q503" s="46"/>
      <c r="R503" s="47"/>
      <c r="S503" s="45"/>
      <c r="T503" s="45"/>
      <c r="U503" s="48" t="str">
        <f aca="false">IF(O503&gt;0,P503/O503,"")</f>
        <v/>
      </c>
      <c r="V503" s="49" t="str">
        <f aca="false">IF(P503&gt;0,Q503/P503,"")</f>
        <v/>
      </c>
      <c r="W503" s="50" t="n">
        <f aca="false">IF(R503&lt;&gt;"",R503,Q503*'Cài đặt'!$B$12)</f>
        <v>0</v>
      </c>
      <c r="X503" s="50" t="str">
        <f aca="false">IF(O503&gt;0,W503/O503*1000,"")</f>
        <v/>
      </c>
      <c r="Y503" s="51" t="n">
        <f aca="false">IF(T503&lt;&gt;"",T503,INDEX('Cài đặt'!$B$20:$C$22,MATCH(I503,'Cài đặt'!$A$20:$A$22,0),IF(K503="AI tự động",1,2)))</f>
        <v>4</v>
      </c>
    </row>
    <row r="504" customFormat="false" ht="15" hidden="false" customHeight="false" outlineLevel="0" collapsed="false">
      <c r="A504" s="41" t="s">
        <v>952</v>
      </c>
      <c r="B504" s="41" t="s">
        <v>703</v>
      </c>
      <c r="C504" s="41" t="s">
        <v>178</v>
      </c>
      <c r="D504" s="42" t="str">
        <f aca="false">INDEX('Page và Ngách'!$B$5:$B$10,MATCH(C504,'Page và Ngách'!$A$5:$A$10,0))</f>
        <v>Revenge / Betrayal ("you'll regret it")</v>
      </c>
      <c r="E504" s="41" t="n">
        <v>21</v>
      </c>
      <c r="F504" s="43" t="n">
        <f aca="false">'Cài đặt'!$B$38+E504-1</f>
        <v>46376</v>
      </c>
      <c r="G504" s="41" t="s">
        <v>451</v>
      </c>
      <c r="H504" s="44" t="str">
        <f aca="false">IF(G504="S1",'Cài đặt'!$B$7,'Cài đặt'!$B$8)</f>
        <v>20:00</v>
      </c>
      <c r="I504" s="44" t="str">
        <f aca="false">'Cài đặt'!$B$32</f>
        <v>Carousel</v>
      </c>
      <c r="J504" s="41" t="s">
        <v>132</v>
      </c>
      <c r="K504" s="41" t="s">
        <v>445</v>
      </c>
      <c r="L504" s="42" t="str">
        <f aca="false">C504&amp;"_"&amp;B504&amp;"_"&amp;IF(I504="Reel","R",IF(I504="Carousel","C","I"))&amp;"_"&amp;J504&amp;"_"&amp;IF(K504="AI tự động","AI","HU")&amp;"_"&amp;RIGHT(A504,3)</f>
        <v>P4_EXP2_C_A_AI_042</v>
      </c>
      <c r="M504" s="45"/>
      <c r="N504" s="45"/>
      <c r="O504" s="46"/>
      <c r="P504" s="46"/>
      <c r="Q504" s="46"/>
      <c r="R504" s="47"/>
      <c r="S504" s="45"/>
      <c r="T504" s="45"/>
      <c r="U504" s="48" t="str">
        <f aca="false">IF(O504&gt;0,P504/O504,"")</f>
        <v/>
      </c>
      <c r="V504" s="49" t="str">
        <f aca="false">IF(P504&gt;0,Q504/P504,"")</f>
        <v/>
      </c>
      <c r="W504" s="50" t="n">
        <f aca="false">IF(R504&lt;&gt;"",R504,Q504*'Cài đặt'!$B$12)</f>
        <v>0</v>
      </c>
      <c r="X504" s="50" t="str">
        <f aca="false">IF(O504&gt;0,W504/O504*1000,"")</f>
        <v/>
      </c>
      <c r="Y504" s="51" t="n">
        <f aca="false">IF(T504&lt;&gt;"",T504,INDEX('Cài đặt'!$B$20:$C$22,MATCH(I504,'Cài đặt'!$A$20:$A$22,0),IF(K504="AI tự động",1,2)))</f>
        <v>4</v>
      </c>
    </row>
    <row r="505" customFormat="false" ht="15" hidden="false" customHeight="false" outlineLevel="0" collapsed="false">
      <c r="A505" s="41" t="s">
        <v>953</v>
      </c>
      <c r="B505" s="41" t="s">
        <v>703</v>
      </c>
      <c r="C505" s="41" t="s">
        <v>185</v>
      </c>
      <c r="D505" s="42" t="str">
        <f aca="false">INDEX('Page và Ngách'!$B$5:$B$10,MATCH(C505,'Page và Ngách'!$A$5:$A$10,0))</f>
        <v>Mafia / Dark romance (teaser PG-13)</v>
      </c>
      <c r="E505" s="41" t="n">
        <v>21</v>
      </c>
      <c r="F505" s="43" t="n">
        <f aca="false">'Cài đặt'!$B$38+E505-1</f>
        <v>46376</v>
      </c>
      <c r="G505" s="41" t="s">
        <v>444</v>
      </c>
      <c r="H505" s="44" t="str">
        <f aca="false">IF(G505="S1",'Cài đặt'!$B$7,'Cài đặt'!$B$8)</f>
        <v>12:00</v>
      </c>
      <c r="I505" s="44" t="str">
        <f aca="false">'Cài đặt'!$B$32</f>
        <v>Carousel</v>
      </c>
      <c r="J505" s="41" t="s">
        <v>132</v>
      </c>
      <c r="K505" s="41" t="s">
        <v>445</v>
      </c>
      <c r="L505" s="42" t="str">
        <f aca="false">C505&amp;"_"&amp;B505&amp;"_"&amp;IF(I505="Reel","R",IF(I505="Carousel","C","I"))&amp;"_"&amp;J505&amp;"_"&amp;IF(K505="AI tự động","AI","HU")&amp;"_"&amp;RIGHT(A505,3)</f>
        <v>P5_EXP2_C_A_AI_041</v>
      </c>
      <c r="M505" s="45"/>
      <c r="N505" s="45"/>
      <c r="O505" s="46"/>
      <c r="P505" s="46"/>
      <c r="Q505" s="46"/>
      <c r="R505" s="47"/>
      <c r="S505" s="45"/>
      <c r="T505" s="45"/>
      <c r="U505" s="48" t="str">
        <f aca="false">IF(O505&gt;0,P505/O505,"")</f>
        <v/>
      </c>
      <c r="V505" s="49" t="str">
        <f aca="false">IF(P505&gt;0,Q505/P505,"")</f>
        <v/>
      </c>
      <c r="W505" s="50" t="n">
        <f aca="false">IF(R505&lt;&gt;"",R505,Q505*'Cài đặt'!$B$12)</f>
        <v>0</v>
      </c>
      <c r="X505" s="50" t="str">
        <f aca="false">IF(O505&gt;0,W505/O505*1000,"")</f>
        <v/>
      </c>
      <c r="Y505" s="51" t="n">
        <f aca="false">IF(T505&lt;&gt;"",T505,INDEX('Cài đặt'!$B$20:$C$22,MATCH(I505,'Cài đặt'!$A$20:$A$22,0),IF(K505="AI tự động",1,2)))</f>
        <v>4</v>
      </c>
    </row>
    <row r="506" customFormat="false" ht="15" hidden="false" customHeight="false" outlineLevel="0" collapsed="false">
      <c r="A506" s="41" t="s">
        <v>954</v>
      </c>
      <c r="B506" s="41" t="s">
        <v>703</v>
      </c>
      <c r="C506" s="41" t="s">
        <v>185</v>
      </c>
      <c r="D506" s="42" t="str">
        <f aca="false">INDEX('Page và Ngách'!$B$5:$B$10,MATCH(C506,'Page và Ngách'!$A$5:$A$10,0))</f>
        <v>Mafia / Dark romance (teaser PG-13)</v>
      </c>
      <c r="E506" s="41" t="n">
        <v>21</v>
      </c>
      <c r="F506" s="43" t="n">
        <f aca="false">'Cài đặt'!$B$38+E506-1</f>
        <v>46376</v>
      </c>
      <c r="G506" s="41" t="s">
        <v>451</v>
      </c>
      <c r="H506" s="44" t="str">
        <f aca="false">IF(G506="S1",'Cài đặt'!$B$7,'Cài đặt'!$B$8)</f>
        <v>20:00</v>
      </c>
      <c r="I506" s="44" t="str">
        <f aca="false">'Cài đặt'!$B$32</f>
        <v>Carousel</v>
      </c>
      <c r="J506" s="41" t="s">
        <v>704</v>
      </c>
      <c r="K506" s="41" t="s">
        <v>445</v>
      </c>
      <c r="L506" s="42" t="str">
        <f aca="false">C506&amp;"_"&amp;B506&amp;"_"&amp;IF(I506="Reel","R",IF(I506="Carousel","C","I"))&amp;"_"&amp;J506&amp;"_"&amp;IF(K506="AI tự động","AI","HU")&amp;"_"&amp;RIGHT(A506,3)</f>
        <v>P5_EXP2_C_B_AI_042</v>
      </c>
      <c r="M506" s="45"/>
      <c r="N506" s="45"/>
      <c r="O506" s="46"/>
      <c r="P506" s="46"/>
      <c r="Q506" s="46"/>
      <c r="R506" s="47"/>
      <c r="S506" s="45"/>
      <c r="T506" s="45"/>
      <c r="U506" s="48" t="str">
        <f aca="false">IF(O506&gt;0,P506/O506,"")</f>
        <v/>
      </c>
      <c r="V506" s="49" t="str">
        <f aca="false">IF(P506&gt;0,Q506/P506,"")</f>
        <v/>
      </c>
      <c r="W506" s="50" t="n">
        <f aca="false">IF(R506&lt;&gt;"",R506,Q506*'Cài đặt'!$B$12)</f>
        <v>0</v>
      </c>
      <c r="X506" s="50" t="str">
        <f aca="false">IF(O506&gt;0,W506/O506*1000,"")</f>
        <v/>
      </c>
      <c r="Y506" s="51" t="n">
        <f aca="false">IF(T506&lt;&gt;"",T506,INDEX('Cài đặt'!$B$20:$C$22,MATCH(I506,'Cài đặt'!$A$20:$A$22,0),IF(K506="AI tự động",1,2)))</f>
        <v>4</v>
      </c>
    </row>
    <row r="507" customFormat="false" ht="15" hidden="false" customHeight="false" outlineLevel="0" collapsed="false">
      <c r="A507" s="41" t="s">
        <v>955</v>
      </c>
      <c r="B507" s="41" t="s">
        <v>703</v>
      </c>
      <c r="C507" s="41" t="s">
        <v>193</v>
      </c>
      <c r="D507" s="42" t="str">
        <f aca="false">INDEX('Page và Ngách'!$B$5:$B$10,MATCH(C507,'Page và Ngách'!$A$5:$A$10,0))</f>
        <v>Second chance / Secret baby</v>
      </c>
      <c r="E507" s="41" t="n">
        <v>21</v>
      </c>
      <c r="F507" s="43" t="n">
        <f aca="false">'Cài đặt'!$B$38+E507-1</f>
        <v>46376</v>
      </c>
      <c r="G507" s="41" t="s">
        <v>444</v>
      </c>
      <c r="H507" s="44" t="str">
        <f aca="false">IF(G507="S1",'Cài đặt'!$B$7,'Cài đặt'!$B$8)</f>
        <v>12:00</v>
      </c>
      <c r="I507" s="44" t="str">
        <f aca="false">'Cài đặt'!$B$32</f>
        <v>Carousel</v>
      </c>
      <c r="J507" s="41" t="s">
        <v>704</v>
      </c>
      <c r="K507" s="41" t="s">
        <v>445</v>
      </c>
      <c r="L507" s="42" t="str">
        <f aca="false">C507&amp;"_"&amp;B507&amp;"_"&amp;IF(I507="Reel","R",IF(I507="Carousel","C","I"))&amp;"_"&amp;J507&amp;"_"&amp;IF(K507="AI tự động","AI","HU")&amp;"_"&amp;RIGHT(A507,3)</f>
        <v>P6_EXP2_C_B_AI_041</v>
      </c>
      <c r="M507" s="45"/>
      <c r="N507" s="45"/>
      <c r="O507" s="46"/>
      <c r="P507" s="46"/>
      <c r="Q507" s="46"/>
      <c r="R507" s="47"/>
      <c r="S507" s="45"/>
      <c r="T507" s="45"/>
      <c r="U507" s="48" t="str">
        <f aca="false">IF(O507&gt;0,P507/O507,"")</f>
        <v/>
      </c>
      <c r="V507" s="49" t="str">
        <f aca="false">IF(P507&gt;0,Q507/P507,"")</f>
        <v/>
      </c>
      <c r="W507" s="50" t="n">
        <f aca="false">IF(R507&lt;&gt;"",R507,Q507*'Cài đặt'!$B$12)</f>
        <v>0</v>
      </c>
      <c r="X507" s="50" t="str">
        <f aca="false">IF(O507&gt;0,W507/O507*1000,"")</f>
        <v/>
      </c>
      <c r="Y507" s="51" t="n">
        <f aca="false">IF(T507&lt;&gt;"",T507,INDEX('Cài đặt'!$B$20:$C$22,MATCH(I507,'Cài đặt'!$A$20:$A$22,0),IF(K507="AI tự động",1,2)))</f>
        <v>4</v>
      </c>
    </row>
    <row r="508" customFormat="false" ht="15" hidden="false" customHeight="false" outlineLevel="0" collapsed="false">
      <c r="A508" s="41" t="s">
        <v>956</v>
      </c>
      <c r="B508" s="41" t="s">
        <v>703</v>
      </c>
      <c r="C508" s="41" t="s">
        <v>193</v>
      </c>
      <c r="D508" s="42" t="str">
        <f aca="false">INDEX('Page và Ngách'!$B$5:$B$10,MATCH(C508,'Page và Ngách'!$A$5:$A$10,0))</f>
        <v>Second chance / Secret baby</v>
      </c>
      <c r="E508" s="41" t="n">
        <v>21</v>
      </c>
      <c r="F508" s="43" t="n">
        <f aca="false">'Cài đặt'!$B$38+E508-1</f>
        <v>46376</v>
      </c>
      <c r="G508" s="41" t="s">
        <v>451</v>
      </c>
      <c r="H508" s="44" t="str">
        <f aca="false">IF(G508="S1",'Cài đặt'!$B$7,'Cài đặt'!$B$8)</f>
        <v>20:00</v>
      </c>
      <c r="I508" s="44" t="str">
        <f aca="false">'Cài đặt'!$B$32</f>
        <v>Carousel</v>
      </c>
      <c r="J508" s="41" t="s">
        <v>706</v>
      </c>
      <c r="K508" s="41" t="s">
        <v>445</v>
      </c>
      <c r="L508" s="42" t="str">
        <f aca="false">C508&amp;"_"&amp;B508&amp;"_"&amp;IF(I508="Reel","R",IF(I508="Carousel","C","I"))&amp;"_"&amp;J508&amp;"_"&amp;IF(K508="AI tự động","AI","HU")&amp;"_"&amp;RIGHT(A508,3)</f>
        <v>P6_EXP2_C_C_AI_042</v>
      </c>
      <c r="M508" s="45"/>
      <c r="N508" s="45"/>
      <c r="O508" s="46"/>
      <c r="P508" s="46"/>
      <c r="Q508" s="46"/>
      <c r="R508" s="47"/>
      <c r="S508" s="45"/>
      <c r="T508" s="45"/>
      <c r="U508" s="48" t="str">
        <f aca="false">IF(O508&gt;0,P508/O508,"")</f>
        <v/>
      </c>
      <c r="V508" s="49" t="str">
        <f aca="false">IF(P508&gt;0,Q508/P508,"")</f>
        <v/>
      </c>
      <c r="W508" s="50" t="n">
        <f aca="false">IF(R508&lt;&gt;"",R508,Q508*'Cài đặt'!$B$12)</f>
        <v>0</v>
      </c>
      <c r="X508" s="50" t="str">
        <f aca="false">IF(O508&gt;0,W508/O508*1000,"")</f>
        <v/>
      </c>
      <c r="Y508" s="51" t="n">
        <f aca="false">IF(T508&lt;&gt;"",T508,INDEX('Cài đặt'!$B$20:$C$22,MATCH(I508,'Cài đặt'!$A$20:$A$22,0),IF(K508="AI tự động",1,2)))</f>
        <v>4</v>
      </c>
    </row>
    <row r="509" customFormat="false" ht="15" hidden="false" customHeight="false" outlineLevel="0" collapsed="false">
      <c r="A509" s="41" t="s">
        <v>957</v>
      </c>
      <c r="B509" s="41" t="s">
        <v>958</v>
      </c>
      <c r="C509" s="41" t="s">
        <v>154</v>
      </c>
      <c r="D509" s="42" t="str">
        <f aca="false">INDEX('Page và Ngách'!$B$5:$B$10,MATCH(C509,'Page và Ngách'!$A$5:$A$10,0))</f>
        <v>Werewolf / Rejected mate</v>
      </c>
      <c r="E509" s="41" t="n">
        <v>1</v>
      </c>
      <c r="F509" s="43" t="n">
        <f aca="false">'Cài đặt'!$B$39+E509-1</f>
        <v>46377</v>
      </c>
      <c r="G509" s="41" t="s">
        <v>444</v>
      </c>
      <c r="H509" s="44" t="str">
        <f aca="false">IF(G509="S1",'Cài đặt'!$B$7,'Cài đặt'!$B$8)</f>
        <v>12:00</v>
      </c>
      <c r="I509" s="44" t="str">
        <f aca="false">'Cài đặt'!$B$32</f>
        <v>Carousel</v>
      </c>
      <c r="J509" s="44" t="str">
        <f aca="false">'Cài đặt'!$B$33</f>
        <v>A</v>
      </c>
      <c r="K509" s="41" t="s">
        <v>445</v>
      </c>
      <c r="L509" s="42" t="str">
        <f aca="false">C509&amp;"_"&amp;B509&amp;"_"&amp;IF(I509="Reel","R",IF(I509="Carousel","C","I"))&amp;"_"&amp;J509&amp;"_"&amp;IF(K509="AI tự động","AI","HU")&amp;"_"&amp;RIGHT(A509,3)</f>
        <v>P1_EXP3_C_A_AI_001</v>
      </c>
      <c r="M509" s="45"/>
      <c r="N509" s="45"/>
      <c r="O509" s="46"/>
      <c r="P509" s="46"/>
      <c r="Q509" s="46"/>
      <c r="R509" s="47"/>
      <c r="S509" s="45"/>
      <c r="T509" s="45"/>
      <c r="U509" s="48" t="str">
        <f aca="false">IF(O509&gt;0,P509/O509,"")</f>
        <v/>
      </c>
      <c r="V509" s="49" t="str">
        <f aca="false">IF(P509&gt;0,Q509/P509,"")</f>
        <v/>
      </c>
      <c r="W509" s="50" t="n">
        <f aca="false">IF(R509&lt;&gt;"",R509,Q509*'Cài đặt'!$B$12)</f>
        <v>0</v>
      </c>
      <c r="X509" s="50" t="str">
        <f aca="false">IF(O509&gt;0,W509/O509*1000,"")</f>
        <v/>
      </c>
      <c r="Y509" s="51" t="n">
        <f aca="false">IF(T509&lt;&gt;"",T509,INDEX('Cài đặt'!$B$20:$C$22,MATCH(I509,'Cài đặt'!$A$20:$A$22,0),IF(K509="AI tự động",1,2)))</f>
        <v>4</v>
      </c>
    </row>
    <row r="510" customFormat="false" ht="15" hidden="false" customHeight="false" outlineLevel="0" collapsed="false">
      <c r="A510" s="41" t="s">
        <v>959</v>
      </c>
      <c r="B510" s="41" t="s">
        <v>958</v>
      </c>
      <c r="C510" s="41" t="s">
        <v>154</v>
      </c>
      <c r="D510" s="42" t="str">
        <f aca="false">INDEX('Page và Ngách'!$B$5:$B$10,MATCH(C510,'Page và Ngách'!$A$5:$A$10,0))</f>
        <v>Werewolf / Rejected mate</v>
      </c>
      <c r="E510" s="41" t="n">
        <v>1</v>
      </c>
      <c r="F510" s="43" t="n">
        <f aca="false">'Cài đặt'!$B$39+E510-1</f>
        <v>46377</v>
      </c>
      <c r="G510" s="41" t="s">
        <v>451</v>
      </c>
      <c r="H510" s="44" t="str">
        <f aca="false">IF(G510="S1",'Cài đặt'!$B$7,'Cài đặt'!$B$8)</f>
        <v>20:00</v>
      </c>
      <c r="I510" s="44" t="str">
        <f aca="false">'Cài đặt'!$B$32</f>
        <v>Carousel</v>
      </c>
      <c r="J510" s="44" t="str">
        <f aca="false">'Cài đặt'!$B$33</f>
        <v>A</v>
      </c>
      <c r="K510" s="41" t="s">
        <v>445</v>
      </c>
      <c r="L510" s="42" t="str">
        <f aca="false">C510&amp;"_"&amp;B510&amp;"_"&amp;IF(I510="Reel","R",IF(I510="Carousel","C","I"))&amp;"_"&amp;J510&amp;"_"&amp;IF(K510="AI tự động","AI","HU")&amp;"_"&amp;RIGHT(A510,3)</f>
        <v>P1_EXP3_C_A_AI_002</v>
      </c>
      <c r="M510" s="45"/>
      <c r="N510" s="45"/>
      <c r="O510" s="46"/>
      <c r="P510" s="46"/>
      <c r="Q510" s="46"/>
      <c r="R510" s="47"/>
      <c r="S510" s="45"/>
      <c r="T510" s="45"/>
      <c r="U510" s="48" t="str">
        <f aca="false">IF(O510&gt;0,P510/O510,"")</f>
        <v/>
      </c>
      <c r="V510" s="49" t="str">
        <f aca="false">IF(P510&gt;0,Q510/P510,"")</f>
        <v/>
      </c>
      <c r="W510" s="50" t="n">
        <f aca="false">IF(R510&lt;&gt;"",R510,Q510*'Cài đặt'!$B$12)</f>
        <v>0</v>
      </c>
      <c r="X510" s="50" t="str">
        <f aca="false">IF(O510&gt;0,W510/O510*1000,"")</f>
        <v/>
      </c>
      <c r="Y510" s="51" t="n">
        <f aca="false">IF(T510&lt;&gt;"",T510,INDEX('Cài đặt'!$B$20:$C$22,MATCH(I510,'Cài đặt'!$A$20:$A$22,0),IF(K510="AI tự động",1,2)))</f>
        <v>4</v>
      </c>
    </row>
    <row r="511" customFormat="false" ht="15" hidden="false" customHeight="false" outlineLevel="0" collapsed="false">
      <c r="A511" s="41" t="s">
        <v>960</v>
      </c>
      <c r="B511" s="41" t="s">
        <v>958</v>
      </c>
      <c r="C511" s="41" t="s">
        <v>163</v>
      </c>
      <c r="D511" s="42" t="str">
        <f aca="false">INDEX('Page và Ngách'!$B$5:$B$10,MATCH(C511,'Page và Ngách'!$A$5:$A$10,0))</f>
        <v>Secret billionaire / CEO</v>
      </c>
      <c r="E511" s="41" t="n">
        <v>1</v>
      </c>
      <c r="F511" s="43" t="n">
        <f aca="false">'Cài đặt'!$B$39+E511-1</f>
        <v>46377</v>
      </c>
      <c r="G511" s="41" t="s">
        <v>444</v>
      </c>
      <c r="H511" s="44" t="str">
        <f aca="false">IF(G511="S1",'Cài đặt'!$B$7,'Cài đặt'!$B$8)</f>
        <v>12:00</v>
      </c>
      <c r="I511" s="44" t="str">
        <f aca="false">'Cài đặt'!$B$32</f>
        <v>Carousel</v>
      </c>
      <c r="J511" s="44" t="str">
        <f aca="false">'Cài đặt'!$B$33</f>
        <v>A</v>
      </c>
      <c r="K511" s="41" t="s">
        <v>961</v>
      </c>
      <c r="L511" s="42" t="str">
        <f aca="false">C511&amp;"_"&amp;B511&amp;"_"&amp;IF(I511="Reel","R",IF(I511="Carousel","C","I"))&amp;"_"&amp;J511&amp;"_"&amp;IF(K511="AI tự động","AI","HU")&amp;"_"&amp;RIGHT(A511,3)</f>
        <v>P2_EXP3_C_A_HU_001</v>
      </c>
      <c r="M511" s="45"/>
      <c r="N511" s="45"/>
      <c r="O511" s="46"/>
      <c r="P511" s="46"/>
      <c r="Q511" s="46"/>
      <c r="R511" s="47"/>
      <c r="S511" s="45"/>
      <c r="T511" s="45"/>
      <c r="U511" s="48" t="str">
        <f aca="false">IF(O511&gt;0,P511/O511,"")</f>
        <v/>
      </c>
      <c r="V511" s="49" t="str">
        <f aca="false">IF(P511&gt;0,Q511/P511,"")</f>
        <v/>
      </c>
      <c r="W511" s="50" t="n">
        <f aca="false">IF(R511&lt;&gt;"",R511,Q511*'Cài đặt'!$B$12)</f>
        <v>0</v>
      </c>
      <c r="X511" s="50" t="str">
        <f aca="false">IF(O511&gt;0,W511/O511*1000,"")</f>
        <v/>
      </c>
      <c r="Y511" s="51" t="n">
        <f aca="false">IF(T511&lt;&gt;"",T511,INDEX('Cài đặt'!$B$20:$C$22,MATCH(I511,'Cài đặt'!$A$20:$A$22,0),IF(K511="AI tự động",1,2)))</f>
        <v>25</v>
      </c>
    </row>
    <row r="512" customFormat="false" ht="15" hidden="false" customHeight="false" outlineLevel="0" collapsed="false">
      <c r="A512" s="41" t="s">
        <v>962</v>
      </c>
      <c r="B512" s="41" t="s">
        <v>958</v>
      </c>
      <c r="C512" s="41" t="s">
        <v>163</v>
      </c>
      <c r="D512" s="42" t="str">
        <f aca="false">INDEX('Page và Ngách'!$B$5:$B$10,MATCH(C512,'Page và Ngách'!$A$5:$A$10,0))</f>
        <v>Secret billionaire / CEO</v>
      </c>
      <c r="E512" s="41" t="n">
        <v>1</v>
      </c>
      <c r="F512" s="43" t="n">
        <f aca="false">'Cài đặt'!$B$39+E512-1</f>
        <v>46377</v>
      </c>
      <c r="G512" s="41" t="s">
        <v>451</v>
      </c>
      <c r="H512" s="44" t="str">
        <f aca="false">IF(G512="S1",'Cài đặt'!$B$7,'Cài đặt'!$B$8)</f>
        <v>20:00</v>
      </c>
      <c r="I512" s="44" t="str">
        <f aca="false">'Cài đặt'!$B$32</f>
        <v>Carousel</v>
      </c>
      <c r="J512" s="44" t="str">
        <f aca="false">'Cài đặt'!$B$33</f>
        <v>A</v>
      </c>
      <c r="K512" s="41" t="s">
        <v>445</v>
      </c>
      <c r="L512" s="42" t="str">
        <f aca="false">C512&amp;"_"&amp;B512&amp;"_"&amp;IF(I512="Reel","R",IF(I512="Carousel","C","I"))&amp;"_"&amp;J512&amp;"_"&amp;IF(K512="AI tự động","AI","HU")&amp;"_"&amp;RIGHT(A512,3)</f>
        <v>P2_EXP3_C_A_AI_002</v>
      </c>
      <c r="M512" s="45"/>
      <c r="N512" s="45"/>
      <c r="O512" s="46"/>
      <c r="P512" s="46"/>
      <c r="Q512" s="46"/>
      <c r="R512" s="47"/>
      <c r="S512" s="45"/>
      <c r="T512" s="45"/>
      <c r="U512" s="48" t="str">
        <f aca="false">IF(O512&gt;0,P512/O512,"")</f>
        <v/>
      </c>
      <c r="V512" s="49" t="str">
        <f aca="false">IF(P512&gt;0,Q512/P512,"")</f>
        <v/>
      </c>
      <c r="W512" s="50" t="n">
        <f aca="false">IF(R512&lt;&gt;"",R512,Q512*'Cài đặt'!$B$12)</f>
        <v>0</v>
      </c>
      <c r="X512" s="50" t="str">
        <f aca="false">IF(O512&gt;0,W512/O512*1000,"")</f>
        <v/>
      </c>
      <c r="Y512" s="51" t="n">
        <f aca="false">IF(T512&lt;&gt;"",T512,INDEX('Cài đặt'!$B$20:$C$22,MATCH(I512,'Cài đặt'!$A$20:$A$22,0),IF(K512="AI tự động",1,2)))</f>
        <v>4</v>
      </c>
    </row>
    <row r="513" customFormat="false" ht="15" hidden="false" customHeight="false" outlineLevel="0" collapsed="false">
      <c r="A513" s="41" t="s">
        <v>963</v>
      </c>
      <c r="B513" s="41" t="s">
        <v>958</v>
      </c>
      <c r="C513" s="41" t="s">
        <v>171</v>
      </c>
      <c r="D513" s="42" t="str">
        <f aca="false">INDEX('Page và Ngách'!$B$5:$B$10,MATCH(C513,'Page và Ngách'!$A$5:$A$10,0))</f>
        <v>Contract marriage / Fake relationship</v>
      </c>
      <c r="E513" s="41" t="n">
        <v>1</v>
      </c>
      <c r="F513" s="43" t="n">
        <f aca="false">'Cài đặt'!$B$39+E513-1</f>
        <v>46377</v>
      </c>
      <c r="G513" s="41" t="s">
        <v>444</v>
      </c>
      <c r="H513" s="44" t="str">
        <f aca="false">IF(G513="S1",'Cài đặt'!$B$7,'Cài đặt'!$B$8)</f>
        <v>12:00</v>
      </c>
      <c r="I513" s="44" t="str">
        <f aca="false">'Cài đặt'!$B$32</f>
        <v>Carousel</v>
      </c>
      <c r="J513" s="44" t="str">
        <f aca="false">'Cài đặt'!$B$33</f>
        <v>A</v>
      </c>
      <c r="K513" s="41" t="s">
        <v>445</v>
      </c>
      <c r="L513" s="42" t="str">
        <f aca="false">C513&amp;"_"&amp;B513&amp;"_"&amp;IF(I513="Reel","R",IF(I513="Carousel","C","I"))&amp;"_"&amp;J513&amp;"_"&amp;IF(K513="AI tự động","AI","HU")&amp;"_"&amp;RIGHT(A513,3)</f>
        <v>P3_EXP3_C_A_AI_001</v>
      </c>
      <c r="M513" s="45"/>
      <c r="N513" s="45"/>
      <c r="O513" s="46"/>
      <c r="P513" s="46"/>
      <c r="Q513" s="46"/>
      <c r="R513" s="47"/>
      <c r="S513" s="45"/>
      <c r="T513" s="45"/>
      <c r="U513" s="48" t="str">
        <f aca="false">IF(O513&gt;0,P513/O513,"")</f>
        <v/>
      </c>
      <c r="V513" s="49" t="str">
        <f aca="false">IF(P513&gt;0,Q513/P513,"")</f>
        <v/>
      </c>
      <c r="W513" s="50" t="n">
        <f aca="false">IF(R513&lt;&gt;"",R513,Q513*'Cài đặt'!$B$12)</f>
        <v>0</v>
      </c>
      <c r="X513" s="50" t="str">
        <f aca="false">IF(O513&gt;0,W513/O513*1000,"")</f>
        <v/>
      </c>
      <c r="Y513" s="51" t="n">
        <f aca="false">IF(T513&lt;&gt;"",T513,INDEX('Cài đặt'!$B$20:$C$22,MATCH(I513,'Cài đặt'!$A$20:$A$22,0),IF(K513="AI tự động",1,2)))</f>
        <v>4</v>
      </c>
    </row>
    <row r="514" customFormat="false" ht="15" hidden="false" customHeight="false" outlineLevel="0" collapsed="false">
      <c r="A514" s="41" t="s">
        <v>964</v>
      </c>
      <c r="B514" s="41" t="s">
        <v>958</v>
      </c>
      <c r="C514" s="41" t="s">
        <v>171</v>
      </c>
      <c r="D514" s="42" t="str">
        <f aca="false">INDEX('Page và Ngách'!$B$5:$B$10,MATCH(C514,'Page và Ngách'!$A$5:$A$10,0))</f>
        <v>Contract marriage / Fake relationship</v>
      </c>
      <c r="E514" s="41" t="n">
        <v>1</v>
      </c>
      <c r="F514" s="43" t="n">
        <f aca="false">'Cài đặt'!$B$39+E514-1</f>
        <v>46377</v>
      </c>
      <c r="G514" s="41" t="s">
        <v>451</v>
      </c>
      <c r="H514" s="44" t="str">
        <f aca="false">IF(G514="S1",'Cài đặt'!$B$7,'Cài đặt'!$B$8)</f>
        <v>20:00</v>
      </c>
      <c r="I514" s="44" t="str">
        <f aca="false">'Cài đặt'!$B$32</f>
        <v>Carousel</v>
      </c>
      <c r="J514" s="44" t="str">
        <f aca="false">'Cài đặt'!$B$33</f>
        <v>A</v>
      </c>
      <c r="K514" s="41" t="s">
        <v>445</v>
      </c>
      <c r="L514" s="42" t="str">
        <f aca="false">C514&amp;"_"&amp;B514&amp;"_"&amp;IF(I514="Reel","R",IF(I514="Carousel","C","I"))&amp;"_"&amp;J514&amp;"_"&amp;IF(K514="AI tự động","AI","HU")&amp;"_"&amp;RIGHT(A514,3)</f>
        <v>P3_EXP3_C_A_AI_002</v>
      </c>
      <c r="M514" s="45"/>
      <c r="N514" s="45"/>
      <c r="O514" s="46"/>
      <c r="P514" s="46"/>
      <c r="Q514" s="46"/>
      <c r="R514" s="47"/>
      <c r="S514" s="45"/>
      <c r="T514" s="45"/>
      <c r="U514" s="48" t="str">
        <f aca="false">IF(O514&gt;0,P514/O514,"")</f>
        <v/>
      </c>
      <c r="V514" s="49" t="str">
        <f aca="false">IF(P514&gt;0,Q514/P514,"")</f>
        <v/>
      </c>
      <c r="W514" s="50" t="n">
        <f aca="false">IF(R514&lt;&gt;"",R514,Q514*'Cài đặt'!$B$12)</f>
        <v>0</v>
      </c>
      <c r="X514" s="50" t="str">
        <f aca="false">IF(O514&gt;0,W514/O514*1000,"")</f>
        <v/>
      </c>
      <c r="Y514" s="51" t="n">
        <f aca="false">IF(T514&lt;&gt;"",T514,INDEX('Cài đặt'!$B$20:$C$22,MATCH(I514,'Cài đặt'!$A$20:$A$22,0),IF(K514="AI tự động",1,2)))</f>
        <v>4</v>
      </c>
    </row>
    <row r="515" customFormat="false" ht="15" hidden="false" customHeight="false" outlineLevel="0" collapsed="false">
      <c r="A515" s="41" t="s">
        <v>965</v>
      </c>
      <c r="B515" s="41" t="s">
        <v>958</v>
      </c>
      <c r="C515" s="41" t="s">
        <v>178</v>
      </c>
      <c r="D515" s="42" t="str">
        <f aca="false">INDEX('Page và Ngách'!$B$5:$B$10,MATCH(C515,'Page và Ngách'!$A$5:$A$10,0))</f>
        <v>Revenge / Betrayal ("you'll regret it")</v>
      </c>
      <c r="E515" s="41" t="n">
        <v>1</v>
      </c>
      <c r="F515" s="43" t="n">
        <f aca="false">'Cài đặt'!$B$39+E515-1</f>
        <v>46377</v>
      </c>
      <c r="G515" s="41" t="s">
        <v>444</v>
      </c>
      <c r="H515" s="44" t="str">
        <f aca="false">IF(G515="S1",'Cài đặt'!$B$7,'Cài đặt'!$B$8)</f>
        <v>12:00</v>
      </c>
      <c r="I515" s="44" t="str">
        <f aca="false">'Cài đặt'!$B$32</f>
        <v>Carousel</v>
      </c>
      <c r="J515" s="44" t="str">
        <f aca="false">'Cài đặt'!$B$33</f>
        <v>A</v>
      </c>
      <c r="K515" s="41" t="s">
        <v>445</v>
      </c>
      <c r="L515" s="42" t="str">
        <f aca="false">C515&amp;"_"&amp;B515&amp;"_"&amp;IF(I515="Reel","R",IF(I515="Carousel","C","I"))&amp;"_"&amp;J515&amp;"_"&amp;IF(K515="AI tự động","AI","HU")&amp;"_"&amp;RIGHT(A515,3)</f>
        <v>P4_EXP3_C_A_AI_001</v>
      </c>
      <c r="M515" s="45"/>
      <c r="N515" s="45"/>
      <c r="O515" s="46"/>
      <c r="P515" s="46"/>
      <c r="Q515" s="46"/>
      <c r="R515" s="47"/>
      <c r="S515" s="45"/>
      <c r="T515" s="45"/>
      <c r="U515" s="48" t="str">
        <f aca="false">IF(O515&gt;0,P515/O515,"")</f>
        <v/>
      </c>
      <c r="V515" s="49" t="str">
        <f aca="false">IF(P515&gt;0,Q515/P515,"")</f>
        <v/>
      </c>
      <c r="W515" s="50" t="n">
        <f aca="false">IF(R515&lt;&gt;"",R515,Q515*'Cài đặt'!$B$12)</f>
        <v>0</v>
      </c>
      <c r="X515" s="50" t="str">
        <f aca="false">IF(O515&gt;0,W515/O515*1000,"")</f>
        <v/>
      </c>
      <c r="Y515" s="51" t="n">
        <f aca="false">IF(T515&lt;&gt;"",T515,INDEX('Cài đặt'!$B$20:$C$22,MATCH(I515,'Cài đặt'!$A$20:$A$22,0),IF(K515="AI tự động",1,2)))</f>
        <v>4</v>
      </c>
    </row>
    <row r="516" customFormat="false" ht="15" hidden="false" customHeight="false" outlineLevel="0" collapsed="false">
      <c r="A516" s="41" t="s">
        <v>966</v>
      </c>
      <c r="B516" s="41" t="s">
        <v>958</v>
      </c>
      <c r="C516" s="41" t="s">
        <v>178</v>
      </c>
      <c r="D516" s="42" t="str">
        <f aca="false">INDEX('Page và Ngách'!$B$5:$B$10,MATCH(C516,'Page và Ngách'!$A$5:$A$10,0))</f>
        <v>Revenge / Betrayal ("you'll regret it")</v>
      </c>
      <c r="E516" s="41" t="n">
        <v>1</v>
      </c>
      <c r="F516" s="43" t="n">
        <f aca="false">'Cài đặt'!$B$39+E516-1</f>
        <v>46377</v>
      </c>
      <c r="G516" s="41" t="s">
        <v>451</v>
      </c>
      <c r="H516" s="44" t="str">
        <f aca="false">IF(G516="S1",'Cài đặt'!$B$7,'Cài đặt'!$B$8)</f>
        <v>20:00</v>
      </c>
      <c r="I516" s="44" t="str">
        <f aca="false">'Cài đặt'!$B$32</f>
        <v>Carousel</v>
      </c>
      <c r="J516" s="44" t="str">
        <f aca="false">'Cài đặt'!$B$33</f>
        <v>A</v>
      </c>
      <c r="K516" s="41" t="s">
        <v>961</v>
      </c>
      <c r="L516" s="42" t="str">
        <f aca="false">C516&amp;"_"&amp;B516&amp;"_"&amp;IF(I516="Reel","R",IF(I516="Carousel","C","I"))&amp;"_"&amp;J516&amp;"_"&amp;IF(K516="AI tự động","AI","HU")&amp;"_"&amp;RIGHT(A516,3)</f>
        <v>P4_EXP3_C_A_HU_002</v>
      </c>
      <c r="M516" s="45"/>
      <c r="N516" s="45"/>
      <c r="O516" s="46"/>
      <c r="P516" s="46"/>
      <c r="Q516" s="46"/>
      <c r="R516" s="47"/>
      <c r="S516" s="45"/>
      <c r="T516" s="45"/>
      <c r="U516" s="48" t="str">
        <f aca="false">IF(O516&gt;0,P516/O516,"")</f>
        <v/>
      </c>
      <c r="V516" s="49" t="str">
        <f aca="false">IF(P516&gt;0,Q516/P516,"")</f>
        <v/>
      </c>
      <c r="W516" s="50" t="n">
        <f aca="false">IF(R516&lt;&gt;"",R516,Q516*'Cài đặt'!$B$12)</f>
        <v>0</v>
      </c>
      <c r="X516" s="50" t="str">
        <f aca="false">IF(O516&gt;0,W516/O516*1000,"")</f>
        <v/>
      </c>
      <c r="Y516" s="51" t="n">
        <f aca="false">IF(T516&lt;&gt;"",T516,INDEX('Cài đặt'!$B$20:$C$22,MATCH(I516,'Cài đặt'!$A$20:$A$22,0),IF(K516="AI tự động",1,2)))</f>
        <v>25</v>
      </c>
    </row>
    <row r="517" customFormat="false" ht="15" hidden="false" customHeight="false" outlineLevel="0" collapsed="false">
      <c r="A517" s="41" t="s">
        <v>967</v>
      </c>
      <c r="B517" s="41" t="s">
        <v>958</v>
      </c>
      <c r="C517" s="41" t="s">
        <v>185</v>
      </c>
      <c r="D517" s="42" t="str">
        <f aca="false">INDEX('Page và Ngách'!$B$5:$B$10,MATCH(C517,'Page và Ngách'!$A$5:$A$10,0))</f>
        <v>Mafia / Dark romance (teaser PG-13)</v>
      </c>
      <c r="E517" s="41" t="n">
        <v>1</v>
      </c>
      <c r="F517" s="43" t="n">
        <f aca="false">'Cài đặt'!$B$39+E517-1</f>
        <v>46377</v>
      </c>
      <c r="G517" s="41" t="s">
        <v>444</v>
      </c>
      <c r="H517" s="44" t="str">
        <f aca="false">IF(G517="S1",'Cài đặt'!$B$7,'Cài đặt'!$B$8)</f>
        <v>12:00</v>
      </c>
      <c r="I517" s="44" t="str">
        <f aca="false">'Cài đặt'!$B$32</f>
        <v>Carousel</v>
      </c>
      <c r="J517" s="44" t="str">
        <f aca="false">'Cài đặt'!$B$33</f>
        <v>A</v>
      </c>
      <c r="K517" s="41" t="s">
        <v>445</v>
      </c>
      <c r="L517" s="42" t="str">
        <f aca="false">C517&amp;"_"&amp;B517&amp;"_"&amp;IF(I517="Reel","R",IF(I517="Carousel","C","I"))&amp;"_"&amp;J517&amp;"_"&amp;IF(K517="AI tự động","AI","HU")&amp;"_"&amp;RIGHT(A517,3)</f>
        <v>P5_EXP3_C_A_AI_001</v>
      </c>
      <c r="M517" s="45"/>
      <c r="N517" s="45"/>
      <c r="O517" s="46"/>
      <c r="P517" s="46"/>
      <c r="Q517" s="46"/>
      <c r="R517" s="47"/>
      <c r="S517" s="45"/>
      <c r="T517" s="45"/>
      <c r="U517" s="48" t="str">
        <f aca="false">IF(O517&gt;0,P517/O517,"")</f>
        <v/>
      </c>
      <c r="V517" s="49" t="str">
        <f aca="false">IF(P517&gt;0,Q517/P517,"")</f>
        <v/>
      </c>
      <c r="W517" s="50" t="n">
        <f aca="false">IF(R517&lt;&gt;"",R517,Q517*'Cài đặt'!$B$12)</f>
        <v>0</v>
      </c>
      <c r="X517" s="50" t="str">
        <f aca="false">IF(O517&gt;0,W517/O517*1000,"")</f>
        <v/>
      </c>
      <c r="Y517" s="51" t="n">
        <f aca="false">IF(T517&lt;&gt;"",T517,INDEX('Cài đặt'!$B$20:$C$22,MATCH(I517,'Cài đặt'!$A$20:$A$22,0),IF(K517="AI tự động",1,2)))</f>
        <v>4</v>
      </c>
    </row>
    <row r="518" customFormat="false" ht="15" hidden="false" customHeight="false" outlineLevel="0" collapsed="false">
      <c r="A518" s="41" t="s">
        <v>968</v>
      </c>
      <c r="B518" s="41" t="s">
        <v>958</v>
      </c>
      <c r="C518" s="41" t="s">
        <v>185</v>
      </c>
      <c r="D518" s="42" t="str">
        <f aca="false">INDEX('Page và Ngách'!$B$5:$B$10,MATCH(C518,'Page và Ngách'!$A$5:$A$10,0))</f>
        <v>Mafia / Dark romance (teaser PG-13)</v>
      </c>
      <c r="E518" s="41" t="n">
        <v>1</v>
      </c>
      <c r="F518" s="43" t="n">
        <f aca="false">'Cài đặt'!$B$39+E518-1</f>
        <v>46377</v>
      </c>
      <c r="G518" s="41" t="s">
        <v>451</v>
      </c>
      <c r="H518" s="44" t="str">
        <f aca="false">IF(G518="S1",'Cài đặt'!$B$7,'Cài đặt'!$B$8)</f>
        <v>20:00</v>
      </c>
      <c r="I518" s="44" t="str">
        <f aca="false">'Cài đặt'!$B$32</f>
        <v>Carousel</v>
      </c>
      <c r="J518" s="44" t="str">
        <f aca="false">'Cài đặt'!$B$33</f>
        <v>A</v>
      </c>
      <c r="K518" s="41" t="s">
        <v>445</v>
      </c>
      <c r="L518" s="42" t="str">
        <f aca="false">C518&amp;"_"&amp;B518&amp;"_"&amp;IF(I518="Reel","R",IF(I518="Carousel","C","I"))&amp;"_"&amp;J518&amp;"_"&amp;IF(K518="AI tự động","AI","HU")&amp;"_"&amp;RIGHT(A518,3)</f>
        <v>P5_EXP3_C_A_AI_002</v>
      </c>
      <c r="M518" s="45"/>
      <c r="N518" s="45"/>
      <c r="O518" s="46"/>
      <c r="P518" s="46"/>
      <c r="Q518" s="46"/>
      <c r="R518" s="47"/>
      <c r="S518" s="45"/>
      <c r="T518" s="45"/>
      <c r="U518" s="48" t="str">
        <f aca="false">IF(O518&gt;0,P518/O518,"")</f>
        <v/>
      </c>
      <c r="V518" s="49" t="str">
        <f aca="false">IF(P518&gt;0,Q518/P518,"")</f>
        <v/>
      </c>
      <c r="W518" s="50" t="n">
        <f aca="false">IF(R518&lt;&gt;"",R518,Q518*'Cài đặt'!$B$12)</f>
        <v>0</v>
      </c>
      <c r="X518" s="50" t="str">
        <f aca="false">IF(O518&gt;0,W518/O518*1000,"")</f>
        <v/>
      </c>
      <c r="Y518" s="51" t="n">
        <f aca="false">IF(T518&lt;&gt;"",T518,INDEX('Cài đặt'!$B$20:$C$22,MATCH(I518,'Cài đặt'!$A$20:$A$22,0),IF(K518="AI tự động",1,2)))</f>
        <v>4</v>
      </c>
    </row>
    <row r="519" customFormat="false" ht="15" hidden="false" customHeight="false" outlineLevel="0" collapsed="false">
      <c r="A519" s="41" t="s">
        <v>969</v>
      </c>
      <c r="B519" s="41" t="s">
        <v>958</v>
      </c>
      <c r="C519" s="41" t="s">
        <v>193</v>
      </c>
      <c r="D519" s="42" t="str">
        <f aca="false">INDEX('Page và Ngách'!$B$5:$B$10,MATCH(C519,'Page và Ngách'!$A$5:$A$10,0))</f>
        <v>Second chance / Secret baby</v>
      </c>
      <c r="E519" s="41" t="n">
        <v>1</v>
      </c>
      <c r="F519" s="43" t="n">
        <f aca="false">'Cài đặt'!$B$39+E519-1</f>
        <v>46377</v>
      </c>
      <c r="G519" s="41" t="s">
        <v>444</v>
      </c>
      <c r="H519" s="44" t="str">
        <f aca="false">IF(G519="S1",'Cài đặt'!$B$7,'Cài đặt'!$B$8)</f>
        <v>12:00</v>
      </c>
      <c r="I519" s="44" t="str">
        <f aca="false">'Cài đặt'!$B$32</f>
        <v>Carousel</v>
      </c>
      <c r="J519" s="44" t="str">
        <f aca="false">'Cài đặt'!$B$33</f>
        <v>A</v>
      </c>
      <c r="K519" s="41" t="s">
        <v>445</v>
      </c>
      <c r="L519" s="42" t="str">
        <f aca="false">C519&amp;"_"&amp;B519&amp;"_"&amp;IF(I519="Reel","R",IF(I519="Carousel","C","I"))&amp;"_"&amp;J519&amp;"_"&amp;IF(K519="AI tự động","AI","HU")&amp;"_"&amp;RIGHT(A519,3)</f>
        <v>P6_EXP3_C_A_AI_001</v>
      </c>
      <c r="M519" s="45"/>
      <c r="N519" s="45"/>
      <c r="O519" s="46"/>
      <c r="P519" s="46"/>
      <c r="Q519" s="46"/>
      <c r="R519" s="47"/>
      <c r="S519" s="45"/>
      <c r="T519" s="45"/>
      <c r="U519" s="48" t="str">
        <f aca="false">IF(O519&gt;0,P519/O519,"")</f>
        <v/>
      </c>
      <c r="V519" s="49" t="str">
        <f aca="false">IF(P519&gt;0,Q519/P519,"")</f>
        <v/>
      </c>
      <c r="W519" s="50" t="n">
        <f aca="false">IF(R519&lt;&gt;"",R519,Q519*'Cài đặt'!$B$12)</f>
        <v>0</v>
      </c>
      <c r="X519" s="50" t="str">
        <f aca="false">IF(O519&gt;0,W519/O519*1000,"")</f>
        <v/>
      </c>
      <c r="Y519" s="51" t="n">
        <f aca="false">IF(T519&lt;&gt;"",T519,INDEX('Cài đặt'!$B$20:$C$22,MATCH(I519,'Cài đặt'!$A$20:$A$22,0),IF(K519="AI tự động",1,2)))</f>
        <v>4</v>
      </c>
    </row>
    <row r="520" customFormat="false" ht="15" hidden="false" customHeight="false" outlineLevel="0" collapsed="false">
      <c r="A520" s="41" t="s">
        <v>970</v>
      </c>
      <c r="B520" s="41" t="s">
        <v>958</v>
      </c>
      <c r="C520" s="41" t="s">
        <v>193</v>
      </c>
      <c r="D520" s="42" t="str">
        <f aca="false">INDEX('Page và Ngách'!$B$5:$B$10,MATCH(C520,'Page và Ngách'!$A$5:$A$10,0))</f>
        <v>Second chance / Secret baby</v>
      </c>
      <c r="E520" s="41" t="n">
        <v>1</v>
      </c>
      <c r="F520" s="43" t="n">
        <f aca="false">'Cài đặt'!$B$39+E520-1</f>
        <v>46377</v>
      </c>
      <c r="G520" s="41" t="s">
        <v>451</v>
      </c>
      <c r="H520" s="44" t="str">
        <f aca="false">IF(G520="S1",'Cài đặt'!$B$7,'Cài đặt'!$B$8)</f>
        <v>20:00</v>
      </c>
      <c r="I520" s="44" t="str">
        <f aca="false">'Cài đặt'!$B$32</f>
        <v>Carousel</v>
      </c>
      <c r="J520" s="44" t="str">
        <f aca="false">'Cài đặt'!$B$33</f>
        <v>A</v>
      </c>
      <c r="K520" s="41" t="s">
        <v>445</v>
      </c>
      <c r="L520" s="42" t="str">
        <f aca="false">C520&amp;"_"&amp;B520&amp;"_"&amp;IF(I520="Reel","R",IF(I520="Carousel","C","I"))&amp;"_"&amp;J520&amp;"_"&amp;IF(K520="AI tự động","AI","HU")&amp;"_"&amp;RIGHT(A520,3)</f>
        <v>P6_EXP3_C_A_AI_002</v>
      </c>
      <c r="M520" s="45"/>
      <c r="N520" s="45"/>
      <c r="O520" s="46"/>
      <c r="P520" s="46"/>
      <c r="Q520" s="46"/>
      <c r="R520" s="47"/>
      <c r="S520" s="45"/>
      <c r="T520" s="45"/>
      <c r="U520" s="48" t="str">
        <f aca="false">IF(O520&gt;0,P520/O520,"")</f>
        <v/>
      </c>
      <c r="V520" s="49" t="str">
        <f aca="false">IF(P520&gt;0,Q520/P520,"")</f>
        <v/>
      </c>
      <c r="W520" s="50" t="n">
        <f aca="false">IF(R520&lt;&gt;"",R520,Q520*'Cài đặt'!$B$12)</f>
        <v>0</v>
      </c>
      <c r="X520" s="50" t="str">
        <f aca="false">IF(O520&gt;0,W520/O520*1000,"")</f>
        <v/>
      </c>
      <c r="Y520" s="51" t="n">
        <f aca="false">IF(T520&lt;&gt;"",T520,INDEX('Cài đặt'!$B$20:$C$22,MATCH(I520,'Cài đặt'!$A$20:$A$22,0),IF(K520="AI tự động",1,2)))</f>
        <v>4</v>
      </c>
    </row>
    <row r="521" customFormat="false" ht="15" hidden="false" customHeight="false" outlineLevel="0" collapsed="false">
      <c r="A521" s="41" t="s">
        <v>971</v>
      </c>
      <c r="B521" s="41" t="s">
        <v>958</v>
      </c>
      <c r="C521" s="41" t="s">
        <v>154</v>
      </c>
      <c r="D521" s="42" t="str">
        <f aca="false">INDEX('Page và Ngách'!$B$5:$B$10,MATCH(C521,'Page và Ngách'!$A$5:$A$10,0))</f>
        <v>Werewolf / Rejected mate</v>
      </c>
      <c r="E521" s="41" t="n">
        <v>2</v>
      </c>
      <c r="F521" s="43" t="n">
        <f aca="false">'Cài đặt'!$B$39+E521-1</f>
        <v>46378</v>
      </c>
      <c r="G521" s="41" t="s">
        <v>444</v>
      </c>
      <c r="H521" s="44" t="str">
        <f aca="false">IF(G521="S1",'Cài đặt'!$B$7,'Cài đặt'!$B$8)</f>
        <v>12:00</v>
      </c>
      <c r="I521" s="44" t="str">
        <f aca="false">'Cài đặt'!$B$32</f>
        <v>Carousel</v>
      </c>
      <c r="J521" s="44" t="str">
        <f aca="false">'Cài đặt'!$B$33</f>
        <v>A</v>
      </c>
      <c r="K521" s="41" t="s">
        <v>961</v>
      </c>
      <c r="L521" s="42" t="str">
        <f aca="false">C521&amp;"_"&amp;B521&amp;"_"&amp;IF(I521="Reel","R",IF(I521="Carousel","C","I"))&amp;"_"&amp;J521&amp;"_"&amp;IF(K521="AI tự động","AI","HU")&amp;"_"&amp;RIGHT(A521,3)</f>
        <v>P1_EXP3_C_A_HU_003</v>
      </c>
      <c r="M521" s="45"/>
      <c r="N521" s="45"/>
      <c r="O521" s="46"/>
      <c r="P521" s="46"/>
      <c r="Q521" s="46"/>
      <c r="R521" s="47"/>
      <c r="S521" s="45"/>
      <c r="T521" s="45"/>
      <c r="U521" s="48" t="str">
        <f aca="false">IF(O521&gt;0,P521/O521,"")</f>
        <v/>
      </c>
      <c r="V521" s="49" t="str">
        <f aca="false">IF(P521&gt;0,Q521/P521,"")</f>
        <v/>
      </c>
      <c r="W521" s="50" t="n">
        <f aca="false">IF(R521&lt;&gt;"",R521,Q521*'Cài đặt'!$B$12)</f>
        <v>0</v>
      </c>
      <c r="X521" s="50" t="str">
        <f aca="false">IF(O521&gt;0,W521/O521*1000,"")</f>
        <v/>
      </c>
      <c r="Y521" s="51" t="n">
        <f aca="false">IF(T521&lt;&gt;"",T521,INDEX('Cài đặt'!$B$20:$C$22,MATCH(I521,'Cài đặt'!$A$20:$A$22,0),IF(K521="AI tự động",1,2)))</f>
        <v>25</v>
      </c>
    </row>
    <row r="522" customFormat="false" ht="15" hidden="false" customHeight="false" outlineLevel="0" collapsed="false">
      <c r="A522" s="41" t="s">
        <v>972</v>
      </c>
      <c r="B522" s="41" t="s">
        <v>958</v>
      </c>
      <c r="C522" s="41" t="s">
        <v>154</v>
      </c>
      <c r="D522" s="42" t="str">
        <f aca="false">INDEX('Page và Ngách'!$B$5:$B$10,MATCH(C522,'Page và Ngách'!$A$5:$A$10,0))</f>
        <v>Werewolf / Rejected mate</v>
      </c>
      <c r="E522" s="41" t="n">
        <v>2</v>
      </c>
      <c r="F522" s="43" t="n">
        <f aca="false">'Cài đặt'!$B$39+E522-1</f>
        <v>46378</v>
      </c>
      <c r="G522" s="41" t="s">
        <v>451</v>
      </c>
      <c r="H522" s="44" t="str">
        <f aca="false">IF(G522="S1",'Cài đặt'!$B$7,'Cài đặt'!$B$8)</f>
        <v>20:00</v>
      </c>
      <c r="I522" s="44" t="str">
        <f aca="false">'Cài đặt'!$B$32</f>
        <v>Carousel</v>
      </c>
      <c r="J522" s="44" t="str">
        <f aca="false">'Cài đặt'!$B$33</f>
        <v>A</v>
      </c>
      <c r="K522" s="41" t="s">
        <v>445</v>
      </c>
      <c r="L522" s="42" t="str">
        <f aca="false">C522&amp;"_"&amp;B522&amp;"_"&amp;IF(I522="Reel","R",IF(I522="Carousel","C","I"))&amp;"_"&amp;J522&amp;"_"&amp;IF(K522="AI tự động","AI","HU")&amp;"_"&amp;RIGHT(A522,3)</f>
        <v>P1_EXP3_C_A_AI_004</v>
      </c>
      <c r="M522" s="45"/>
      <c r="N522" s="45"/>
      <c r="O522" s="46"/>
      <c r="P522" s="46"/>
      <c r="Q522" s="46"/>
      <c r="R522" s="47"/>
      <c r="S522" s="45"/>
      <c r="T522" s="45"/>
      <c r="U522" s="48" t="str">
        <f aca="false">IF(O522&gt;0,P522/O522,"")</f>
        <v/>
      </c>
      <c r="V522" s="49" t="str">
        <f aca="false">IF(P522&gt;0,Q522/P522,"")</f>
        <v/>
      </c>
      <c r="W522" s="50" t="n">
        <f aca="false">IF(R522&lt;&gt;"",R522,Q522*'Cài đặt'!$B$12)</f>
        <v>0</v>
      </c>
      <c r="X522" s="50" t="str">
        <f aca="false">IF(O522&gt;0,W522/O522*1000,"")</f>
        <v/>
      </c>
      <c r="Y522" s="51" t="n">
        <f aca="false">IF(T522&lt;&gt;"",T522,INDEX('Cài đặt'!$B$20:$C$22,MATCH(I522,'Cài đặt'!$A$20:$A$22,0),IF(K522="AI tự động",1,2)))</f>
        <v>4</v>
      </c>
    </row>
    <row r="523" customFormat="false" ht="15" hidden="false" customHeight="false" outlineLevel="0" collapsed="false">
      <c r="A523" s="41" t="s">
        <v>973</v>
      </c>
      <c r="B523" s="41" t="s">
        <v>958</v>
      </c>
      <c r="C523" s="41" t="s">
        <v>163</v>
      </c>
      <c r="D523" s="42" t="str">
        <f aca="false">INDEX('Page và Ngách'!$B$5:$B$10,MATCH(C523,'Page và Ngách'!$A$5:$A$10,0))</f>
        <v>Secret billionaire / CEO</v>
      </c>
      <c r="E523" s="41" t="n">
        <v>2</v>
      </c>
      <c r="F523" s="43" t="n">
        <f aca="false">'Cài đặt'!$B$39+E523-1</f>
        <v>46378</v>
      </c>
      <c r="G523" s="41" t="s">
        <v>444</v>
      </c>
      <c r="H523" s="44" t="str">
        <f aca="false">IF(G523="S1",'Cài đặt'!$B$7,'Cài đặt'!$B$8)</f>
        <v>12:00</v>
      </c>
      <c r="I523" s="44" t="str">
        <f aca="false">'Cài đặt'!$B$32</f>
        <v>Carousel</v>
      </c>
      <c r="J523" s="44" t="str">
        <f aca="false">'Cài đặt'!$B$33</f>
        <v>A</v>
      </c>
      <c r="K523" s="41" t="s">
        <v>445</v>
      </c>
      <c r="L523" s="42" t="str">
        <f aca="false">C523&amp;"_"&amp;B523&amp;"_"&amp;IF(I523="Reel","R",IF(I523="Carousel","C","I"))&amp;"_"&amp;J523&amp;"_"&amp;IF(K523="AI tự động","AI","HU")&amp;"_"&amp;RIGHT(A523,3)</f>
        <v>P2_EXP3_C_A_AI_003</v>
      </c>
      <c r="M523" s="45"/>
      <c r="N523" s="45"/>
      <c r="O523" s="46"/>
      <c r="P523" s="46"/>
      <c r="Q523" s="46"/>
      <c r="R523" s="47"/>
      <c r="S523" s="45"/>
      <c r="T523" s="45"/>
      <c r="U523" s="48" t="str">
        <f aca="false">IF(O523&gt;0,P523/O523,"")</f>
        <v/>
      </c>
      <c r="V523" s="49" t="str">
        <f aca="false">IF(P523&gt;0,Q523/P523,"")</f>
        <v/>
      </c>
      <c r="W523" s="50" t="n">
        <f aca="false">IF(R523&lt;&gt;"",R523,Q523*'Cài đặt'!$B$12)</f>
        <v>0</v>
      </c>
      <c r="X523" s="50" t="str">
        <f aca="false">IF(O523&gt;0,W523/O523*1000,"")</f>
        <v/>
      </c>
      <c r="Y523" s="51" t="n">
        <f aca="false">IF(T523&lt;&gt;"",T523,INDEX('Cài đặt'!$B$20:$C$22,MATCH(I523,'Cài đặt'!$A$20:$A$22,0),IF(K523="AI tự động",1,2)))</f>
        <v>4</v>
      </c>
    </row>
    <row r="524" customFormat="false" ht="15" hidden="false" customHeight="false" outlineLevel="0" collapsed="false">
      <c r="A524" s="41" t="s">
        <v>974</v>
      </c>
      <c r="B524" s="41" t="s">
        <v>958</v>
      </c>
      <c r="C524" s="41" t="s">
        <v>163</v>
      </c>
      <c r="D524" s="42" t="str">
        <f aca="false">INDEX('Page và Ngách'!$B$5:$B$10,MATCH(C524,'Page và Ngách'!$A$5:$A$10,0))</f>
        <v>Secret billionaire / CEO</v>
      </c>
      <c r="E524" s="41" t="n">
        <v>2</v>
      </c>
      <c r="F524" s="43" t="n">
        <f aca="false">'Cài đặt'!$B$39+E524-1</f>
        <v>46378</v>
      </c>
      <c r="G524" s="41" t="s">
        <v>451</v>
      </c>
      <c r="H524" s="44" t="str">
        <f aca="false">IF(G524="S1",'Cài đặt'!$B$7,'Cài đặt'!$B$8)</f>
        <v>20:00</v>
      </c>
      <c r="I524" s="44" t="str">
        <f aca="false">'Cài đặt'!$B$32</f>
        <v>Carousel</v>
      </c>
      <c r="J524" s="44" t="str">
        <f aca="false">'Cài đặt'!$B$33</f>
        <v>A</v>
      </c>
      <c r="K524" s="41" t="s">
        <v>445</v>
      </c>
      <c r="L524" s="42" t="str">
        <f aca="false">C524&amp;"_"&amp;B524&amp;"_"&amp;IF(I524="Reel","R",IF(I524="Carousel","C","I"))&amp;"_"&amp;J524&amp;"_"&amp;IF(K524="AI tự động","AI","HU")&amp;"_"&amp;RIGHT(A524,3)</f>
        <v>P2_EXP3_C_A_AI_004</v>
      </c>
      <c r="M524" s="45"/>
      <c r="N524" s="45"/>
      <c r="O524" s="46"/>
      <c r="P524" s="46"/>
      <c r="Q524" s="46"/>
      <c r="R524" s="47"/>
      <c r="S524" s="45"/>
      <c r="T524" s="45"/>
      <c r="U524" s="48" t="str">
        <f aca="false">IF(O524&gt;0,P524/O524,"")</f>
        <v/>
      </c>
      <c r="V524" s="49" t="str">
        <f aca="false">IF(P524&gt;0,Q524/P524,"")</f>
        <v/>
      </c>
      <c r="W524" s="50" t="n">
        <f aca="false">IF(R524&lt;&gt;"",R524,Q524*'Cài đặt'!$B$12)</f>
        <v>0</v>
      </c>
      <c r="X524" s="50" t="str">
        <f aca="false">IF(O524&gt;0,W524/O524*1000,"")</f>
        <v/>
      </c>
      <c r="Y524" s="51" t="n">
        <f aca="false">IF(T524&lt;&gt;"",T524,INDEX('Cài đặt'!$B$20:$C$22,MATCH(I524,'Cài đặt'!$A$20:$A$22,0),IF(K524="AI tự động",1,2)))</f>
        <v>4</v>
      </c>
    </row>
    <row r="525" customFormat="false" ht="15" hidden="false" customHeight="false" outlineLevel="0" collapsed="false">
      <c r="A525" s="41" t="s">
        <v>975</v>
      </c>
      <c r="B525" s="41" t="s">
        <v>958</v>
      </c>
      <c r="C525" s="41" t="s">
        <v>171</v>
      </c>
      <c r="D525" s="42" t="str">
        <f aca="false">INDEX('Page và Ngách'!$B$5:$B$10,MATCH(C525,'Page và Ngách'!$A$5:$A$10,0))</f>
        <v>Contract marriage / Fake relationship</v>
      </c>
      <c r="E525" s="41" t="n">
        <v>2</v>
      </c>
      <c r="F525" s="43" t="n">
        <f aca="false">'Cài đặt'!$B$39+E525-1</f>
        <v>46378</v>
      </c>
      <c r="G525" s="41" t="s">
        <v>444</v>
      </c>
      <c r="H525" s="44" t="str">
        <f aca="false">IF(G525="S1",'Cài đặt'!$B$7,'Cài đặt'!$B$8)</f>
        <v>12:00</v>
      </c>
      <c r="I525" s="44" t="str">
        <f aca="false">'Cài đặt'!$B$32</f>
        <v>Carousel</v>
      </c>
      <c r="J525" s="44" t="str">
        <f aca="false">'Cài đặt'!$B$33</f>
        <v>A</v>
      </c>
      <c r="K525" s="41" t="s">
        <v>445</v>
      </c>
      <c r="L525" s="42" t="str">
        <f aca="false">C525&amp;"_"&amp;B525&amp;"_"&amp;IF(I525="Reel","R",IF(I525="Carousel","C","I"))&amp;"_"&amp;J525&amp;"_"&amp;IF(K525="AI tự động","AI","HU")&amp;"_"&amp;RIGHT(A525,3)</f>
        <v>P3_EXP3_C_A_AI_003</v>
      </c>
      <c r="M525" s="45"/>
      <c r="N525" s="45"/>
      <c r="O525" s="46"/>
      <c r="P525" s="46"/>
      <c r="Q525" s="46"/>
      <c r="R525" s="47"/>
      <c r="S525" s="45"/>
      <c r="T525" s="45"/>
      <c r="U525" s="48" t="str">
        <f aca="false">IF(O525&gt;0,P525/O525,"")</f>
        <v/>
      </c>
      <c r="V525" s="49" t="str">
        <f aca="false">IF(P525&gt;0,Q525/P525,"")</f>
        <v/>
      </c>
      <c r="W525" s="50" t="n">
        <f aca="false">IF(R525&lt;&gt;"",R525,Q525*'Cài đặt'!$B$12)</f>
        <v>0</v>
      </c>
      <c r="X525" s="50" t="str">
        <f aca="false">IF(O525&gt;0,W525/O525*1000,"")</f>
        <v/>
      </c>
      <c r="Y525" s="51" t="n">
        <f aca="false">IF(T525&lt;&gt;"",T525,INDEX('Cài đặt'!$B$20:$C$22,MATCH(I525,'Cài đặt'!$A$20:$A$22,0),IF(K525="AI tự động",1,2)))</f>
        <v>4</v>
      </c>
    </row>
    <row r="526" customFormat="false" ht="15" hidden="false" customHeight="false" outlineLevel="0" collapsed="false">
      <c r="A526" s="41" t="s">
        <v>976</v>
      </c>
      <c r="B526" s="41" t="s">
        <v>958</v>
      </c>
      <c r="C526" s="41" t="s">
        <v>171</v>
      </c>
      <c r="D526" s="42" t="str">
        <f aca="false">INDEX('Page và Ngách'!$B$5:$B$10,MATCH(C526,'Page và Ngách'!$A$5:$A$10,0))</f>
        <v>Contract marriage / Fake relationship</v>
      </c>
      <c r="E526" s="41" t="n">
        <v>2</v>
      </c>
      <c r="F526" s="43" t="n">
        <f aca="false">'Cài đặt'!$B$39+E526-1</f>
        <v>46378</v>
      </c>
      <c r="G526" s="41" t="s">
        <v>451</v>
      </c>
      <c r="H526" s="44" t="str">
        <f aca="false">IF(G526="S1",'Cài đặt'!$B$7,'Cài đặt'!$B$8)</f>
        <v>20:00</v>
      </c>
      <c r="I526" s="44" t="str">
        <f aca="false">'Cài đặt'!$B$32</f>
        <v>Carousel</v>
      </c>
      <c r="J526" s="44" t="str">
        <f aca="false">'Cài đặt'!$B$33</f>
        <v>A</v>
      </c>
      <c r="K526" s="41" t="s">
        <v>961</v>
      </c>
      <c r="L526" s="42" t="str">
        <f aca="false">C526&amp;"_"&amp;B526&amp;"_"&amp;IF(I526="Reel","R",IF(I526="Carousel","C","I"))&amp;"_"&amp;J526&amp;"_"&amp;IF(K526="AI tự động","AI","HU")&amp;"_"&amp;RIGHT(A526,3)</f>
        <v>P3_EXP3_C_A_HU_004</v>
      </c>
      <c r="M526" s="45"/>
      <c r="N526" s="45"/>
      <c r="O526" s="46"/>
      <c r="P526" s="46"/>
      <c r="Q526" s="46"/>
      <c r="R526" s="47"/>
      <c r="S526" s="45"/>
      <c r="T526" s="45"/>
      <c r="U526" s="48" t="str">
        <f aca="false">IF(O526&gt;0,P526/O526,"")</f>
        <v/>
      </c>
      <c r="V526" s="49" t="str">
        <f aca="false">IF(P526&gt;0,Q526/P526,"")</f>
        <v/>
      </c>
      <c r="W526" s="50" t="n">
        <f aca="false">IF(R526&lt;&gt;"",R526,Q526*'Cài đặt'!$B$12)</f>
        <v>0</v>
      </c>
      <c r="X526" s="50" t="str">
        <f aca="false">IF(O526&gt;0,W526/O526*1000,"")</f>
        <v/>
      </c>
      <c r="Y526" s="51" t="n">
        <f aca="false">IF(T526&lt;&gt;"",T526,INDEX('Cài đặt'!$B$20:$C$22,MATCH(I526,'Cài đặt'!$A$20:$A$22,0),IF(K526="AI tự động",1,2)))</f>
        <v>25</v>
      </c>
    </row>
    <row r="527" customFormat="false" ht="15" hidden="false" customHeight="false" outlineLevel="0" collapsed="false">
      <c r="A527" s="41" t="s">
        <v>977</v>
      </c>
      <c r="B527" s="41" t="s">
        <v>958</v>
      </c>
      <c r="C527" s="41" t="s">
        <v>178</v>
      </c>
      <c r="D527" s="42" t="str">
        <f aca="false">INDEX('Page và Ngách'!$B$5:$B$10,MATCH(C527,'Page và Ngách'!$A$5:$A$10,0))</f>
        <v>Revenge / Betrayal ("you'll regret it")</v>
      </c>
      <c r="E527" s="41" t="n">
        <v>2</v>
      </c>
      <c r="F527" s="43" t="n">
        <f aca="false">'Cài đặt'!$B$39+E527-1</f>
        <v>46378</v>
      </c>
      <c r="G527" s="41" t="s">
        <v>444</v>
      </c>
      <c r="H527" s="44" t="str">
        <f aca="false">IF(G527="S1",'Cài đặt'!$B$7,'Cài đặt'!$B$8)</f>
        <v>12:00</v>
      </c>
      <c r="I527" s="44" t="str">
        <f aca="false">'Cài đặt'!$B$32</f>
        <v>Carousel</v>
      </c>
      <c r="J527" s="44" t="str">
        <f aca="false">'Cài đặt'!$B$33</f>
        <v>A</v>
      </c>
      <c r="K527" s="41" t="s">
        <v>445</v>
      </c>
      <c r="L527" s="42" t="str">
        <f aca="false">C527&amp;"_"&amp;B527&amp;"_"&amp;IF(I527="Reel","R",IF(I527="Carousel","C","I"))&amp;"_"&amp;J527&amp;"_"&amp;IF(K527="AI tự động","AI","HU")&amp;"_"&amp;RIGHT(A527,3)</f>
        <v>P4_EXP3_C_A_AI_003</v>
      </c>
      <c r="M527" s="45"/>
      <c r="N527" s="45"/>
      <c r="O527" s="46"/>
      <c r="P527" s="46"/>
      <c r="Q527" s="46"/>
      <c r="R527" s="47"/>
      <c r="S527" s="45"/>
      <c r="T527" s="45"/>
      <c r="U527" s="48" t="str">
        <f aca="false">IF(O527&gt;0,P527/O527,"")</f>
        <v/>
      </c>
      <c r="V527" s="49" t="str">
        <f aca="false">IF(P527&gt;0,Q527/P527,"")</f>
        <v/>
      </c>
      <c r="W527" s="50" t="n">
        <f aca="false">IF(R527&lt;&gt;"",R527,Q527*'Cài đặt'!$B$12)</f>
        <v>0</v>
      </c>
      <c r="X527" s="50" t="str">
        <f aca="false">IF(O527&gt;0,W527/O527*1000,"")</f>
        <v/>
      </c>
      <c r="Y527" s="51" t="n">
        <f aca="false">IF(T527&lt;&gt;"",T527,INDEX('Cài đặt'!$B$20:$C$22,MATCH(I527,'Cài đặt'!$A$20:$A$22,0),IF(K527="AI tự động",1,2)))</f>
        <v>4</v>
      </c>
    </row>
    <row r="528" customFormat="false" ht="15" hidden="false" customHeight="false" outlineLevel="0" collapsed="false">
      <c r="A528" s="41" t="s">
        <v>978</v>
      </c>
      <c r="B528" s="41" t="s">
        <v>958</v>
      </c>
      <c r="C528" s="41" t="s">
        <v>178</v>
      </c>
      <c r="D528" s="42" t="str">
        <f aca="false">INDEX('Page và Ngách'!$B$5:$B$10,MATCH(C528,'Page và Ngách'!$A$5:$A$10,0))</f>
        <v>Revenge / Betrayal ("you'll regret it")</v>
      </c>
      <c r="E528" s="41" t="n">
        <v>2</v>
      </c>
      <c r="F528" s="43" t="n">
        <f aca="false">'Cài đặt'!$B$39+E528-1</f>
        <v>46378</v>
      </c>
      <c r="G528" s="41" t="s">
        <v>451</v>
      </c>
      <c r="H528" s="44" t="str">
        <f aca="false">IF(G528="S1",'Cài đặt'!$B$7,'Cài đặt'!$B$8)</f>
        <v>20:00</v>
      </c>
      <c r="I528" s="44" t="str">
        <f aca="false">'Cài đặt'!$B$32</f>
        <v>Carousel</v>
      </c>
      <c r="J528" s="44" t="str">
        <f aca="false">'Cài đặt'!$B$33</f>
        <v>A</v>
      </c>
      <c r="K528" s="41" t="s">
        <v>445</v>
      </c>
      <c r="L528" s="42" t="str">
        <f aca="false">C528&amp;"_"&amp;B528&amp;"_"&amp;IF(I528="Reel","R",IF(I528="Carousel","C","I"))&amp;"_"&amp;J528&amp;"_"&amp;IF(K528="AI tự động","AI","HU")&amp;"_"&amp;RIGHT(A528,3)</f>
        <v>P4_EXP3_C_A_AI_004</v>
      </c>
      <c r="M528" s="45"/>
      <c r="N528" s="45"/>
      <c r="O528" s="46"/>
      <c r="P528" s="46"/>
      <c r="Q528" s="46"/>
      <c r="R528" s="47"/>
      <c r="S528" s="45"/>
      <c r="T528" s="45"/>
      <c r="U528" s="48" t="str">
        <f aca="false">IF(O528&gt;0,P528/O528,"")</f>
        <v/>
      </c>
      <c r="V528" s="49" t="str">
        <f aca="false">IF(P528&gt;0,Q528/P528,"")</f>
        <v/>
      </c>
      <c r="W528" s="50" t="n">
        <f aca="false">IF(R528&lt;&gt;"",R528,Q528*'Cài đặt'!$B$12)</f>
        <v>0</v>
      </c>
      <c r="X528" s="50" t="str">
        <f aca="false">IF(O528&gt;0,W528/O528*1000,"")</f>
        <v/>
      </c>
      <c r="Y528" s="51" t="n">
        <f aca="false">IF(T528&lt;&gt;"",T528,INDEX('Cài đặt'!$B$20:$C$22,MATCH(I528,'Cài đặt'!$A$20:$A$22,0),IF(K528="AI tự động",1,2)))</f>
        <v>4</v>
      </c>
    </row>
    <row r="529" customFormat="false" ht="15" hidden="false" customHeight="false" outlineLevel="0" collapsed="false">
      <c r="A529" s="41" t="s">
        <v>979</v>
      </c>
      <c r="B529" s="41" t="s">
        <v>958</v>
      </c>
      <c r="C529" s="41" t="s">
        <v>185</v>
      </c>
      <c r="D529" s="42" t="str">
        <f aca="false">INDEX('Page và Ngách'!$B$5:$B$10,MATCH(C529,'Page và Ngách'!$A$5:$A$10,0))</f>
        <v>Mafia / Dark romance (teaser PG-13)</v>
      </c>
      <c r="E529" s="41" t="n">
        <v>2</v>
      </c>
      <c r="F529" s="43" t="n">
        <f aca="false">'Cài đặt'!$B$39+E529-1</f>
        <v>46378</v>
      </c>
      <c r="G529" s="41" t="s">
        <v>444</v>
      </c>
      <c r="H529" s="44" t="str">
        <f aca="false">IF(G529="S1",'Cài đặt'!$B$7,'Cài đặt'!$B$8)</f>
        <v>12:00</v>
      </c>
      <c r="I529" s="44" t="str">
        <f aca="false">'Cài đặt'!$B$32</f>
        <v>Carousel</v>
      </c>
      <c r="J529" s="44" t="str">
        <f aca="false">'Cài đặt'!$B$33</f>
        <v>A</v>
      </c>
      <c r="K529" s="41" t="s">
        <v>445</v>
      </c>
      <c r="L529" s="42" t="str">
        <f aca="false">C529&amp;"_"&amp;B529&amp;"_"&amp;IF(I529="Reel","R",IF(I529="Carousel","C","I"))&amp;"_"&amp;J529&amp;"_"&amp;IF(K529="AI tự động","AI","HU")&amp;"_"&amp;RIGHT(A529,3)</f>
        <v>P5_EXP3_C_A_AI_003</v>
      </c>
      <c r="M529" s="45"/>
      <c r="N529" s="45"/>
      <c r="O529" s="46"/>
      <c r="P529" s="46"/>
      <c r="Q529" s="46"/>
      <c r="R529" s="47"/>
      <c r="S529" s="45"/>
      <c r="T529" s="45"/>
      <c r="U529" s="48" t="str">
        <f aca="false">IF(O529&gt;0,P529/O529,"")</f>
        <v/>
      </c>
      <c r="V529" s="49" t="str">
        <f aca="false">IF(P529&gt;0,Q529/P529,"")</f>
        <v/>
      </c>
      <c r="W529" s="50" t="n">
        <f aca="false">IF(R529&lt;&gt;"",R529,Q529*'Cài đặt'!$B$12)</f>
        <v>0</v>
      </c>
      <c r="X529" s="50" t="str">
        <f aca="false">IF(O529&gt;0,W529/O529*1000,"")</f>
        <v/>
      </c>
      <c r="Y529" s="51" t="n">
        <f aca="false">IF(T529&lt;&gt;"",T529,INDEX('Cài đặt'!$B$20:$C$22,MATCH(I529,'Cài đặt'!$A$20:$A$22,0),IF(K529="AI tự động",1,2)))</f>
        <v>4</v>
      </c>
    </row>
    <row r="530" customFormat="false" ht="15" hidden="false" customHeight="false" outlineLevel="0" collapsed="false">
      <c r="A530" s="41" t="s">
        <v>980</v>
      </c>
      <c r="B530" s="41" t="s">
        <v>958</v>
      </c>
      <c r="C530" s="41" t="s">
        <v>185</v>
      </c>
      <c r="D530" s="42" t="str">
        <f aca="false">INDEX('Page và Ngách'!$B$5:$B$10,MATCH(C530,'Page và Ngách'!$A$5:$A$10,0))</f>
        <v>Mafia / Dark romance (teaser PG-13)</v>
      </c>
      <c r="E530" s="41" t="n">
        <v>2</v>
      </c>
      <c r="F530" s="43" t="n">
        <f aca="false">'Cài đặt'!$B$39+E530-1</f>
        <v>46378</v>
      </c>
      <c r="G530" s="41" t="s">
        <v>451</v>
      </c>
      <c r="H530" s="44" t="str">
        <f aca="false">IF(G530="S1",'Cài đặt'!$B$7,'Cài đặt'!$B$8)</f>
        <v>20:00</v>
      </c>
      <c r="I530" s="44" t="str">
        <f aca="false">'Cài đặt'!$B$32</f>
        <v>Carousel</v>
      </c>
      <c r="J530" s="44" t="str">
        <f aca="false">'Cài đặt'!$B$33</f>
        <v>A</v>
      </c>
      <c r="K530" s="41" t="s">
        <v>445</v>
      </c>
      <c r="L530" s="42" t="str">
        <f aca="false">C530&amp;"_"&amp;B530&amp;"_"&amp;IF(I530="Reel","R",IF(I530="Carousel","C","I"))&amp;"_"&amp;J530&amp;"_"&amp;IF(K530="AI tự động","AI","HU")&amp;"_"&amp;RIGHT(A530,3)</f>
        <v>P5_EXP3_C_A_AI_004</v>
      </c>
      <c r="M530" s="45"/>
      <c r="N530" s="45"/>
      <c r="O530" s="46"/>
      <c r="P530" s="46"/>
      <c r="Q530" s="46"/>
      <c r="R530" s="47"/>
      <c r="S530" s="45"/>
      <c r="T530" s="45"/>
      <c r="U530" s="48" t="str">
        <f aca="false">IF(O530&gt;0,P530/O530,"")</f>
        <v/>
      </c>
      <c r="V530" s="49" t="str">
        <f aca="false">IF(P530&gt;0,Q530/P530,"")</f>
        <v/>
      </c>
      <c r="W530" s="50" t="n">
        <f aca="false">IF(R530&lt;&gt;"",R530,Q530*'Cài đặt'!$B$12)</f>
        <v>0</v>
      </c>
      <c r="X530" s="50" t="str">
        <f aca="false">IF(O530&gt;0,W530/O530*1000,"")</f>
        <v/>
      </c>
      <c r="Y530" s="51" t="n">
        <f aca="false">IF(T530&lt;&gt;"",T530,INDEX('Cài đặt'!$B$20:$C$22,MATCH(I530,'Cài đặt'!$A$20:$A$22,0),IF(K530="AI tự động",1,2)))</f>
        <v>4</v>
      </c>
    </row>
    <row r="531" customFormat="false" ht="15" hidden="false" customHeight="false" outlineLevel="0" collapsed="false">
      <c r="A531" s="41" t="s">
        <v>981</v>
      </c>
      <c r="B531" s="41" t="s">
        <v>958</v>
      </c>
      <c r="C531" s="41" t="s">
        <v>193</v>
      </c>
      <c r="D531" s="42" t="str">
        <f aca="false">INDEX('Page và Ngách'!$B$5:$B$10,MATCH(C531,'Page và Ngách'!$A$5:$A$10,0))</f>
        <v>Second chance / Secret baby</v>
      </c>
      <c r="E531" s="41" t="n">
        <v>2</v>
      </c>
      <c r="F531" s="43" t="n">
        <f aca="false">'Cài đặt'!$B$39+E531-1</f>
        <v>46378</v>
      </c>
      <c r="G531" s="41" t="s">
        <v>444</v>
      </c>
      <c r="H531" s="44" t="str">
        <f aca="false">IF(G531="S1",'Cài đặt'!$B$7,'Cài đặt'!$B$8)</f>
        <v>12:00</v>
      </c>
      <c r="I531" s="44" t="str">
        <f aca="false">'Cài đặt'!$B$32</f>
        <v>Carousel</v>
      </c>
      <c r="J531" s="44" t="str">
        <f aca="false">'Cài đặt'!$B$33</f>
        <v>A</v>
      </c>
      <c r="K531" s="41" t="s">
        <v>961</v>
      </c>
      <c r="L531" s="42" t="str">
        <f aca="false">C531&amp;"_"&amp;B531&amp;"_"&amp;IF(I531="Reel","R",IF(I531="Carousel","C","I"))&amp;"_"&amp;J531&amp;"_"&amp;IF(K531="AI tự động","AI","HU")&amp;"_"&amp;RIGHT(A531,3)</f>
        <v>P6_EXP3_C_A_HU_003</v>
      </c>
      <c r="M531" s="45"/>
      <c r="N531" s="45"/>
      <c r="O531" s="46"/>
      <c r="P531" s="46"/>
      <c r="Q531" s="46"/>
      <c r="R531" s="47"/>
      <c r="S531" s="45"/>
      <c r="T531" s="45"/>
      <c r="U531" s="48" t="str">
        <f aca="false">IF(O531&gt;0,P531/O531,"")</f>
        <v/>
      </c>
      <c r="V531" s="49" t="str">
        <f aca="false">IF(P531&gt;0,Q531/P531,"")</f>
        <v/>
      </c>
      <c r="W531" s="50" t="n">
        <f aca="false">IF(R531&lt;&gt;"",R531,Q531*'Cài đặt'!$B$12)</f>
        <v>0</v>
      </c>
      <c r="X531" s="50" t="str">
        <f aca="false">IF(O531&gt;0,W531/O531*1000,"")</f>
        <v/>
      </c>
      <c r="Y531" s="51" t="n">
        <f aca="false">IF(T531&lt;&gt;"",T531,INDEX('Cài đặt'!$B$20:$C$22,MATCH(I531,'Cài đặt'!$A$20:$A$22,0),IF(K531="AI tự động",1,2)))</f>
        <v>25</v>
      </c>
    </row>
    <row r="532" customFormat="false" ht="15" hidden="false" customHeight="false" outlineLevel="0" collapsed="false">
      <c r="A532" s="41" t="s">
        <v>982</v>
      </c>
      <c r="B532" s="41" t="s">
        <v>958</v>
      </c>
      <c r="C532" s="41" t="s">
        <v>193</v>
      </c>
      <c r="D532" s="42" t="str">
        <f aca="false">INDEX('Page và Ngách'!$B$5:$B$10,MATCH(C532,'Page và Ngách'!$A$5:$A$10,0))</f>
        <v>Second chance / Secret baby</v>
      </c>
      <c r="E532" s="41" t="n">
        <v>2</v>
      </c>
      <c r="F532" s="43" t="n">
        <f aca="false">'Cài đặt'!$B$39+E532-1</f>
        <v>46378</v>
      </c>
      <c r="G532" s="41" t="s">
        <v>451</v>
      </c>
      <c r="H532" s="44" t="str">
        <f aca="false">IF(G532="S1",'Cài đặt'!$B$7,'Cài đặt'!$B$8)</f>
        <v>20:00</v>
      </c>
      <c r="I532" s="44" t="str">
        <f aca="false">'Cài đặt'!$B$32</f>
        <v>Carousel</v>
      </c>
      <c r="J532" s="44" t="str">
        <f aca="false">'Cài đặt'!$B$33</f>
        <v>A</v>
      </c>
      <c r="K532" s="41" t="s">
        <v>445</v>
      </c>
      <c r="L532" s="42" t="str">
        <f aca="false">C532&amp;"_"&amp;B532&amp;"_"&amp;IF(I532="Reel","R",IF(I532="Carousel","C","I"))&amp;"_"&amp;J532&amp;"_"&amp;IF(K532="AI tự động","AI","HU")&amp;"_"&amp;RIGHT(A532,3)</f>
        <v>P6_EXP3_C_A_AI_004</v>
      </c>
      <c r="M532" s="45"/>
      <c r="N532" s="45"/>
      <c r="O532" s="46"/>
      <c r="P532" s="46"/>
      <c r="Q532" s="46"/>
      <c r="R532" s="47"/>
      <c r="S532" s="45"/>
      <c r="T532" s="45"/>
      <c r="U532" s="48" t="str">
        <f aca="false">IF(O532&gt;0,P532/O532,"")</f>
        <v/>
      </c>
      <c r="V532" s="49" t="str">
        <f aca="false">IF(P532&gt;0,Q532/P532,"")</f>
        <v/>
      </c>
      <c r="W532" s="50" t="n">
        <f aca="false">IF(R532&lt;&gt;"",R532,Q532*'Cài đặt'!$B$12)</f>
        <v>0</v>
      </c>
      <c r="X532" s="50" t="str">
        <f aca="false">IF(O532&gt;0,W532/O532*1000,"")</f>
        <v/>
      </c>
      <c r="Y532" s="51" t="n">
        <f aca="false">IF(T532&lt;&gt;"",T532,INDEX('Cài đặt'!$B$20:$C$22,MATCH(I532,'Cài đặt'!$A$20:$A$22,0),IF(K532="AI tự động",1,2)))</f>
        <v>4</v>
      </c>
    </row>
    <row r="533" customFormat="false" ht="15" hidden="false" customHeight="false" outlineLevel="0" collapsed="false">
      <c r="A533" s="41" t="s">
        <v>983</v>
      </c>
      <c r="B533" s="41" t="s">
        <v>958</v>
      </c>
      <c r="C533" s="41" t="s">
        <v>154</v>
      </c>
      <c r="D533" s="42" t="str">
        <f aca="false">INDEX('Page và Ngách'!$B$5:$B$10,MATCH(C533,'Page và Ngách'!$A$5:$A$10,0))</f>
        <v>Werewolf / Rejected mate</v>
      </c>
      <c r="E533" s="41" t="n">
        <v>3</v>
      </c>
      <c r="F533" s="43" t="n">
        <f aca="false">'Cài đặt'!$B$39+E533-1</f>
        <v>46379</v>
      </c>
      <c r="G533" s="41" t="s">
        <v>444</v>
      </c>
      <c r="H533" s="44" t="str">
        <f aca="false">IF(G533="S1",'Cài đặt'!$B$7,'Cài đặt'!$B$8)</f>
        <v>12:00</v>
      </c>
      <c r="I533" s="44" t="str">
        <f aca="false">'Cài đặt'!$B$32</f>
        <v>Carousel</v>
      </c>
      <c r="J533" s="44" t="str">
        <f aca="false">'Cài đặt'!$B$33</f>
        <v>A</v>
      </c>
      <c r="K533" s="41" t="s">
        <v>445</v>
      </c>
      <c r="L533" s="42" t="str">
        <f aca="false">C533&amp;"_"&amp;B533&amp;"_"&amp;IF(I533="Reel","R",IF(I533="Carousel","C","I"))&amp;"_"&amp;J533&amp;"_"&amp;IF(K533="AI tự động","AI","HU")&amp;"_"&amp;RIGHT(A533,3)</f>
        <v>P1_EXP3_C_A_AI_005</v>
      </c>
      <c r="M533" s="45"/>
      <c r="N533" s="45"/>
      <c r="O533" s="46"/>
      <c r="P533" s="46"/>
      <c r="Q533" s="46"/>
      <c r="R533" s="47"/>
      <c r="S533" s="45"/>
      <c r="T533" s="45"/>
      <c r="U533" s="48" t="str">
        <f aca="false">IF(O533&gt;0,P533/O533,"")</f>
        <v/>
      </c>
      <c r="V533" s="49" t="str">
        <f aca="false">IF(P533&gt;0,Q533/P533,"")</f>
        <v/>
      </c>
      <c r="W533" s="50" t="n">
        <f aca="false">IF(R533&lt;&gt;"",R533,Q533*'Cài đặt'!$B$12)</f>
        <v>0</v>
      </c>
      <c r="X533" s="50" t="str">
        <f aca="false">IF(O533&gt;0,W533/O533*1000,"")</f>
        <v/>
      </c>
      <c r="Y533" s="51" t="n">
        <f aca="false">IF(T533&lt;&gt;"",T533,INDEX('Cài đặt'!$B$20:$C$22,MATCH(I533,'Cài đặt'!$A$20:$A$22,0),IF(K533="AI tự động",1,2)))</f>
        <v>4</v>
      </c>
    </row>
    <row r="534" customFormat="false" ht="15" hidden="false" customHeight="false" outlineLevel="0" collapsed="false">
      <c r="A534" s="41" t="s">
        <v>984</v>
      </c>
      <c r="B534" s="41" t="s">
        <v>958</v>
      </c>
      <c r="C534" s="41" t="s">
        <v>154</v>
      </c>
      <c r="D534" s="42" t="str">
        <f aca="false">INDEX('Page và Ngách'!$B$5:$B$10,MATCH(C534,'Page và Ngách'!$A$5:$A$10,0))</f>
        <v>Werewolf / Rejected mate</v>
      </c>
      <c r="E534" s="41" t="n">
        <v>3</v>
      </c>
      <c r="F534" s="43" t="n">
        <f aca="false">'Cài đặt'!$B$39+E534-1</f>
        <v>46379</v>
      </c>
      <c r="G534" s="41" t="s">
        <v>451</v>
      </c>
      <c r="H534" s="44" t="str">
        <f aca="false">IF(G534="S1",'Cài đặt'!$B$7,'Cài đặt'!$B$8)</f>
        <v>20:00</v>
      </c>
      <c r="I534" s="44" t="str">
        <f aca="false">'Cài đặt'!$B$32</f>
        <v>Carousel</v>
      </c>
      <c r="J534" s="44" t="str">
        <f aca="false">'Cài đặt'!$B$33</f>
        <v>A</v>
      </c>
      <c r="K534" s="41" t="s">
        <v>445</v>
      </c>
      <c r="L534" s="42" t="str">
        <f aca="false">C534&amp;"_"&amp;B534&amp;"_"&amp;IF(I534="Reel","R",IF(I534="Carousel","C","I"))&amp;"_"&amp;J534&amp;"_"&amp;IF(K534="AI tự động","AI","HU")&amp;"_"&amp;RIGHT(A534,3)</f>
        <v>P1_EXP3_C_A_AI_006</v>
      </c>
      <c r="M534" s="45"/>
      <c r="N534" s="45"/>
      <c r="O534" s="46"/>
      <c r="P534" s="46"/>
      <c r="Q534" s="46"/>
      <c r="R534" s="47"/>
      <c r="S534" s="45"/>
      <c r="T534" s="45"/>
      <c r="U534" s="48" t="str">
        <f aca="false">IF(O534&gt;0,P534/O534,"")</f>
        <v/>
      </c>
      <c r="V534" s="49" t="str">
        <f aca="false">IF(P534&gt;0,Q534/P534,"")</f>
        <v/>
      </c>
      <c r="W534" s="50" t="n">
        <f aca="false">IF(R534&lt;&gt;"",R534,Q534*'Cài đặt'!$B$12)</f>
        <v>0</v>
      </c>
      <c r="X534" s="50" t="str">
        <f aca="false">IF(O534&gt;0,W534/O534*1000,"")</f>
        <v/>
      </c>
      <c r="Y534" s="51" t="n">
        <f aca="false">IF(T534&lt;&gt;"",T534,INDEX('Cài đặt'!$B$20:$C$22,MATCH(I534,'Cài đặt'!$A$20:$A$22,0),IF(K534="AI tự động",1,2)))</f>
        <v>4</v>
      </c>
    </row>
    <row r="535" customFormat="false" ht="15" hidden="false" customHeight="false" outlineLevel="0" collapsed="false">
      <c r="A535" s="41" t="s">
        <v>985</v>
      </c>
      <c r="B535" s="41" t="s">
        <v>958</v>
      </c>
      <c r="C535" s="41" t="s">
        <v>163</v>
      </c>
      <c r="D535" s="42" t="str">
        <f aca="false">INDEX('Page và Ngách'!$B$5:$B$10,MATCH(C535,'Page và Ngách'!$A$5:$A$10,0))</f>
        <v>Secret billionaire / CEO</v>
      </c>
      <c r="E535" s="41" t="n">
        <v>3</v>
      </c>
      <c r="F535" s="43" t="n">
        <f aca="false">'Cài đặt'!$B$39+E535-1</f>
        <v>46379</v>
      </c>
      <c r="G535" s="41" t="s">
        <v>444</v>
      </c>
      <c r="H535" s="44" t="str">
        <f aca="false">IF(G535="S1",'Cài đặt'!$B$7,'Cài đặt'!$B$8)</f>
        <v>12:00</v>
      </c>
      <c r="I535" s="44" t="str">
        <f aca="false">'Cài đặt'!$B$32</f>
        <v>Carousel</v>
      </c>
      <c r="J535" s="44" t="str">
        <f aca="false">'Cài đặt'!$B$33</f>
        <v>A</v>
      </c>
      <c r="K535" s="41" t="s">
        <v>445</v>
      </c>
      <c r="L535" s="42" t="str">
        <f aca="false">C535&amp;"_"&amp;B535&amp;"_"&amp;IF(I535="Reel","R",IF(I535="Carousel","C","I"))&amp;"_"&amp;J535&amp;"_"&amp;IF(K535="AI tự động","AI","HU")&amp;"_"&amp;RIGHT(A535,3)</f>
        <v>P2_EXP3_C_A_AI_005</v>
      </c>
      <c r="M535" s="45"/>
      <c r="N535" s="45"/>
      <c r="O535" s="46"/>
      <c r="P535" s="46"/>
      <c r="Q535" s="46"/>
      <c r="R535" s="47"/>
      <c r="S535" s="45"/>
      <c r="T535" s="45"/>
      <c r="U535" s="48" t="str">
        <f aca="false">IF(O535&gt;0,P535/O535,"")</f>
        <v/>
      </c>
      <c r="V535" s="49" t="str">
        <f aca="false">IF(P535&gt;0,Q535/P535,"")</f>
        <v/>
      </c>
      <c r="W535" s="50" t="n">
        <f aca="false">IF(R535&lt;&gt;"",R535,Q535*'Cài đặt'!$B$12)</f>
        <v>0</v>
      </c>
      <c r="X535" s="50" t="str">
        <f aca="false">IF(O535&gt;0,W535/O535*1000,"")</f>
        <v/>
      </c>
      <c r="Y535" s="51" t="n">
        <f aca="false">IF(T535&lt;&gt;"",T535,INDEX('Cài đặt'!$B$20:$C$22,MATCH(I535,'Cài đặt'!$A$20:$A$22,0),IF(K535="AI tự động",1,2)))</f>
        <v>4</v>
      </c>
    </row>
    <row r="536" customFormat="false" ht="15" hidden="false" customHeight="false" outlineLevel="0" collapsed="false">
      <c r="A536" s="41" t="s">
        <v>986</v>
      </c>
      <c r="B536" s="41" t="s">
        <v>958</v>
      </c>
      <c r="C536" s="41" t="s">
        <v>163</v>
      </c>
      <c r="D536" s="42" t="str">
        <f aca="false">INDEX('Page và Ngách'!$B$5:$B$10,MATCH(C536,'Page và Ngách'!$A$5:$A$10,0))</f>
        <v>Secret billionaire / CEO</v>
      </c>
      <c r="E536" s="41" t="n">
        <v>3</v>
      </c>
      <c r="F536" s="43" t="n">
        <f aca="false">'Cài đặt'!$B$39+E536-1</f>
        <v>46379</v>
      </c>
      <c r="G536" s="41" t="s">
        <v>451</v>
      </c>
      <c r="H536" s="44" t="str">
        <f aca="false">IF(G536="S1",'Cài đặt'!$B$7,'Cài đặt'!$B$8)</f>
        <v>20:00</v>
      </c>
      <c r="I536" s="44" t="str">
        <f aca="false">'Cài đặt'!$B$32</f>
        <v>Carousel</v>
      </c>
      <c r="J536" s="44" t="str">
        <f aca="false">'Cài đặt'!$B$33</f>
        <v>A</v>
      </c>
      <c r="K536" s="41" t="s">
        <v>961</v>
      </c>
      <c r="L536" s="42" t="str">
        <f aca="false">C536&amp;"_"&amp;B536&amp;"_"&amp;IF(I536="Reel","R",IF(I536="Carousel","C","I"))&amp;"_"&amp;J536&amp;"_"&amp;IF(K536="AI tự động","AI","HU")&amp;"_"&amp;RIGHT(A536,3)</f>
        <v>P2_EXP3_C_A_HU_006</v>
      </c>
      <c r="M536" s="45"/>
      <c r="N536" s="45"/>
      <c r="O536" s="46"/>
      <c r="P536" s="46"/>
      <c r="Q536" s="46"/>
      <c r="R536" s="47"/>
      <c r="S536" s="45"/>
      <c r="T536" s="45"/>
      <c r="U536" s="48" t="str">
        <f aca="false">IF(O536&gt;0,P536/O536,"")</f>
        <v/>
      </c>
      <c r="V536" s="49" t="str">
        <f aca="false">IF(P536&gt;0,Q536/P536,"")</f>
        <v/>
      </c>
      <c r="W536" s="50" t="n">
        <f aca="false">IF(R536&lt;&gt;"",R536,Q536*'Cài đặt'!$B$12)</f>
        <v>0</v>
      </c>
      <c r="X536" s="50" t="str">
        <f aca="false">IF(O536&gt;0,W536/O536*1000,"")</f>
        <v/>
      </c>
      <c r="Y536" s="51" t="n">
        <f aca="false">IF(T536&lt;&gt;"",T536,INDEX('Cài đặt'!$B$20:$C$22,MATCH(I536,'Cài đặt'!$A$20:$A$22,0),IF(K536="AI tự động",1,2)))</f>
        <v>25</v>
      </c>
    </row>
    <row r="537" customFormat="false" ht="15" hidden="false" customHeight="false" outlineLevel="0" collapsed="false">
      <c r="A537" s="41" t="s">
        <v>987</v>
      </c>
      <c r="B537" s="41" t="s">
        <v>958</v>
      </c>
      <c r="C537" s="41" t="s">
        <v>171</v>
      </c>
      <c r="D537" s="42" t="str">
        <f aca="false">INDEX('Page và Ngách'!$B$5:$B$10,MATCH(C537,'Page và Ngách'!$A$5:$A$10,0))</f>
        <v>Contract marriage / Fake relationship</v>
      </c>
      <c r="E537" s="41" t="n">
        <v>3</v>
      </c>
      <c r="F537" s="43" t="n">
        <f aca="false">'Cài đặt'!$B$39+E537-1</f>
        <v>46379</v>
      </c>
      <c r="G537" s="41" t="s">
        <v>444</v>
      </c>
      <c r="H537" s="44" t="str">
        <f aca="false">IF(G537="S1",'Cài đặt'!$B$7,'Cài đặt'!$B$8)</f>
        <v>12:00</v>
      </c>
      <c r="I537" s="44" t="str">
        <f aca="false">'Cài đặt'!$B$32</f>
        <v>Carousel</v>
      </c>
      <c r="J537" s="44" t="str">
        <f aca="false">'Cài đặt'!$B$33</f>
        <v>A</v>
      </c>
      <c r="K537" s="41" t="s">
        <v>445</v>
      </c>
      <c r="L537" s="42" t="str">
        <f aca="false">C537&amp;"_"&amp;B537&amp;"_"&amp;IF(I537="Reel","R",IF(I537="Carousel","C","I"))&amp;"_"&amp;J537&amp;"_"&amp;IF(K537="AI tự động","AI","HU")&amp;"_"&amp;RIGHT(A537,3)</f>
        <v>P3_EXP3_C_A_AI_005</v>
      </c>
      <c r="M537" s="45"/>
      <c r="N537" s="45"/>
      <c r="O537" s="46"/>
      <c r="P537" s="46"/>
      <c r="Q537" s="46"/>
      <c r="R537" s="47"/>
      <c r="S537" s="45"/>
      <c r="T537" s="45"/>
      <c r="U537" s="48" t="str">
        <f aca="false">IF(O537&gt;0,P537/O537,"")</f>
        <v/>
      </c>
      <c r="V537" s="49" t="str">
        <f aca="false">IF(P537&gt;0,Q537/P537,"")</f>
        <v/>
      </c>
      <c r="W537" s="50" t="n">
        <f aca="false">IF(R537&lt;&gt;"",R537,Q537*'Cài đặt'!$B$12)</f>
        <v>0</v>
      </c>
      <c r="X537" s="50" t="str">
        <f aca="false">IF(O537&gt;0,W537/O537*1000,"")</f>
        <v/>
      </c>
      <c r="Y537" s="51" t="n">
        <f aca="false">IF(T537&lt;&gt;"",T537,INDEX('Cài đặt'!$B$20:$C$22,MATCH(I537,'Cài đặt'!$A$20:$A$22,0),IF(K537="AI tự động",1,2)))</f>
        <v>4</v>
      </c>
    </row>
    <row r="538" customFormat="false" ht="15" hidden="false" customHeight="false" outlineLevel="0" collapsed="false">
      <c r="A538" s="41" t="s">
        <v>988</v>
      </c>
      <c r="B538" s="41" t="s">
        <v>958</v>
      </c>
      <c r="C538" s="41" t="s">
        <v>171</v>
      </c>
      <c r="D538" s="42" t="str">
        <f aca="false">INDEX('Page và Ngách'!$B$5:$B$10,MATCH(C538,'Page và Ngách'!$A$5:$A$10,0))</f>
        <v>Contract marriage / Fake relationship</v>
      </c>
      <c r="E538" s="41" t="n">
        <v>3</v>
      </c>
      <c r="F538" s="43" t="n">
        <f aca="false">'Cài đặt'!$B$39+E538-1</f>
        <v>46379</v>
      </c>
      <c r="G538" s="41" t="s">
        <v>451</v>
      </c>
      <c r="H538" s="44" t="str">
        <f aca="false">IF(G538="S1",'Cài đặt'!$B$7,'Cài đặt'!$B$8)</f>
        <v>20:00</v>
      </c>
      <c r="I538" s="44" t="str">
        <f aca="false">'Cài đặt'!$B$32</f>
        <v>Carousel</v>
      </c>
      <c r="J538" s="44" t="str">
        <f aca="false">'Cài đặt'!$B$33</f>
        <v>A</v>
      </c>
      <c r="K538" s="41" t="s">
        <v>445</v>
      </c>
      <c r="L538" s="42" t="str">
        <f aca="false">C538&amp;"_"&amp;B538&amp;"_"&amp;IF(I538="Reel","R",IF(I538="Carousel","C","I"))&amp;"_"&amp;J538&amp;"_"&amp;IF(K538="AI tự động","AI","HU")&amp;"_"&amp;RIGHT(A538,3)</f>
        <v>P3_EXP3_C_A_AI_006</v>
      </c>
      <c r="M538" s="45"/>
      <c r="N538" s="45"/>
      <c r="O538" s="46"/>
      <c r="P538" s="46"/>
      <c r="Q538" s="46"/>
      <c r="R538" s="47"/>
      <c r="S538" s="45"/>
      <c r="T538" s="45"/>
      <c r="U538" s="48" t="str">
        <f aca="false">IF(O538&gt;0,P538/O538,"")</f>
        <v/>
      </c>
      <c r="V538" s="49" t="str">
        <f aca="false">IF(P538&gt;0,Q538/P538,"")</f>
        <v/>
      </c>
      <c r="W538" s="50" t="n">
        <f aca="false">IF(R538&lt;&gt;"",R538,Q538*'Cài đặt'!$B$12)</f>
        <v>0</v>
      </c>
      <c r="X538" s="50" t="str">
        <f aca="false">IF(O538&gt;0,W538/O538*1000,"")</f>
        <v/>
      </c>
      <c r="Y538" s="51" t="n">
        <f aca="false">IF(T538&lt;&gt;"",T538,INDEX('Cài đặt'!$B$20:$C$22,MATCH(I538,'Cài đặt'!$A$20:$A$22,0),IF(K538="AI tự động",1,2)))</f>
        <v>4</v>
      </c>
    </row>
    <row r="539" customFormat="false" ht="15" hidden="false" customHeight="false" outlineLevel="0" collapsed="false">
      <c r="A539" s="41" t="s">
        <v>989</v>
      </c>
      <c r="B539" s="41" t="s">
        <v>958</v>
      </c>
      <c r="C539" s="41" t="s">
        <v>178</v>
      </c>
      <c r="D539" s="42" t="str">
        <f aca="false">INDEX('Page và Ngách'!$B$5:$B$10,MATCH(C539,'Page và Ngách'!$A$5:$A$10,0))</f>
        <v>Revenge / Betrayal ("you'll regret it")</v>
      </c>
      <c r="E539" s="41" t="n">
        <v>3</v>
      </c>
      <c r="F539" s="43" t="n">
        <f aca="false">'Cài đặt'!$B$39+E539-1</f>
        <v>46379</v>
      </c>
      <c r="G539" s="41" t="s">
        <v>444</v>
      </c>
      <c r="H539" s="44" t="str">
        <f aca="false">IF(G539="S1",'Cài đặt'!$B$7,'Cài đặt'!$B$8)</f>
        <v>12:00</v>
      </c>
      <c r="I539" s="44" t="str">
        <f aca="false">'Cài đặt'!$B$32</f>
        <v>Carousel</v>
      </c>
      <c r="J539" s="44" t="str">
        <f aca="false">'Cài đặt'!$B$33</f>
        <v>A</v>
      </c>
      <c r="K539" s="41" t="s">
        <v>445</v>
      </c>
      <c r="L539" s="42" t="str">
        <f aca="false">C539&amp;"_"&amp;B539&amp;"_"&amp;IF(I539="Reel","R",IF(I539="Carousel","C","I"))&amp;"_"&amp;J539&amp;"_"&amp;IF(K539="AI tự động","AI","HU")&amp;"_"&amp;RIGHT(A539,3)</f>
        <v>P4_EXP3_C_A_AI_005</v>
      </c>
      <c r="M539" s="45"/>
      <c r="N539" s="45"/>
      <c r="O539" s="46"/>
      <c r="P539" s="46"/>
      <c r="Q539" s="46"/>
      <c r="R539" s="47"/>
      <c r="S539" s="45"/>
      <c r="T539" s="45"/>
      <c r="U539" s="48" t="str">
        <f aca="false">IF(O539&gt;0,P539/O539,"")</f>
        <v/>
      </c>
      <c r="V539" s="49" t="str">
        <f aca="false">IF(P539&gt;0,Q539/P539,"")</f>
        <v/>
      </c>
      <c r="W539" s="50" t="n">
        <f aca="false">IF(R539&lt;&gt;"",R539,Q539*'Cài đặt'!$B$12)</f>
        <v>0</v>
      </c>
      <c r="X539" s="50" t="str">
        <f aca="false">IF(O539&gt;0,W539/O539*1000,"")</f>
        <v/>
      </c>
      <c r="Y539" s="51" t="n">
        <f aca="false">IF(T539&lt;&gt;"",T539,INDEX('Cài đặt'!$B$20:$C$22,MATCH(I539,'Cài đặt'!$A$20:$A$22,0),IF(K539="AI tự động",1,2)))</f>
        <v>4</v>
      </c>
    </row>
    <row r="540" customFormat="false" ht="15" hidden="false" customHeight="false" outlineLevel="0" collapsed="false">
      <c r="A540" s="41" t="s">
        <v>990</v>
      </c>
      <c r="B540" s="41" t="s">
        <v>958</v>
      </c>
      <c r="C540" s="41" t="s">
        <v>178</v>
      </c>
      <c r="D540" s="42" t="str">
        <f aca="false">INDEX('Page và Ngách'!$B$5:$B$10,MATCH(C540,'Page và Ngách'!$A$5:$A$10,0))</f>
        <v>Revenge / Betrayal ("you'll regret it")</v>
      </c>
      <c r="E540" s="41" t="n">
        <v>3</v>
      </c>
      <c r="F540" s="43" t="n">
        <f aca="false">'Cài đặt'!$B$39+E540-1</f>
        <v>46379</v>
      </c>
      <c r="G540" s="41" t="s">
        <v>451</v>
      </c>
      <c r="H540" s="44" t="str">
        <f aca="false">IF(G540="S1",'Cài đặt'!$B$7,'Cài đặt'!$B$8)</f>
        <v>20:00</v>
      </c>
      <c r="I540" s="44" t="str">
        <f aca="false">'Cài đặt'!$B$32</f>
        <v>Carousel</v>
      </c>
      <c r="J540" s="44" t="str">
        <f aca="false">'Cài đặt'!$B$33</f>
        <v>A</v>
      </c>
      <c r="K540" s="41" t="s">
        <v>445</v>
      </c>
      <c r="L540" s="42" t="str">
        <f aca="false">C540&amp;"_"&amp;B540&amp;"_"&amp;IF(I540="Reel","R",IF(I540="Carousel","C","I"))&amp;"_"&amp;J540&amp;"_"&amp;IF(K540="AI tự động","AI","HU")&amp;"_"&amp;RIGHT(A540,3)</f>
        <v>P4_EXP3_C_A_AI_006</v>
      </c>
      <c r="M540" s="45"/>
      <c r="N540" s="45"/>
      <c r="O540" s="46"/>
      <c r="P540" s="46"/>
      <c r="Q540" s="46"/>
      <c r="R540" s="47"/>
      <c r="S540" s="45"/>
      <c r="T540" s="45"/>
      <c r="U540" s="48" t="str">
        <f aca="false">IF(O540&gt;0,P540/O540,"")</f>
        <v/>
      </c>
      <c r="V540" s="49" t="str">
        <f aca="false">IF(P540&gt;0,Q540/P540,"")</f>
        <v/>
      </c>
      <c r="W540" s="50" t="n">
        <f aca="false">IF(R540&lt;&gt;"",R540,Q540*'Cài đặt'!$B$12)</f>
        <v>0</v>
      </c>
      <c r="X540" s="50" t="str">
        <f aca="false">IF(O540&gt;0,W540/O540*1000,"")</f>
        <v/>
      </c>
      <c r="Y540" s="51" t="n">
        <f aca="false">IF(T540&lt;&gt;"",T540,INDEX('Cài đặt'!$B$20:$C$22,MATCH(I540,'Cài đặt'!$A$20:$A$22,0),IF(K540="AI tự động",1,2)))</f>
        <v>4</v>
      </c>
    </row>
    <row r="541" customFormat="false" ht="15" hidden="false" customHeight="false" outlineLevel="0" collapsed="false">
      <c r="A541" s="41" t="s">
        <v>991</v>
      </c>
      <c r="B541" s="41" t="s">
        <v>958</v>
      </c>
      <c r="C541" s="41" t="s">
        <v>185</v>
      </c>
      <c r="D541" s="42" t="str">
        <f aca="false">INDEX('Page và Ngách'!$B$5:$B$10,MATCH(C541,'Page và Ngách'!$A$5:$A$10,0))</f>
        <v>Mafia / Dark romance (teaser PG-13)</v>
      </c>
      <c r="E541" s="41" t="n">
        <v>3</v>
      </c>
      <c r="F541" s="43" t="n">
        <f aca="false">'Cài đặt'!$B$39+E541-1</f>
        <v>46379</v>
      </c>
      <c r="G541" s="41" t="s">
        <v>444</v>
      </c>
      <c r="H541" s="44" t="str">
        <f aca="false">IF(G541="S1",'Cài đặt'!$B$7,'Cài đặt'!$B$8)</f>
        <v>12:00</v>
      </c>
      <c r="I541" s="44" t="str">
        <f aca="false">'Cài đặt'!$B$32</f>
        <v>Carousel</v>
      </c>
      <c r="J541" s="44" t="str">
        <f aca="false">'Cài đặt'!$B$33</f>
        <v>A</v>
      </c>
      <c r="K541" s="41" t="s">
        <v>961</v>
      </c>
      <c r="L541" s="42" t="str">
        <f aca="false">C541&amp;"_"&amp;B541&amp;"_"&amp;IF(I541="Reel","R",IF(I541="Carousel","C","I"))&amp;"_"&amp;J541&amp;"_"&amp;IF(K541="AI tự động","AI","HU")&amp;"_"&amp;RIGHT(A541,3)</f>
        <v>P5_EXP3_C_A_HU_005</v>
      </c>
      <c r="M541" s="45"/>
      <c r="N541" s="45"/>
      <c r="O541" s="46"/>
      <c r="P541" s="46"/>
      <c r="Q541" s="46"/>
      <c r="R541" s="47"/>
      <c r="S541" s="45"/>
      <c r="T541" s="45"/>
      <c r="U541" s="48" t="str">
        <f aca="false">IF(O541&gt;0,P541/O541,"")</f>
        <v/>
      </c>
      <c r="V541" s="49" t="str">
        <f aca="false">IF(P541&gt;0,Q541/P541,"")</f>
        <v/>
      </c>
      <c r="W541" s="50" t="n">
        <f aca="false">IF(R541&lt;&gt;"",R541,Q541*'Cài đặt'!$B$12)</f>
        <v>0</v>
      </c>
      <c r="X541" s="50" t="str">
        <f aca="false">IF(O541&gt;0,W541/O541*1000,"")</f>
        <v/>
      </c>
      <c r="Y541" s="51" t="n">
        <f aca="false">IF(T541&lt;&gt;"",T541,INDEX('Cài đặt'!$B$20:$C$22,MATCH(I541,'Cài đặt'!$A$20:$A$22,0),IF(K541="AI tự động",1,2)))</f>
        <v>25</v>
      </c>
    </row>
    <row r="542" customFormat="false" ht="15" hidden="false" customHeight="false" outlineLevel="0" collapsed="false">
      <c r="A542" s="41" t="s">
        <v>992</v>
      </c>
      <c r="B542" s="41" t="s">
        <v>958</v>
      </c>
      <c r="C542" s="41" t="s">
        <v>185</v>
      </c>
      <c r="D542" s="42" t="str">
        <f aca="false">INDEX('Page và Ngách'!$B$5:$B$10,MATCH(C542,'Page và Ngách'!$A$5:$A$10,0))</f>
        <v>Mafia / Dark romance (teaser PG-13)</v>
      </c>
      <c r="E542" s="41" t="n">
        <v>3</v>
      </c>
      <c r="F542" s="43" t="n">
        <f aca="false">'Cài đặt'!$B$39+E542-1</f>
        <v>46379</v>
      </c>
      <c r="G542" s="41" t="s">
        <v>451</v>
      </c>
      <c r="H542" s="44" t="str">
        <f aca="false">IF(G542="S1",'Cài đặt'!$B$7,'Cài đặt'!$B$8)</f>
        <v>20:00</v>
      </c>
      <c r="I542" s="44" t="str">
        <f aca="false">'Cài đặt'!$B$32</f>
        <v>Carousel</v>
      </c>
      <c r="J542" s="44" t="str">
        <f aca="false">'Cài đặt'!$B$33</f>
        <v>A</v>
      </c>
      <c r="K542" s="41" t="s">
        <v>445</v>
      </c>
      <c r="L542" s="42" t="str">
        <f aca="false">C542&amp;"_"&amp;B542&amp;"_"&amp;IF(I542="Reel","R",IF(I542="Carousel","C","I"))&amp;"_"&amp;J542&amp;"_"&amp;IF(K542="AI tự động","AI","HU")&amp;"_"&amp;RIGHT(A542,3)</f>
        <v>P5_EXP3_C_A_AI_006</v>
      </c>
      <c r="M542" s="45"/>
      <c r="N542" s="45"/>
      <c r="O542" s="46"/>
      <c r="P542" s="46"/>
      <c r="Q542" s="46"/>
      <c r="R542" s="47"/>
      <c r="S542" s="45"/>
      <c r="T542" s="45"/>
      <c r="U542" s="48" t="str">
        <f aca="false">IF(O542&gt;0,P542/O542,"")</f>
        <v/>
      </c>
      <c r="V542" s="49" t="str">
        <f aca="false">IF(P542&gt;0,Q542/P542,"")</f>
        <v/>
      </c>
      <c r="W542" s="50" t="n">
        <f aca="false">IF(R542&lt;&gt;"",R542,Q542*'Cài đặt'!$B$12)</f>
        <v>0</v>
      </c>
      <c r="X542" s="50" t="str">
        <f aca="false">IF(O542&gt;0,W542/O542*1000,"")</f>
        <v/>
      </c>
      <c r="Y542" s="51" t="n">
        <f aca="false">IF(T542&lt;&gt;"",T542,INDEX('Cài đặt'!$B$20:$C$22,MATCH(I542,'Cài đặt'!$A$20:$A$22,0),IF(K542="AI tự động",1,2)))</f>
        <v>4</v>
      </c>
    </row>
    <row r="543" customFormat="false" ht="15" hidden="false" customHeight="false" outlineLevel="0" collapsed="false">
      <c r="A543" s="41" t="s">
        <v>993</v>
      </c>
      <c r="B543" s="41" t="s">
        <v>958</v>
      </c>
      <c r="C543" s="41" t="s">
        <v>193</v>
      </c>
      <c r="D543" s="42" t="str">
        <f aca="false">INDEX('Page và Ngách'!$B$5:$B$10,MATCH(C543,'Page và Ngách'!$A$5:$A$10,0))</f>
        <v>Second chance / Secret baby</v>
      </c>
      <c r="E543" s="41" t="n">
        <v>3</v>
      </c>
      <c r="F543" s="43" t="n">
        <f aca="false">'Cài đặt'!$B$39+E543-1</f>
        <v>46379</v>
      </c>
      <c r="G543" s="41" t="s">
        <v>444</v>
      </c>
      <c r="H543" s="44" t="str">
        <f aca="false">IF(G543="S1",'Cài đặt'!$B$7,'Cài đặt'!$B$8)</f>
        <v>12:00</v>
      </c>
      <c r="I543" s="44" t="str">
        <f aca="false">'Cài đặt'!$B$32</f>
        <v>Carousel</v>
      </c>
      <c r="J543" s="44" t="str">
        <f aca="false">'Cài đặt'!$B$33</f>
        <v>A</v>
      </c>
      <c r="K543" s="41" t="s">
        <v>445</v>
      </c>
      <c r="L543" s="42" t="str">
        <f aca="false">C543&amp;"_"&amp;B543&amp;"_"&amp;IF(I543="Reel","R",IF(I543="Carousel","C","I"))&amp;"_"&amp;J543&amp;"_"&amp;IF(K543="AI tự động","AI","HU")&amp;"_"&amp;RIGHT(A543,3)</f>
        <v>P6_EXP3_C_A_AI_005</v>
      </c>
      <c r="M543" s="45"/>
      <c r="N543" s="45"/>
      <c r="O543" s="46"/>
      <c r="P543" s="46"/>
      <c r="Q543" s="46"/>
      <c r="R543" s="47"/>
      <c r="S543" s="45"/>
      <c r="T543" s="45"/>
      <c r="U543" s="48" t="str">
        <f aca="false">IF(O543&gt;0,P543/O543,"")</f>
        <v/>
      </c>
      <c r="V543" s="49" t="str">
        <f aca="false">IF(P543&gt;0,Q543/P543,"")</f>
        <v/>
      </c>
      <c r="W543" s="50" t="n">
        <f aca="false">IF(R543&lt;&gt;"",R543,Q543*'Cài đặt'!$B$12)</f>
        <v>0</v>
      </c>
      <c r="X543" s="50" t="str">
        <f aca="false">IF(O543&gt;0,W543/O543*1000,"")</f>
        <v/>
      </c>
      <c r="Y543" s="51" t="n">
        <f aca="false">IF(T543&lt;&gt;"",T543,INDEX('Cài đặt'!$B$20:$C$22,MATCH(I543,'Cài đặt'!$A$20:$A$22,0),IF(K543="AI tự động",1,2)))</f>
        <v>4</v>
      </c>
    </row>
    <row r="544" customFormat="false" ht="15" hidden="false" customHeight="false" outlineLevel="0" collapsed="false">
      <c r="A544" s="41" t="s">
        <v>994</v>
      </c>
      <c r="B544" s="41" t="s">
        <v>958</v>
      </c>
      <c r="C544" s="41" t="s">
        <v>193</v>
      </c>
      <c r="D544" s="42" t="str">
        <f aca="false">INDEX('Page và Ngách'!$B$5:$B$10,MATCH(C544,'Page và Ngách'!$A$5:$A$10,0))</f>
        <v>Second chance / Secret baby</v>
      </c>
      <c r="E544" s="41" t="n">
        <v>3</v>
      </c>
      <c r="F544" s="43" t="n">
        <f aca="false">'Cài đặt'!$B$39+E544-1</f>
        <v>46379</v>
      </c>
      <c r="G544" s="41" t="s">
        <v>451</v>
      </c>
      <c r="H544" s="44" t="str">
        <f aca="false">IF(G544="S1",'Cài đặt'!$B$7,'Cài đặt'!$B$8)</f>
        <v>20:00</v>
      </c>
      <c r="I544" s="44" t="str">
        <f aca="false">'Cài đặt'!$B$32</f>
        <v>Carousel</v>
      </c>
      <c r="J544" s="44" t="str">
        <f aca="false">'Cài đặt'!$B$33</f>
        <v>A</v>
      </c>
      <c r="K544" s="41" t="s">
        <v>445</v>
      </c>
      <c r="L544" s="42" t="str">
        <f aca="false">C544&amp;"_"&amp;B544&amp;"_"&amp;IF(I544="Reel","R",IF(I544="Carousel","C","I"))&amp;"_"&amp;J544&amp;"_"&amp;IF(K544="AI tự động","AI","HU")&amp;"_"&amp;RIGHT(A544,3)</f>
        <v>P6_EXP3_C_A_AI_006</v>
      </c>
      <c r="M544" s="45"/>
      <c r="N544" s="45"/>
      <c r="O544" s="46"/>
      <c r="P544" s="46"/>
      <c r="Q544" s="46"/>
      <c r="R544" s="47"/>
      <c r="S544" s="45"/>
      <c r="T544" s="45"/>
      <c r="U544" s="48" t="str">
        <f aca="false">IF(O544&gt;0,P544/O544,"")</f>
        <v/>
      </c>
      <c r="V544" s="49" t="str">
        <f aca="false">IF(P544&gt;0,Q544/P544,"")</f>
        <v/>
      </c>
      <c r="W544" s="50" t="n">
        <f aca="false">IF(R544&lt;&gt;"",R544,Q544*'Cài đặt'!$B$12)</f>
        <v>0</v>
      </c>
      <c r="X544" s="50" t="str">
        <f aca="false">IF(O544&gt;0,W544/O544*1000,"")</f>
        <v/>
      </c>
      <c r="Y544" s="51" t="n">
        <f aca="false">IF(T544&lt;&gt;"",T544,INDEX('Cài đặt'!$B$20:$C$22,MATCH(I544,'Cài đặt'!$A$20:$A$22,0),IF(K544="AI tự động",1,2)))</f>
        <v>4</v>
      </c>
    </row>
    <row r="545" customFormat="false" ht="15" hidden="false" customHeight="false" outlineLevel="0" collapsed="false">
      <c r="A545" s="41" t="s">
        <v>995</v>
      </c>
      <c r="B545" s="41" t="s">
        <v>958</v>
      </c>
      <c r="C545" s="41" t="s">
        <v>154</v>
      </c>
      <c r="D545" s="42" t="str">
        <f aca="false">INDEX('Page và Ngách'!$B$5:$B$10,MATCH(C545,'Page và Ngách'!$A$5:$A$10,0))</f>
        <v>Werewolf / Rejected mate</v>
      </c>
      <c r="E545" s="41" t="n">
        <v>4</v>
      </c>
      <c r="F545" s="43" t="n">
        <f aca="false">'Cài đặt'!$B$39+E545-1</f>
        <v>46380</v>
      </c>
      <c r="G545" s="41" t="s">
        <v>444</v>
      </c>
      <c r="H545" s="44" t="str">
        <f aca="false">IF(G545="S1",'Cài đặt'!$B$7,'Cài đặt'!$B$8)</f>
        <v>12:00</v>
      </c>
      <c r="I545" s="44" t="str">
        <f aca="false">'Cài đặt'!$B$32</f>
        <v>Carousel</v>
      </c>
      <c r="J545" s="44" t="str">
        <f aca="false">'Cài đặt'!$B$33</f>
        <v>A</v>
      </c>
      <c r="K545" s="41" t="s">
        <v>445</v>
      </c>
      <c r="L545" s="42" t="str">
        <f aca="false">C545&amp;"_"&amp;B545&amp;"_"&amp;IF(I545="Reel","R",IF(I545="Carousel","C","I"))&amp;"_"&amp;J545&amp;"_"&amp;IF(K545="AI tự động","AI","HU")&amp;"_"&amp;RIGHT(A545,3)</f>
        <v>P1_EXP3_C_A_AI_007</v>
      </c>
      <c r="M545" s="45"/>
      <c r="N545" s="45"/>
      <c r="O545" s="46"/>
      <c r="P545" s="46"/>
      <c r="Q545" s="46"/>
      <c r="R545" s="47"/>
      <c r="S545" s="45"/>
      <c r="T545" s="45"/>
      <c r="U545" s="48" t="str">
        <f aca="false">IF(O545&gt;0,P545/O545,"")</f>
        <v/>
      </c>
      <c r="V545" s="49" t="str">
        <f aca="false">IF(P545&gt;0,Q545/P545,"")</f>
        <v/>
      </c>
      <c r="W545" s="50" t="n">
        <f aca="false">IF(R545&lt;&gt;"",R545,Q545*'Cài đặt'!$B$12)</f>
        <v>0</v>
      </c>
      <c r="X545" s="50" t="str">
        <f aca="false">IF(O545&gt;0,W545/O545*1000,"")</f>
        <v/>
      </c>
      <c r="Y545" s="51" t="n">
        <f aca="false">IF(T545&lt;&gt;"",T545,INDEX('Cài đặt'!$B$20:$C$22,MATCH(I545,'Cài đặt'!$A$20:$A$22,0),IF(K545="AI tự động",1,2)))</f>
        <v>4</v>
      </c>
    </row>
    <row r="546" customFormat="false" ht="15" hidden="false" customHeight="false" outlineLevel="0" collapsed="false">
      <c r="A546" s="41" t="s">
        <v>996</v>
      </c>
      <c r="B546" s="41" t="s">
        <v>958</v>
      </c>
      <c r="C546" s="41" t="s">
        <v>154</v>
      </c>
      <c r="D546" s="42" t="str">
        <f aca="false">INDEX('Page và Ngách'!$B$5:$B$10,MATCH(C546,'Page và Ngách'!$A$5:$A$10,0))</f>
        <v>Werewolf / Rejected mate</v>
      </c>
      <c r="E546" s="41" t="n">
        <v>4</v>
      </c>
      <c r="F546" s="43" t="n">
        <f aca="false">'Cài đặt'!$B$39+E546-1</f>
        <v>46380</v>
      </c>
      <c r="G546" s="41" t="s">
        <v>451</v>
      </c>
      <c r="H546" s="44" t="str">
        <f aca="false">IF(G546="S1",'Cài đặt'!$B$7,'Cài đặt'!$B$8)</f>
        <v>20:00</v>
      </c>
      <c r="I546" s="44" t="str">
        <f aca="false">'Cài đặt'!$B$32</f>
        <v>Carousel</v>
      </c>
      <c r="J546" s="44" t="str">
        <f aca="false">'Cài đặt'!$B$33</f>
        <v>A</v>
      </c>
      <c r="K546" s="41" t="s">
        <v>961</v>
      </c>
      <c r="L546" s="42" t="str">
        <f aca="false">C546&amp;"_"&amp;B546&amp;"_"&amp;IF(I546="Reel","R",IF(I546="Carousel","C","I"))&amp;"_"&amp;J546&amp;"_"&amp;IF(K546="AI tự động","AI","HU")&amp;"_"&amp;RIGHT(A546,3)</f>
        <v>P1_EXP3_C_A_HU_008</v>
      </c>
      <c r="M546" s="45"/>
      <c r="N546" s="45"/>
      <c r="O546" s="46"/>
      <c r="P546" s="46"/>
      <c r="Q546" s="46"/>
      <c r="R546" s="47"/>
      <c r="S546" s="45"/>
      <c r="T546" s="45"/>
      <c r="U546" s="48" t="str">
        <f aca="false">IF(O546&gt;0,P546/O546,"")</f>
        <v/>
      </c>
      <c r="V546" s="49" t="str">
        <f aca="false">IF(P546&gt;0,Q546/P546,"")</f>
        <v/>
      </c>
      <c r="W546" s="50" t="n">
        <f aca="false">IF(R546&lt;&gt;"",R546,Q546*'Cài đặt'!$B$12)</f>
        <v>0</v>
      </c>
      <c r="X546" s="50" t="str">
        <f aca="false">IF(O546&gt;0,W546/O546*1000,"")</f>
        <v/>
      </c>
      <c r="Y546" s="51" t="n">
        <f aca="false">IF(T546&lt;&gt;"",T546,INDEX('Cài đặt'!$B$20:$C$22,MATCH(I546,'Cài đặt'!$A$20:$A$22,0),IF(K546="AI tự động",1,2)))</f>
        <v>25</v>
      </c>
    </row>
    <row r="547" customFormat="false" ht="15" hidden="false" customHeight="false" outlineLevel="0" collapsed="false">
      <c r="A547" s="41" t="s">
        <v>997</v>
      </c>
      <c r="B547" s="41" t="s">
        <v>958</v>
      </c>
      <c r="C547" s="41" t="s">
        <v>163</v>
      </c>
      <c r="D547" s="42" t="str">
        <f aca="false">INDEX('Page và Ngách'!$B$5:$B$10,MATCH(C547,'Page và Ngách'!$A$5:$A$10,0))</f>
        <v>Secret billionaire / CEO</v>
      </c>
      <c r="E547" s="41" t="n">
        <v>4</v>
      </c>
      <c r="F547" s="43" t="n">
        <f aca="false">'Cài đặt'!$B$39+E547-1</f>
        <v>46380</v>
      </c>
      <c r="G547" s="41" t="s">
        <v>444</v>
      </c>
      <c r="H547" s="44" t="str">
        <f aca="false">IF(G547="S1",'Cài đặt'!$B$7,'Cài đặt'!$B$8)</f>
        <v>12:00</v>
      </c>
      <c r="I547" s="44" t="str">
        <f aca="false">'Cài đặt'!$B$32</f>
        <v>Carousel</v>
      </c>
      <c r="J547" s="44" t="str">
        <f aca="false">'Cài đặt'!$B$33</f>
        <v>A</v>
      </c>
      <c r="K547" s="41" t="s">
        <v>445</v>
      </c>
      <c r="L547" s="42" t="str">
        <f aca="false">C547&amp;"_"&amp;B547&amp;"_"&amp;IF(I547="Reel","R",IF(I547="Carousel","C","I"))&amp;"_"&amp;J547&amp;"_"&amp;IF(K547="AI tự động","AI","HU")&amp;"_"&amp;RIGHT(A547,3)</f>
        <v>P2_EXP3_C_A_AI_007</v>
      </c>
      <c r="M547" s="45"/>
      <c r="N547" s="45"/>
      <c r="O547" s="46"/>
      <c r="P547" s="46"/>
      <c r="Q547" s="46"/>
      <c r="R547" s="47"/>
      <c r="S547" s="45"/>
      <c r="T547" s="45"/>
      <c r="U547" s="48" t="str">
        <f aca="false">IF(O547&gt;0,P547/O547,"")</f>
        <v/>
      </c>
      <c r="V547" s="49" t="str">
        <f aca="false">IF(P547&gt;0,Q547/P547,"")</f>
        <v/>
      </c>
      <c r="W547" s="50" t="n">
        <f aca="false">IF(R547&lt;&gt;"",R547,Q547*'Cài đặt'!$B$12)</f>
        <v>0</v>
      </c>
      <c r="X547" s="50" t="str">
        <f aca="false">IF(O547&gt;0,W547/O547*1000,"")</f>
        <v/>
      </c>
      <c r="Y547" s="51" t="n">
        <f aca="false">IF(T547&lt;&gt;"",T547,INDEX('Cài đặt'!$B$20:$C$22,MATCH(I547,'Cài đặt'!$A$20:$A$22,0),IF(K547="AI tự động",1,2)))</f>
        <v>4</v>
      </c>
    </row>
    <row r="548" customFormat="false" ht="15" hidden="false" customHeight="false" outlineLevel="0" collapsed="false">
      <c r="A548" s="41" t="s">
        <v>998</v>
      </c>
      <c r="B548" s="41" t="s">
        <v>958</v>
      </c>
      <c r="C548" s="41" t="s">
        <v>163</v>
      </c>
      <c r="D548" s="42" t="str">
        <f aca="false">INDEX('Page và Ngách'!$B$5:$B$10,MATCH(C548,'Page và Ngách'!$A$5:$A$10,0))</f>
        <v>Secret billionaire / CEO</v>
      </c>
      <c r="E548" s="41" t="n">
        <v>4</v>
      </c>
      <c r="F548" s="43" t="n">
        <f aca="false">'Cài đặt'!$B$39+E548-1</f>
        <v>46380</v>
      </c>
      <c r="G548" s="41" t="s">
        <v>451</v>
      </c>
      <c r="H548" s="44" t="str">
        <f aca="false">IF(G548="S1",'Cài đặt'!$B$7,'Cài đặt'!$B$8)</f>
        <v>20:00</v>
      </c>
      <c r="I548" s="44" t="str">
        <f aca="false">'Cài đặt'!$B$32</f>
        <v>Carousel</v>
      </c>
      <c r="J548" s="44" t="str">
        <f aca="false">'Cài đặt'!$B$33</f>
        <v>A</v>
      </c>
      <c r="K548" s="41" t="s">
        <v>445</v>
      </c>
      <c r="L548" s="42" t="str">
        <f aca="false">C548&amp;"_"&amp;B548&amp;"_"&amp;IF(I548="Reel","R",IF(I548="Carousel","C","I"))&amp;"_"&amp;J548&amp;"_"&amp;IF(K548="AI tự động","AI","HU")&amp;"_"&amp;RIGHT(A548,3)</f>
        <v>P2_EXP3_C_A_AI_008</v>
      </c>
      <c r="M548" s="45"/>
      <c r="N548" s="45"/>
      <c r="O548" s="46"/>
      <c r="P548" s="46"/>
      <c r="Q548" s="46"/>
      <c r="R548" s="47"/>
      <c r="S548" s="45"/>
      <c r="T548" s="45"/>
      <c r="U548" s="48" t="str">
        <f aca="false">IF(O548&gt;0,P548/O548,"")</f>
        <v/>
      </c>
      <c r="V548" s="49" t="str">
        <f aca="false">IF(P548&gt;0,Q548/P548,"")</f>
        <v/>
      </c>
      <c r="W548" s="50" t="n">
        <f aca="false">IF(R548&lt;&gt;"",R548,Q548*'Cài đặt'!$B$12)</f>
        <v>0</v>
      </c>
      <c r="X548" s="50" t="str">
        <f aca="false">IF(O548&gt;0,W548/O548*1000,"")</f>
        <v/>
      </c>
      <c r="Y548" s="51" t="n">
        <f aca="false">IF(T548&lt;&gt;"",T548,INDEX('Cài đặt'!$B$20:$C$22,MATCH(I548,'Cài đặt'!$A$20:$A$22,0),IF(K548="AI tự động",1,2)))</f>
        <v>4</v>
      </c>
    </row>
    <row r="549" customFormat="false" ht="15" hidden="false" customHeight="false" outlineLevel="0" collapsed="false">
      <c r="A549" s="41" t="s">
        <v>999</v>
      </c>
      <c r="B549" s="41" t="s">
        <v>958</v>
      </c>
      <c r="C549" s="41" t="s">
        <v>171</v>
      </c>
      <c r="D549" s="42" t="str">
        <f aca="false">INDEX('Page và Ngách'!$B$5:$B$10,MATCH(C549,'Page và Ngách'!$A$5:$A$10,0))</f>
        <v>Contract marriage / Fake relationship</v>
      </c>
      <c r="E549" s="41" t="n">
        <v>4</v>
      </c>
      <c r="F549" s="43" t="n">
        <f aca="false">'Cài đặt'!$B$39+E549-1</f>
        <v>46380</v>
      </c>
      <c r="G549" s="41" t="s">
        <v>444</v>
      </c>
      <c r="H549" s="44" t="str">
        <f aca="false">IF(G549="S1",'Cài đặt'!$B$7,'Cài đặt'!$B$8)</f>
        <v>12:00</v>
      </c>
      <c r="I549" s="44" t="str">
        <f aca="false">'Cài đặt'!$B$32</f>
        <v>Carousel</v>
      </c>
      <c r="J549" s="44" t="str">
        <f aca="false">'Cài đặt'!$B$33</f>
        <v>A</v>
      </c>
      <c r="K549" s="41" t="s">
        <v>445</v>
      </c>
      <c r="L549" s="42" t="str">
        <f aca="false">C549&amp;"_"&amp;B549&amp;"_"&amp;IF(I549="Reel","R",IF(I549="Carousel","C","I"))&amp;"_"&amp;J549&amp;"_"&amp;IF(K549="AI tự động","AI","HU")&amp;"_"&amp;RIGHT(A549,3)</f>
        <v>P3_EXP3_C_A_AI_007</v>
      </c>
      <c r="M549" s="45"/>
      <c r="N549" s="45"/>
      <c r="O549" s="46"/>
      <c r="P549" s="46"/>
      <c r="Q549" s="46"/>
      <c r="R549" s="47"/>
      <c r="S549" s="45"/>
      <c r="T549" s="45"/>
      <c r="U549" s="48" t="str">
        <f aca="false">IF(O549&gt;0,P549/O549,"")</f>
        <v/>
      </c>
      <c r="V549" s="49" t="str">
        <f aca="false">IF(P549&gt;0,Q549/P549,"")</f>
        <v/>
      </c>
      <c r="W549" s="50" t="n">
        <f aca="false">IF(R549&lt;&gt;"",R549,Q549*'Cài đặt'!$B$12)</f>
        <v>0</v>
      </c>
      <c r="X549" s="50" t="str">
        <f aca="false">IF(O549&gt;0,W549/O549*1000,"")</f>
        <v/>
      </c>
      <c r="Y549" s="51" t="n">
        <f aca="false">IF(T549&lt;&gt;"",T549,INDEX('Cài đặt'!$B$20:$C$22,MATCH(I549,'Cài đặt'!$A$20:$A$22,0),IF(K549="AI tự động",1,2)))</f>
        <v>4</v>
      </c>
    </row>
    <row r="550" customFormat="false" ht="15" hidden="false" customHeight="false" outlineLevel="0" collapsed="false">
      <c r="A550" s="41" t="s">
        <v>1000</v>
      </c>
      <c r="B550" s="41" t="s">
        <v>958</v>
      </c>
      <c r="C550" s="41" t="s">
        <v>171</v>
      </c>
      <c r="D550" s="42" t="str">
        <f aca="false">INDEX('Page và Ngách'!$B$5:$B$10,MATCH(C550,'Page và Ngách'!$A$5:$A$10,0))</f>
        <v>Contract marriage / Fake relationship</v>
      </c>
      <c r="E550" s="41" t="n">
        <v>4</v>
      </c>
      <c r="F550" s="43" t="n">
        <f aca="false">'Cài đặt'!$B$39+E550-1</f>
        <v>46380</v>
      </c>
      <c r="G550" s="41" t="s">
        <v>451</v>
      </c>
      <c r="H550" s="44" t="str">
        <f aca="false">IF(G550="S1",'Cài đặt'!$B$7,'Cài đặt'!$B$8)</f>
        <v>20:00</v>
      </c>
      <c r="I550" s="44" t="str">
        <f aca="false">'Cài đặt'!$B$32</f>
        <v>Carousel</v>
      </c>
      <c r="J550" s="44" t="str">
        <f aca="false">'Cài đặt'!$B$33</f>
        <v>A</v>
      </c>
      <c r="K550" s="41" t="s">
        <v>445</v>
      </c>
      <c r="L550" s="42" t="str">
        <f aca="false">C550&amp;"_"&amp;B550&amp;"_"&amp;IF(I550="Reel","R",IF(I550="Carousel","C","I"))&amp;"_"&amp;J550&amp;"_"&amp;IF(K550="AI tự động","AI","HU")&amp;"_"&amp;RIGHT(A550,3)</f>
        <v>P3_EXP3_C_A_AI_008</v>
      </c>
      <c r="M550" s="45"/>
      <c r="N550" s="45"/>
      <c r="O550" s="46"/>
      <c r="P550" s="46"/>
      <c r="Q550" s="46"/>
      <c r="R550" s="47"/>
      <c r="S550" s="45"/>
      <c r="T550" s="45"/>
      <c r="U550" s="48" t="str">
        <f aca="false">IF(O550&gt;0,P550/O550,"")</f>
        <v/>
      </c>
      <c r="V550" s="49" t="str">
        <f aca="false">IF(P550&gt;0,Q550/P550,"")</f>
        <v/>
      </c>
      <c r="W550" s="50" t="n">
        <f aca="false">IF(R550&lt;&gt;"",R550,Q550*'Cài đặt'!$B$12)</f>
        <v>0</v>
      </c>
      <c r="X550" s="50" t="str">
        <f aca="false">IF(O550&gt;0,W550/O550*1000,"")</f>
        <v/>
      </c>
      <c r="Y550" s="51" t="n">
        <f aca="false">IF(T550&lt;&gt;"",T550,INDEX('Cài đặt'!$B$20:$C$22,MATCH(I550,'Cài đặt'!$A$20:$A$22,0),IF(K550="AI tự động",1,2)))</f>
        <v>4</v>
      </c>
    </row>
    <row r="551" customFormat="false" ht="15" hidden="false" customHeight="false" outlineLevel="0" collapsed="false">
      <c r="A551" s="41" t="s">
        <v>1001</v>
      </c>
      <c r="B551" s="41" t="s">
        <v>958</v>
      </c>
      <c r="C551" s="41" t="s">
        <v>178</v>
      </c>
      <c r="D551" s="42" t="str">
        <f aca="false">INDEX('Page và Ngách'!$B$5:$B$10,MATCH(C551,'Page và Ngách'!$A$5:$A$10,0))</f>
        <v>Revenge / Betrayal ("you'll regret it")</v>
      </c>
      <c r="E551" s="41" t="n">
        <v>4</v>
      </c>
      <c r="F551" s="43" t="n">
        <f aca="false">'Cài đặt'!$B$39+E551-1</f>
        <v>46380</v>
      </c>
      <c r="G551" s="41" t="s">
        <v>444</v>
      </c>
      <c r="H551" s="44" t="str">
        <f aca="false">IF(G551="S1",'Cài đặt'!$B$7,'Cài đặt'!$B$8)</f>
        <v>12:00</v>
      </c>
      <c r="I551" s="44" t="str">
        <f aca="false">'Cài đặt'!$B$32</f>
        <v>Carousel</v>
      </c>
      <c r="J551" s="44" t="str">
        <f aca="false">'Cài đặt'!$B$33</f>
        <v>A</v>
      </c>
      <c r="K551" s="41" t="s">
        <v>961</v>
      </c>
      <c r="L551" s="42" t="str">
        <f aca="false">C551&amp;"_"&amp;B551&amp;"_"&amp;IF(I551="Reel","R",IF(I551="Carousel","C","I"))&amp;"_"&amp;J551&amp;"_"&amp;IF(K551="AI tự động","AI","HU")&amp;"_"&amp;RIGHT(A551,3)</f>
        <v>P4_EXP3_C_A_HU_007</v>
      </c>
      <c r="M551" s="45"/>
      <c r="N551" s="45"/>
      <c r="O551" s="46"/>
      <c r="P551" s="46"/>
      <c r="Q551" s="46"/>
      <c r="R551" s="47"/>
      <c r="S551" s="45"/>
      <c r="T551" s="45"/>
      <c r="U551" s="48" t="str">
        <f aca="false">IF(O551&gt;0,P551/O551,"")</f>
        <v/>
      </c>
      <c r="V551" s="49" t="str">
        <f aca="false">IF(P551&gt;0,Q551/P551,"")</f>
        <v/>
      </c>
      <c r="W551" s="50" t="n">
        <f aca="false">IF(R551&lt;&gt;"",R551,Q551*'Cài đặt'!$B$12)</f>
        <v>0</v>
      </c>
      <c r="X551" s="50" t="str">
        <f aca="false">IF(O551&gt;0,W551/O551*1000,"")</f>
        <v/>
      </c>
      <c r="Y551" s="51" t="n">
        <f aca="false">IF(T551&lt;&gt;"",T551,INDEX('Cài đặt'!$B$20:$C$22,MATCH(I551,'Cài đặt'!$A$20:$A$22,0),IF(K551="AI tự động",1,2)))</f>
        <v>25</v>
      </c>
    </row>
    <row r="552" customFormat="false" ht="15" hidden="false" customHeight="false" outlineLevel="0" collapsed="false">
      <c r="A552" s="41" t="s">
        <v>1002</v>
      </c>
      <c r="B552" s="41" t="s">
        <v>958</v>
      </c>
      <c r="C552" s="41" t="s">
        <v>178</v>
      </c>
      <c r="D552" s="42" t="str">
        <f aca="false">INDEX('Page và Ngách'!$B$5:$B$10,MATCH(C552,'Page và Ngách'!$A$5:$A$10,0))</f>
        <v>Revenge / Betrayal ("you'll regret it")</v>
      </c>
      <c r="E552" s="41" t="n">
        <v>4</v>
      </c>
      <c r="F552" s="43" t="n">
        <f aca="false">'Cài đặt'!$B$39+E552-1</f>
        <v>46380</v>
      </c>
      <c r="G552" s="41" t="s">
        <v>451</v>
      </c>
      <c r="H552" s="44" t="str">
        <f aca="false">IF(G552="S1",'Cài đặt'!$B$7,'Cài đặt'!$B$8)</f>
        <v>20:00</v>
      </c>
      <c r="I552" s="44" t="str">
        <f aca="false">'Cài đặt'!$B$32</f>
        <v>Carousel</v>
      </c>
      <c r="J552" s="44" t="str">
        <f aca="false">'Cài đặt'!$B$33</f>
        <v>A</v>
      </c>
      <c r="K552" s="41" t="s">
        <v>445</v>
      </c>
      <c r="L552" s="42" t="str">
        <f aca="false">C552&amp;"_"&amp;B552&amp;"_"&amp;IF(I552="Reel","R",IF(I552="Carousel","C","I"))&amp;"_"&amp;J552&amp;"_"&amp;IF(K552="AI tự động","AI","HU")&amp;"_"&amp;RIGHT(A552,3)</f>
        <v>P4_EXP3_C_A_AI_008</v>
      </c>
      <c r="M552" s="45"/>
      <c r="N552" s="45"/>
      <c r="O552" s="46"/>
      <c r="P552" s="46"/>
      <c r="Q552" s="46"/>
      <c r="R552" s="47"/>
      <c r="S552" s="45"/>
      <c r="T552" s="45"/>
      <c r="U552" s="48" t="str">
        <f aca="false">IF(O552&gt;0,P552/O552,"")</f>
        <v/>
      </c>
      <c r="V552" s="49" t="str">
        <f aca="false">IF(P552&gt;0,Q552/P552,"")</f>
        <v/>
      </c>
      <c r="W552" s="50" t="n">
        <f aca="false">IF(R552&lt;&gt;"",R552,Q552*'Cài đặt'!$B$12)</f>
        <v>0</v>
      </c>
      <c r="X552" s="50" t="str">
        <f aca="false">IF(O552&gt;0,W552/O552*1000,"")</f>
        <v/>
      </c>
      <c r="Y552" s="51" t="n">
        <f aca="false">IF(T552&lt;&gt;"",T552,INDEX('Cài đặt'!$B$20:$C$22,MATCH(I552,'Cài đặt'!$A$20:$A$22,0),IF(K552="AI tự động",1,2)))</f>
        <v>4</v>
      </c>
    </row>
    <row r="553" customFormat="false" ht="15" hidden="false" customHeight="false" outlineLevel="0" collapsed="false">
      <c r="A553" s="41" t="s">
        <v>1003</v>
      </c>
      <c r="B553" s="41" t="s">
        <v>958</v>
      </c>
      <c r="C553" s="41" t="s">
        <v>185</v>
      </c>
      <c r="D553" s="42" t="str">
        <f aca="false">INDEX('Page và Ngách'!$B$5:$B$10,MATCH(C553,'Page và Ngách'!$A$5:$A$10,0))</f>
        <v>Mafia / Dark romance (teaser PG-13)</v>
      </c>
      <c r="E553" s="41" t="n">
        <v>4</v>
      </c>
      <c r="F553" s="43" t="n">
        <f aca="false">'Cài đặt'!$B$39+E553-1</f>
        <v>46380</v>
      </c>
      <c r="G553" s="41" t="s">
        <v>444</v>
      </c>
      <c r="H553" s="44" t="str">
        <f aca="false">IF(G553="S1",'Cài đặt'!$B$7,'Cài đặt'!$B$8)</f>
        <v>12:00</v>
      </c>
      <c r="I553" s="44" t="str">
        <f aca="false">'Cài đặt'!$B$32</f>
        <v>Carousel</v>
      </c>
      <c r="J553" s="44" t="str">
        <f aca="false">'Cài đặt'!$B$33</f>
        <v>A</v>
      </c>
      <c r="K553" s="41" t="s">
        <v>445</v>
      </c>
      <c r="L553" s="42" t="str">
        <f aca="false">C553&amp;"_"&amp;B553&amp;"_"&amp;IF(I553="Reel","R",IF(I553="Carousel","C","I"))&amp;"_"&amp;J553&amp;"_"&amp;IF(K553="AI tự động","AI","HU")&amp;"_"&amp;RIGHT(A553,3)</f>
        <v>P5_EXP3_C_A_AI_007</v>
      </c>
      <c r="M553" s="45"/>
      <c r="N553" s="45"/>
      <c r="O553" s="46"/>
      <c r="P553" s="46"/>
      <c r="Q553" s="46"/>
      <c r="R553" s="47"/>
      <c r="S553" s="45"/>
      <c r="T553" s="45"/>
      <c r="U553" s="48" t="str">
        <f aca="false">IF(O553&gt;0,P553/O553,"")</f>
        <v/>
      </c>
      <c r="V553" s="49" t="str">
        <f aca="false">IF(P553&gt;0,Q553/P553,"")</f>
        <v/>
      </c>
      <c r="W553" s="50" t="n">
        <f aca="false">IF(R553&lt;&gt;"",R553,Q553*'Cài đặt'!$B$12)</f>
        <v>0</v>
      </c>
      <c r="X553" s="50" t="str">
        <f aca="false">IF(O553&gt;0,W553/O553*1000,"")</f>
        <v/>
      </c>
      <c r="Y553" s="51" t="n">
        <f aca="false">IF(T553&lt;&gt;"",T553,INDEX('Cài đặt'!$B$20:$C$22,MATCH(I553,'Cài đặt'!$A$20:$A$22,0),IF(K553="AI tự động",1,2)))</f>
        <v>4</v>
      </c>
    </row>
    <row r="554" customFormat="false" ht="15" hidden="false" customHeight="false" outlineLevel="0" collapsed="false">
      <c r="A554" s="41" t="s">
        <v>1004</v>
      </c>
      <c r="B554" s="41" t="s">
        <v>958</v>
      </c>
      <c r="C554" s="41" t="s">
        <v>185</v>
      </c>
      <c r="D554" s="42" t="str">
        <f aca="false">INDEX('Page và Ngách'!$B$5:$B$10,MATCH(C554,'Page và Ngách'!$A$5:$A$10,0))</f>
        <v>Mafia / Dark romance (teaser PG-13)</v>
      </c>
      <c r="E554" s="41" t="n">
        <v>4</v>
      </c>
      <c r="F554" s="43" t="n">
        <f aca="false">'Cài đặt'!$B$39+E554-1</f>
        <v>46380</v>
      </c>
      <c r="G554" s="41" t="s">
        <v>451</v>
      </c>
      <c r="H554" s="44" t="str">
        <f aca="false">IF(G554="S1",'Cài đặt'!$B$7,'Cài đặt'!$B$8)</f>
        <v>20:00</v>
      </c>
      <c r="I554" s="44" t="str">
        <f aca="false">'Cài đặt'!$B$32</f>
        <v>Carousel</v>
      </c>
      <c r="J554" s="44" t="str">
        <f aca="false">'Cài đặt'!$B$33</f>
        <v>A</v>
      </c>
      <c r="K554" s="41" t="s">
        <v>445</v>
      </c>
      <c r="L554" s="42" t="str">
        <f aca="false">C554&amp;"_"&amp;B554&amp;"_"&amp;IF(I554="Reel","R",IF(I554="Carousel","C","I"))&amp;"_"&amp;J554&amp;"_"&amp;IF(K554="AI tự động","AI","HU")&amp;"_"&amp;RIGHT(A554,3)</f>
        <v>P5_EXP3_C_A_AI_008</v>
      </c>
      <c r="M554" s="45"/>
      <c r="N554" s="45"/>
      <c r="O554" s="46"/>
      <c r="P554" s="46"/>
      <c r="Q554" s="46"/>
      <c r="R554" s="47"/>
      <c r="S554" s="45"/>
      <c r="T554" s="45"/>
      <c r="U554" s="48" t="str">
        <f aca="false">IF(O554&gt;0,P554/O554,"")</f>
        <v/>
      </c>
      <c r="V554" s="49" t="str">
        <f aca="false">IF(P554&gt;0,Q554/P554,"")</f>
        <v/>
      </c>
      <c r="W554" s="50" t="n">
        <f aca="false">IF(R554&lt;&gt;"",R554,Q554*'Cài đặt'!$B$12)</f>
        <v>0</v>
      </c>
      <c r="X554" s="50" t="str">
        <f aca="false">IF(O554&gt;0,W554/O554*1000,"")</f>
        <v/>
      </c>
      <c r="Y554" s="51" t="n">
        <f aca="false">IF(T554&lt;&gt;"",T554,INDEX('Cài đặt'!$B$20:$C$22,MATCH(I554,'Cài đặt'!$A$20:$A$22,0),IF(K554="AI tự động",1,2)))</f>
        <v>4</v>
      </c>
    </row>
    <row r="555" customFormat="false" ht="15" hidden="false" customHeight="false" outlineLevel="0" collapsed="false">
      <c r="A555" s="41" t="s">
        <v>1005</v>
      </c>
      <c r="B555" s="41" t="s">
        <v>958</v>
      </c>
      <c r="C555" s="41" t="s">
        <v>193</v>
      </c>
      <c r="D555" s="42" t="str">
        <f aca="false">INDEX('Page và Ngách'!$B$5:$B$10,MATCH(C555,'Page và Ngách'!$A$5:$A$10,0))</f>
        <v>Second chance / Secret baby</v>
      </c>
      <c r="E555" s="41" t="n">
        <v>4</v>
      </c>
      <c r="F555" s="43" t="n">
        <f aca="false">'Cài đặt'!$B$39+E555-1</f>
        <v>46380</v>
      </c>
      <c r="G555" s="41" t="s">
        <v>444</v>
      </c>
      <c r="H555" s="44" t="str">
        <f aca="false">IF(G555="S1",'Cài đặt'!$B$7,'Cài đặt'!$B$8)</f>
        <v>12:00</v>
      </c>
      <c r="I555" s="44" t="str">
        <f aca="false">'Cài đặt'!$B$32</f>
        <v>Carousel</v>
      </c>
      <c r="J555" s="44" t="str">
        <f aca="false">'Cài đặt'!$B$33</f>
        <v>A</v>
      </c>
      <c r="K555" s="41" t="s">
        <v>445</v>
      </c>
      <c r="L555" s="42" t="str">
        <f aca="false">C555&amp;"_"&amp;B555&amp;"_"&amp;IF(I555="Reel","R",IF(I555="Carousel","C","I"))&amp;"_"&amp;J555&amp;"_"&amp;IF(K555="AI tự động","AI","HU")&amp;"_"&amp;RIGHT(A555,3)</f>
        <v>P6_EXP3_C_A_AI_007</v>
      </c>
      <c r="M555" s="45"/>
      <c r="N555" s="45"/>
      <c r="O555" s="46"/>
      <c r="P555" s="46"/>
      <c r="Q555" s="46"/>
      <c r="R555" s="47"/>
      <c r="S555" s="45"/>
      <c r="T555" s="45"/>
      <c r="U555" s="48" t="str">
        <f aca="false">IF(O555&gt;0,P555/O555,"")</f>
        <v/>
      </c>
      <c r="V555" s="49" t="str">
        <f aca="false">IF(P555&gt;0,Q555/P555,"")</f>
        <v/>
      </c>
      <c r="W555" s="50" t="n">
        <f aca="false">IF(R555&lt;&gt;"",R555,Q555*'Cài đặt'!$B$12)</f>
        <v>0</v>
      </c>
      <c r="X555" s="50" t="str">
        <f aca="false">IF(O555&gt;0,W555/O555*1000,"")</f>
        <v/>
      </c>
      <c r="Y555" s="51" t="n">
        <f aca="false">IF(T555&lt;&gt;"",T555,INDEX('Cài đặt'!$B$20:$C$22,MATCH(I555,'Cài đặt'!$A$20:$A$22,0),IF(K555="AI tự động",1,2)))</f>
        <v>4</v>
      </c>
    </row>
    <row r="556" customFormat="false" ht="15" hidden="false" customHeight="false" outlineLevel="0" collapsed="false">
      <c r="A556" s="41" t="s">
        <v>1006</v>
      </c>
      <c r="B556" s="41" t="s">
        <v>958</v>
      </c>
      <c r="C556" s="41" t="s">
        <v>193</v>
      </c>
      <c r="D556" s="42" t="str">
        <f aca="false">INDEX('Page và Ngách'!$B$5:$B$10,MATCH(C556,'Page và Ngách'!$A$5:$A$10,0))</f>
        <v>Second chance / Secret baby</v>
      </c>
      <c r="E556" s="41" t="n">
        <v>4</v>
      </c>
      <c r="F556" s="43" t="n">
        <f aca="false">'Cài đặt'!$B$39+E556-1</f>
        <v>46380</v>
      </c>
      <c r="G556" s="41" t="s">
        <v>451</v>
      </c>
      <c r="H556" s="44" t="str">
        <f aca="false">IF(G556="S1",'Cài đặt'!$B$7,'Cài đặt'!$B$8)</f>
        <v>20:00</v>
      </c>
      <c r="I556" s="44" t="str">
        <f aca="false">'Cài đặt'!$B$32</f>
        <v>Carousel</v>
      </c>
      <c r="J556" s="44" t="str">
        <f aca="false">'Cài đặt'!$B$33</f>
        <v>A</v>
      </c>
      <c r="K556" s="41" t="s">
        <v>961</v>
      </c>
      <c r="L556" s="42" t="str">
        <f aca="false">C556&amp;"_"&amp;B556&amp;"_"&amp;IF(I556="Reel","R",IF(I556="Carousel","C","I"))&amp;"_"&amp;J556&amp;"_"&amp;IF(K556="AI tự động","AI","HU")&amp;"_"&amp;RIGHT(A556,3)</f>
        <v>P6_EXP3_C_A_HU_008</v>
      </c>
      <c r="M556" s="45"/>
      <c r="N556" s="45"/>
      <c r="O556" s="46"/>
      <c r="P556" s="46"/>
      <c r="Q556" s="46"/>
      <c r="R556" s="47"/>
      <c r="S556" s="45"/>
      <c r="T556" s="45"/>
      <c r="U556" s="48" t="str">
        <f aca="false">IF(O556&gt;0,P556/O556,"")</f>
        <v/>
      </c>
      <c r="V556" s="49" t="str">
        <f aca="false">IF(P556&gt;0,Q556/P556,"")</f>
        <v/>
      </c>
      <c r="W556" s="50" t="n">
        <f aca="false">IF(R556&lt;&gt;"",R556,Q556*'Cài đặt'!$B$12)</f>
        <v>0</v>
      </c>
      <c r="X556" s="50" t="str">
        <f aca="false">IF(O556&gt;0,W556/O556*1000,"")</f>
        <v/>
      </c>
      <c r="Y556" s="51" t="n">
        <f aca="false">IF(T556&lt;&gt;"",T556,INDEX('Cài đặt'!$B$20:$C$22,MATCH(I556,'Cài đặt'!$A$20:$A$22,0),IF(K556="AI tự động",1,2)))</f>
        <v>25</v>
      </c>
    </row>
    <row r="557" customFormat="false" ht="15" hidden="false" customHeight="false" outlineLevel="0" collapsed="false">
      <c r="A557" s="41" t="s">
        <v>1007</v>
      </c>
      <c r="B557" s="41" t="s">
        <v>958</v>
      </c>
      <c r="C557" s="41" t="s">
        <v>154</v>
      </c>
      <c r="D557" s="42" t="str">
        <f aca="false">INDEX('Page và Ngách'!$B$5:$B$10,MATCH(C557,'Page và Ngách'!$A$5:$A$10,0))</f>
        <v>Werewolf / Rejected mate</v>
      </c>
      <c r="E557" s="41" t="n">
        <v>5</v>
      </c>
      <c r="F557" s="43" t="n">
        <f aca="false">'Cài đặt'!$B$39+E557-1</f>
        <v>46381</v>
      </c>
      <c r="G557" s="41" t="s">
        <v>444</v>
      </c>
      <c r="H557" s="44" t="str">
        <f aca="false">IF(G557="S1",'Cài đặt'!$B$7,'Cài đặt'!$B$8)</f>
        <v>12:00</v>
      </c>
      <c r="I557" s="44" t="str">
        <f aca="false">'Cài đặt'!$B$32</f>
        <v>Carousel</v>
      </c>
      <c r="J557" s="44" t="str">
        <f aca="false">'Cài đặt'!$B$33</f>
        <v>A</v>
      </c>
      <c r="K557" s="41" t="s">
        <v>445</v>
      </c>
      <c r="L557" s="42" t="str">
        <f aca="false">C557&amp;"_"&amp;B557&amp;"_"&amp;IF(I557="Reel","R",IF(I557="Carousel","C","I"))&amp;"_"&amp;J557&amp;"_"&amp;IF(K557="AI tự động","AI","HU")&amp;"_"&amp;RIGHT(A557,3)</f>
        <v>P1_EXP3_C_A_AI_009</v>
      </c>
      <c r="M557" s="45"/>
      <c r="N557" s="45"/>
      <c r="O557" s="46"/>
      <c r="P557" s="46"/>
      <c r="Q557" s="46"/>
      <c r="R557" s="47"/>
      <c r="S557" s="45"/>
      <c r="T557" s="45"/>
      <c r="U557" s="48" t="str">
        <f aca="false">IF(O557&gt;0,P557/O557,"")</f>
        <v/>
      </c>
      <c r="V557" s="49" t="str">
        <f aca="false">IF(P557&gt;0,Q557/P557,"")</f>
        <v/>
      </c>
      <c r="W557" s="50" t="n">
        <f aca="false">IF(R557&lt;&gt;"",R557,Q557*'Cài đặt'!$B$12)</f>
        <v>0</v>
      </c>
      <c r="X557" s="50" t="str">
        <f aca="false">IF(O557&gt;0,W557/O557*1000,"")</f>
        <v/>
      </c>
      <c r="Y557" s="51" t="n">
        <f aca="false">IF(T557&lt;&gt;"",T557,INDEX('Cài đặt'!$B$20:$C$22,MATCH(I557,'Cài đặt'!$A$20:$A$22,0),IF(K557="AI tự động",1,2)))</f>
        <v>4</v>
      </c>
    </row>
    <row r="558" customFormat="false" ht="15" hidden="false" customHeight="false" outlineLevel="0" collapsed="false">
      <c r="A558" s="41" t="s">
        <v>1008</v>
      </c>
      <c r="B558" s="41" t="s">
        <v>958</v>
      </c>
      <c r="C558" s="41" t="s">
        <v>154</v>
      </c>
      <c r="D558" s="42" t="str">
        <f aca="false">INDEX('Page và Ngách'!$B$5:$B$10,MATCH(C558,'Page và Ngách'!$A$5:$A$10,0))</f>
        <v>Werewolf / Rejected mate</v>
      </c>
      <c r="E558" s="41" t="n">
        <v>5</v>
      </c>
      <c r="F558" s="43" t="n">
        <f aca="false">'Cài đặt'!$B$39+E558-1</f>
        <v>46381</v>
      </c>
      <c r="G558" s="41" t="s">
        <v>451</v>
      </c>
      <c r="H558" s="44" t="str">
        <f aca="false">IF(G558="S1",'Cài đặt'!$B$7,'Cài đặt'!$B$8)</f>
        <v>20:00</v>
      </c>
      <c r="I558" s="44" t="str">
        <f aca="false">'Cài đặt'!$B$32</f>
        <v>Carousel</v>
      </c>
      <c r="J558" s="44" t="str">
        <f aca="false">'Cài đặt'!$B$33</f>
        <v>A</v>
      </c>
      <c r="K558" s="41" t="s">
        <v>445</v>
      </c>
      <c r="L558" s="42" t="str">
        <f aca="false">C558&amp;"_"&amp;B558&amp;"_"&amp;IF(I558="Reel","R",IF(I558="Carousel","C","I"))&amp;"_"&amp;J558&amp;"_"&amp;IF(K558="AI tự động","AI","HU")&amp;"_"&amp;RIGHT(A558,3)</f>
        <v>P1_EXP3_C_A_AI_010</v>
      </c>
      <c r="M558" s="45"/>
      <c r="N558" s="45"/>
      <c r="O558" s="46"/>
      <c r="P558" s="46"/>
      <c r="Q558" s="46"/>
      <c r="R558" s="47"/>
      <c r="S558" s="45"/>
      <c r="T558" s="45"/>
      <c r="U558" s="48" t="str">
        <f aca="false">IF(O558&gt;0,P558/O558,"")</f>
        <v/>
      </c>
      <c r="V558" s="49" t="str">
        <f aca="false">IF(P558&gt;0,Q558/P558,"")</f>
        <v/>
      </c>
      <c r="W558" s="50" t="n">
        <f aca="false">IF(R558&lt;&gt;"",R558,Q558*'Cài đặt'!$B$12)</f>
        <v>0</v>
      </c>
      <c r="X558" s="50" t="str">
        <f aca="false">IF(O558&gt;0,W558/O558*1000,"")</f>
        <v/>
      </c>
      <c r="Y558" s="51" t="n">
        <f aca="false">IF(T558&lt;&gt;"",T558,INDEX('Cài đặt'!$B$20:$C$22,MATCH(I558,'Cài đặt'!$A$20:$A$22,0),IF(K558="AI tự động",1,2)))</f>
        <v>4</v>
      </c>
    </row>
    <row r="559" customFormat="false" ht="15" hidden="false" customHeight="false" outlineLevel="0" collapsed="false">
      <c r="A559" s="41" t="s">
        <v>1009</v>
      </c>
      <c r="B559" s="41" t="s">
        <v>958</v>
      </c>
      <c r="C559" s="41" t="s">
        <v>163</v>
      </c>
      <c r="D559" s="42" t="str">
        <f aca="false">INDEX('Page và Ngách'!$B$5:$B$10,MATCH(C559,'Page và Ngách'!$A$5:$A$10,0))</f>
        <v>Secret billionaire / CEO</v>
      </c>
      <c r="E559" s="41" t="n">
        <v>5</v>
      </c>
      <c r="F559" s="43" t="n">
        <f aca="false">'Cài đặt'!$B$39+E559-1</f>
        <v>46381</v>
      </c>
      <c r="G559" s="41" t="s">
        <v>444</v>
      </c>
      <c r="H559" s="44" t="str">
        <f aca="false">IF(G559="S1",'Cài đặt'!$B$7,'Cài đặt'!$B$8)</f>
        <v>12:00</v>
      </c>
      <c r="I559" s="44" t="str">
        <f aca="false">'Cài đặt'!$B$32</f>
        <v>Carousel</v>
      </c>
      <c r="J559" s="44" t="str">
        <f aca="false">'Cài đặt'!$B$33</f>
        <v>A</v>
      </c>
      <c r="K559" s="41" t="s">
        <v>445</v>
      </c>
      <c r="L559" s="42" t="str">
        <f aca="false">C559&amp;"_"&amp;B559&amp;"_"&amp;IF(I559="Reel","R",IF(I559="Carousel","C","I"))&amp;"_"&amp;J559&amp;"_"&amp;IF(K559="AI tự động","AI","HU")&amp;"_"&amp;RIGHT(A559,3)</f>
        <v>P2_EXP3_C_A_AI_009</v>
      </c>
      <c r="M559" s="45"/>
      <c r="N559" s="45"/>
      <c r="O559" s="46"/>
      <c r="P559" s="46"/>
      <c r="Q559" s="46"/>
      <c r="R559" s="47"/>
      <c r="S559" s="45"/>
      <c r="T559" s="45"/>
      <c r="U559" s="48" t="str">
        <f aca="false">IF(O559&gt;0,P559/O559,"")</f>
        <v/>
      </c>
      <c r="V559" s="49" t="str">
        <f aca="false">IF(P559&gt;0,Q559/P559,"")</f>
        <v/>
      </c>
      <c r="W559" s="50" t="n">
        <f aca="false">IF(R559&lt;&gt;"",R559,Q559*'Cài đặt'!$B$12)</f>
        <v>0</v>
      </c>
      <c r="X559" s="50" t="str">
        <f aca="false">IF(O559&gt;0,W559/O559*1000,"")</f>
        <v/>
      </c>
      <c r="Y559" s="51" t="n">
        <f aca="false">IF(T559&lt;&gt;"",T559,INDEX('Cài đặt'!$B$20:$C$22,MATCH(I559,'Cài đặt'!$A$20:$A$22,0),IF(K559="AI tự động",1,2)))</f>
        <v>4</v>
      </c>
    </row>
    <row r="560" customFormat="false" ht="15" hidden="false" customHeight="false" outlineLevel="0" collapsed="false">
      <c r="A560" s="41" t="s">
        <v>1010</v>
      </c>
      <c r="B560" s="41" t="s">
        <v>958</v>
      </c>
      <c r="C560" s="41" t="s">
        <v>163</v>
      </c>
      <c r="D560" s="42" t="str">
        <f aca="false">INDEX('Page và Ngách'!$B$5:$B$10,MATCH(C560,'Page và Ngách'!$A$5:$A$10,0))</f>
        <v>Secret billionaire / CEO</v>
      </c>
      <c r="E560" s="41" t="n">
        <v>5</v>
      </c>
      <c r="F560" s="43" t="n">
        <f aca="false">'Cài đặt'!$B$39+E560-1</f>
        <v>46381</v>
      </c>
      <c r="G560" s="41" t="s">
        <v>451</v>
      </c>
      <c r="H560" s="44" t="str">
        <f aca="false">IF(G560="S1",'Cài đặt'!$B$7,'Cài đặt'!$B$8)</f>
        <v>20:00</v>
      </c>
      <c r="I560" s="44" t="str">
        <f aca="false">'Cài đặt'!$B$32</f>
        <v>Carousel</v>
      </c>
      <c r="J560" s="44" t="str">
        <f aca="false">'Cài đặt'!$B$33</f>
        <v>A</v>
      </c>
      <c r="K560" s="41" t="s">
        <v>445</v>
      </c>
      <c r="L560" s="42" t="str">
        <f aca="false">C560&amp;"_"&amp;B560&amp;"_"&amp;IF(I560="Reel","R",IF(I560="Carousel","C","I"))&amp;"_"&amp;J560&amp;"_"&amp;IF(K560="AI tự động","AI","HU")&amp;"_"&amp;RIGHT(A560,3)</f>
        <v>P2_EXP3_C_A_AI_010</v>
      </c>
      <c r="M560" s="45"/>
      <c r="N560" s="45"/>
      <c r="O560" s="46"/>
      <c r="P560" s="46"/>
      <c r="Q560" s="46"/>
      <c r="R560" s="47"/>
      <c r="S560" s="45"/>
      <c r="T560" s="45"/>
      <c r="U560" s="48" t="str">
        <f aca="false">IF(O560&gt;0,P560/O560,"")</f>
        <v/>
      </c>
      <c r="V560" s="49" t="str">
        <f aca="false">IF(P560&gt;0,Q560/P560,"")</f>
        <v/>
      </c>
      <c r="W560" s="50" t="n">
        <f aca="false">IF(R560&lt;&gt;"",R560,Q560*'Cài đặt'!$B$12)</f>
        <v>0</v>
      </c>
      <c r="X560" s="50" t="str">
        <f aca="false">IF(O560&gt;0,W560/O560*1000,"")</f>
        <v/>
      </c>
      <c r="Y560" s="51" t="n">
        <f aca="false">IF(T560&lt;&gt;"",T560,INDEX('Cài đặt'!$B$20:$C$22,MATCH(I560,'Cài đặt'!$A$20:$A$22,0),IF(K560="AI tự động",1,2)))</f>
        <v>4</v>
      </c>
    </row>
    <row r="561" customFormat="false" ht="15" hidden="false" customHeight="false" outlineLevel="0" collapsed="false">
      <c r="A561" s="41" t="s">
        <v>1011</v>
      </c>
      <c r="B561" s="41" t="s">
        <v>958</v>
      </c>
      <c r="C561" s="41" t="s">
        <v>171</v>
      </c>
      <c r="D561" s="42" t="str">
        <f aca="false">INDEX('Page và Ngách'!$B$5:$B$10,MATCH(C561,'Page và Ngách'!$A$5:$A$10,0))</f>
        <v>Contract marriage / Fake relationship</v>
      </c>
      <c r="E561" s="41" t="n">
        <v>5</v>
      </c>
      <c r="F561" s="43" t="n">
        <f aca="false">'Cài đặt'!$B$39+E561-1</f>
        <v>46381</v>
      </c>
      <c r="G561" s="41" t="s">
        <v>444</v>
      </c>
      <c r="H561" s="44" t="str">
        <f aca="false">IF(G561="S1",'Cài đặt'!$B$7,'Cài đặt'!$B$8)</f>
        <v>12:00</v>
      </c>
      <c r="I561" s="44" t="str">
        <f aca="false">'Cài đặt'!$B$32</f>
        <v>Carousel</v>
      </c>
      <c r="J561" s="44" t="str">
        <f aca="false">'Cài đặt'!$B$33</f>
        <v>A</v>
      </c>
      <c r="K561" s="41" t="s">
        <v>961</v>
      </c>
      <c r="L561" s="42" t="str">
        <f aca="false">C561&amp;"_"&amp;B561&amp;"_"&amp;IF(I561="Reel","R",IF(I561="Carousel","C","I"))&amp;"_"&amp;J561&amp;"_"&amp;IF(K561="AI tự động","AI","HU")&amp;"_"&amp;RIGHT(A561,3)</f>
        <v>P3_EXP3_C_A_HU_009</v>
      </c>
      <c r="M561" s="45"/>
      <c r="N561" s="45"/>
      <c r="O561" s="46"/>
      <c r="P561" s="46"/>
      <c r="Q561" s="46"/>
      <c r="R561" s="47"/>
      <c r="S561" s="45"/>
      <c r="T561" s="45"/>
      <c r="U561" s="48" t="str">
        <f aca="false">IF(O561&gt;0,P561/O561,"")</f>
        <v/>
      </c>
      <c r="V561" s="49" t="str">
        <f aca="false">IF(P561&gt;0,Q561/P561,"")</f>
        <v/>
      </c>
      <c r="W561" s="50" t="n">
        <f aca="false">IF(R561&lt;&gt;"",R561,Q561*'Cài đặt'!$B$12)</f>
        <v>0</v>
      </c>
      <c r="X561" s="50" t="str">
        <f aca="false">IF(O561&gt;0,W561/O561*1000,"")</f>
        <v/>
      </c>
      <c r="Y561" s="51" t="n">
        <f aca="false">IF(T561&lt;&gt;"",T561,INDEX('Cài đặt'!$B$20:$C$22,MATCH(I561,'Cài đặt'!$A$20:$A$22,0),IF(K561="AI tự động",1,2)))</f>
        <v>25</v>
      </c>
    </row>
    <row r="562" customFormat="false" ht="15" hidden="false" customHeight="false" outlineLevel="0" collapsed="false">
      <c r="A562" s="41" t="s">
        <v>1012</v>
      </c>
      <c r="B562" s="41" t="s">
        <v>958</v>
      </c>
      <c r="C562" s="41" t="s">
        <v>171</v>
      </c>
      <c r="D562" s="42" t="str">
        <f aca="false">INDEX('Page và Ngách'!$B$5:$B$10,MATCH(C562,'Page và Ngách'!$A$5:$A$10,0))</f>
        <v>Contract marriage / Fake relationship</v>
      </c>
      <c r="E562" s="41" t="n">
        <v>5</v>
      </c>
      <c r="F562" s="43" t="n">
        <f aca="false">'Cài đặt'!$B$39+E562-1</f>
        <v>46381</v>
      </c>
      <c r="G562" s="41" t="s">
        <v>451</v>
      </c>
      <c r="H562" s="44" t="str">
        <f aca="false">IF(G562="S1",'Cài đặt'!$B$7,'Cài đặt'!$B$8)</f>
        <v>20:00</v>
      </c>
      <c r="I562" s="44" t="str">
        <f aca="false">'Cài đặt'!$B$32</f>
        <v>Carousel</v>
      </c>
      <c r="J562" s="44" t="str">
        <f aca="false">'Cài đặt'!$B$33</f>
        <v>A</v>
      </c>
      <c r="K562" s="41" t="s">
        <v>445</v>
      </c>
      <c r="L562" s="42" t="str">
        <f aca="false">C562&amp;"_"&amp;B562&amp;"_"&amp;IF(I562="Reel","R",IF(I562="Carousel","C","I"))&amp;"_"&amp;J562&amp;"_"&amp;IF(K562="AI tự động","AI","HU")&amp;"_"&amp;RIGHT(A562,3)</f>
        <v>P3_EXP3_C_A_AI_010</v>
      </c>
      <c r="M562" s="45"/>
      <c r="N562" s="45"/>
      <c r="O562" s="46"/>
      <c r="P562" s="46"/>
      <c r="Q562" s="46"/>
      <c r="R562" s="47"/>
      <c r="S562" s="45"/>
      <c r="T562" s="45"/>
      <c r="U562" s="48" t="str">
        <f aca="false">IF(O562&gt;0,P562/O562,"")</f>
        <v/>
      </c>
      <c r="V562" s="49" t="str">
        <f aca="false">IF(P562&gt;0,Q562/P562,"")</f>
        <v/>
      </c>
      <c r="W562" s="50" t="n">
        <f aca="false">IF(R562&lt;&gt;"",R562,Q562*'Cài đặt'!$B$12)</f>
        <v>0</v>
      </c>
      <c r="X562" s="50" t="str">
        <f aca="false">IF(O562&gt;0,W562/O562*1000,"")</f>
        <v/>
      </c>
      <c r="Y562" s="51" t="n">
        <f aca="false">IF(T562&lt;&gt;"",T562,INDEX('Cài đặt'!$B$20:$C$22,MATCH(I562,'Cài đặt'!$A$20:$A$22,0),IF(K562="AI tự động",1,2)))</f>
        <v>4</v>
      </c>
    </row>
    <row r="563" customFormat="false" ht="15" hidden="false" customHeight="false" outlineLevel="0" collapsed="false">
      <c r="A563" s="41" t="s">
        <v>1013</v>
      </c>
      <c r="B563" s="41" t="s">
        <v>958</v>
      </c>
      <c r="C563" s="41" t="s">
        <v>178</v>
      </c>
      <c r="D563" s="42" t="str">
        <f aca="false">INDEX('Page và Ngách'!$B$5:$B$10,MATCH(C563,'Page và Ngách'!$A$5:$A$10,0))</f>
        <v>Revenge / Betrayal ("you'll regret it")</v>
      </c>
      <c r="E563" s="41" t="n">
        <v>5</v>
      </c>
      <c r="F563" s="43" t="n">
        <f aca="false">'Cài đặt'!$B$39+E563-1</f>
        <v>46381</v>
      </c>
      <c r="G563" s="41" t="s">
        <v>444</v>
      </c>
      <c r="H563" s="44" t="str">
        <f aca="false">IF(G563="S1",'Cài đặt'!$B$7,'Cài đặt'!$B$8)</f>
        <v>12:00</v>
      </c>
      <c r="I563" s="44" t="str">
        <f aca="false">'Cài đặt'!$B$32</f>
        <v>Carousel</v>
      </c>
      <c r="J563" s="44" t="str">
        <f aca="false">'Cài đặt'!$B$33</f>
        <v>A</v>
      </c>
      <c r="K563" s="41" t="s">
        <v>445</v>
      </c>
      <c r="L563" s="42" t="str">
        <f aca="false">C563&amp;"_"&amp;B563&amp;"_"&amp;IF(I563="Reel","R",IF(I563="Carousel","C","I"))&amp;"_"&amp;J563&amp;"_"&amp;IF(K563="AI tự động","AI","HU")&amp;"_"&amp;RIGHT(A563,3)</f>
        <v>P4_EXP3_C_A_AI_009</v>
      </c>
      <c r="M563" s="45"/>
      <c r="N563" s="45"/>
      <c r="O563" s="46"/>
      <c r="P563" s="46"/>
      <c r="Q563" s="46"/>
      <c r="R563" s="47"/>
      <c r="S563" s="45"/>
      <c r="T563" s="45"/>
      <c r="U563" s="48" t="str">
        <f aca="false">IF(O563&gt;0,P563/O563,"")</f>
        <v/>
      </c>
      <c r="V563" s="49" t="str">
        <f aca="false">IF(P563&gt;0,Q563/P563,"")</f>
        <v/>
      </c>
      <c r="W563" s="50" t="n">
        <f aca="false">IF(R563&lt;&gt;"",R563,Q563*'Cài đặt'!$B$12)</f>
        <v>0</v>
      </c>
      <c r="X563" s="50" t="str">
        <f aca="false">IF(O563&gt;0,W563/O563*1000,"")</f>
        <v/>
      </c>
      <c r="Y563" s="51" t="n">
        <f aca="false">IF(T563&lt;&gt;"",T563,INDEX('Cài đặt'!$B$20:$C$22,MATCH(I563,'Cài đặt'!$A$20:$A$22,0),IF(K563="AI tự động",1,2)))</f>
        <v>4</v>
      </c>
    </row>
    <row r="564" customFormat="false" ht="15" hidden="false" customHeight="false" outlineLevel="0" collapsed="false">
      <c r="A564" s="41" t="s">
        <v>1014</v>
      </c>
      <c r="B564" s="41" t="s">
        <v>958</v>
      </c>
      <c r="C564" s="41" t="s">
        <v>178</v>
      </c>
      <c r="D564" s="42" t="str">
        <f aca="false">INDEX('Page và Ngách'!$B$5:$B$10,MATCH(C564,'Page và Ngách'!$A$5:$A$10,0))</f>
        <v>Revenge / Betrayal ("you'll regret it")</v>
      </c>
      <c r="E564" s="41" t="n">
        <v>5</v>
      </c>
      <c r="F564" s="43" t="n">
        <f aca="false">'Cài đặt'!$B$39+E564-1</f>
        <v>46381</v>
      </c>
      <c r="G564" s="41" t="s">
        <v>451</v>
      </c>
      <c r="H564" s="44" t="str">
        <f aca="false">IF(G564="S1",'Cài đặt'!$B$7,'Cài đặt'!$B$8)</f>
        <v>20:00</v>
      </c>
      <c r="I564" s="44" t="str">
        <f aca="false">'Cài đặt'!$B$32</f>
        <v>Carousel</v>
      </c>
      <c r="J564" s="44" t="str">
        <f aca="false">'Cài đặt'!$B$33</f>
        <v>A</v>
      </c>
      <c r="K564" s="41" t="s">
        <v>445</v>
      </c>
      <c r="L564" s="42" t="str">
        <f aca="false">C564&amp;"_"&amp;B564&amp;"_"&amp;IF(I564="Reel","R",IF(I564="Carousel","C","I"))&amp;"_"&amp;J564&amp;"_"&amp;IF(K564="AI tự động","AI","HU")&amp;"_"&amp;RIGHT(A564,3)</f>
        <v>P4_EXP3_C_A_AI_010</v>
      </c>
      <c r="M564" s="45"/>
      <c r="N564" s="45"/>
      <c r="O564" s="46"/>
      <c r="P564" s="46"/>
      <c r="Q564" s="46"/>
      <c r="R564" s="47"/>
      <c r="S564" s="45"/>
      <c r="T564" s="45"/>
      <c r="U564" s="48" t="str">
        <f aca="false">IF(O564&gt;0,P564/O564,"")</f>
        <v/>
      </c>
      <c r="V564" s="49" t="str">
        <f aca="false">IF(P564&gt;0,Q564/P564,"")</f>
        <v/>
      </c>
      <c r="W564" s="50" t="n">
        <f aca="false">IF(R564&lt;&gt;"",R564,Q564*'Cài đặt'!$B$12)</f>
        <v>0</v>
      </c>
      <c r="X564" s="50" t="str">
        <f aca="false">IF(O564&gt;0,W564/O564*1000,"")</f>
        <v/>
      </c>
      <c r="Y564" s="51" t="n">
        <f aca="false">IF(T564&lt;&gt;"",T564,INDEX('Cài đặt'!$B$20:$C$22,MATCH(I564,'Cài đặt'!$A$20:$A$22,0),IF(K564="AI tự động",1,2)))</f>
        <v>4</v>
      </c>
    </row>
    <row r="565" customFormat="false" ht="15" hidden="false" customHeight="false" outlineLevel="0" collapsed="false">
      <c r="A565" s="41" t="s">
        <v>1015</v>
      </c>
      <c r="B565" s="41" t="s">
        <v>958</v>
      </c>
      <c r="C565" s="41" t="s">
        <v>185</v>
      </c>
      <c r="D565" s="42" t="str">
        <f aca="false">INDEX('Page và Ngách'!$B$5:$B$10,MATCH(C565,'Page và Ngách'!$A$5:$A$10,0))</f>
        <v>Mafia / Dark romance (teaser PG-13)</v>
      </c>
      <c r="E565" s="41" t="n">
        <v>5</v>
      </c>
      <c r="F565" s="43" t="n">
        <f aca="false">'Cài đặt'!$B$39+E565-1</f>
        <v>46381</v>
      </c>
      <c r="G565" s="41" t="s">
        <v>444</v>
      </c>
      <c r="H565" s="44" t="str">
        <f aca="false">IF(G565="S1",'Cài đặt'!$B$7,'Cài đặt'!$B$8)</f>
        <v>12:00</v>
      </c>
      <c r="I565" s="44" t="str">
        <f aca="false">'Cài đặt'!$B$32</f>
        <v>Carousel</v>
      </c>
      <c r="J565" s="44" t="str">
        <f aca="false">'Cài đặt'!$B$33</f>
        <v>A</v>
      </c>
      <c r="K565" s="41" t="s">
        <v>445</v>
      </c>
      <c r="L565" s="42" t="str">
        <f aca="false">C565&amp;"_"&amp;B565&amp;"_"&amp;IF(I565="Reel","R",IF(I565="Carousel","C","I"))&amp;"_"&amp;J565&amp;"_"&amp;IF(K565="AI tự động","AI","HU")&amp;"_"&amp;RIGHT(A565,3)</f>
        <v>P5_EXP3_C_A_AI_009</v>
      </c>
      <c r="M565" s="45"/>
      <c r="N565" s="45"/>
      <c r="O565" s="46"/>
      <c r="P565" s="46"/>
      <c r="Q565" s="46"/>
      <c r="R565" s="47"/>
      <c r="S565" s="45"/>
      <c r="T565" s="45"/>
      <c r="U565" s="48" t="str">
        <f aca="false">IF(O565&gt;0,P565/O565,"")</f>
        <v/>
      </c>
      <c r="V565" s="49" t="str">
        <f aca="false">IF(P565&gt;0,Q565/P565,"")</f>
        <v/>
      </c>
      <c r="W565" s="50" t="n">
        <f aca="false">IF(R565&lt;&gt;"",R565,Q565*'Cài đặt'!$B$12)</f>
        <v>0</v>
      </c>
      <c r="X565" s="50" t="str">
        <f aca="false">IF(O565&gt;0,W565/O565*1000,"")</f>
        <v/>
      </c>
      <c r="Y565" s="51" t="n">
        <f aca="false">IF(T565&lt;&gt;"",T565,INDEX('Cài đặt'!$B$20:$C$22,MATCH(I565,'Cài đặt'!$A$20:$A$22,0),IF(K565="AI tự động",1,2)))</f>
        <v>4</v>
      </c>
    </row>
    <row r="566" customFormat="false" ht="15" hidden="false" customHeight="false" outlineLevel="0" collapsed="false">
      <c r="A566" s="41" t="s">
        <v>1016</v>
      </c>
      <c r="B566" s="41" t="s">
        <v>958</v>
      </c>
      <c r="C566" s="41" t="s">
        <v>185</v>
      </c>
      <c r="D566" s="42" t="str">
        <f aca="false">INDEX('Page và Ngách'!$B$5:$B$10,MATCH(C566,'Page và Ngách'!$A$5:$A$10,0))</f>
        <v>Mafia / Dark romance (teaser PG-13)</v>
      </c>
      <c r="E566" s="41" t="n">
        <v>5</v>
      </c>
      <c r="F566" s="43" t="n">
        <f aca="false">'Cài đặt'!$B$39+E566-1</f>
        <v>46381</v>
      </c>
      <c r="G566" s="41" t="s">
        <v>451</v>
      </c>
      <c r="H566" s="44" t="str">
        <f aca="false">IF(G566="S1",'Cài đặt'!$B$7,'Cài đặt'!$B$8)</f>
        <v>20:00</v>
      </c>
      <c r="I566" s="44" t="str">
        <f aca="false">'Cài đặt'!$B$32</f>
        <v>Carousel</v>
      </c>
      <c r="J566" s="44" t="str">
        <f aca="false">'Cài đặt'!$B$33</f>
        <v>A</v>
      </c>
      <c r="K566" s="41" t="s">
        <v>961</v>
      </c>
      <c r="L566" s="42" t="str">
        <f aca="false">C566&amp;"_"&amp;B566&amp;"_"&amp;IF(I566="Reel","R",IF(I566="Carousel","C","I"))&amp;"_"&amp;J566&amp;"_"&amp;IF(K566="AI tự động","AI","HU")&amp;"_"&amp;RIGHT(A566,3)</f>
        <v>P5_EXP3_C_A_HU_010</v>
      </c>
      <c r="M566" s="45"/>
      <c r="N566" s="45"/>
      <c r="O566" s="46"/>
      <c r="P566" s="46"/>
      <c r="Q566" s="46"/>
      <c r="R566" s="47"/>
      <c r="S566" s="45"/>
      <c r="T566" s="45"/>
      <c r="U566" s="48" t="str">
        <f aca="false">IF(O566&gt;0,P566/O566,"")</f>
        <v/>
      </c>
      <c r="V566" s="49" t="str">
        <f aca="false">IF(P566&gt;0,Q566/P566,"")</f>
        <v/>
      </c>
      <c r="W566" s="50" t="n">
        <f aca="false">IF(R566&lt;&gt;"",R566,Q566*'Cài đặt'!$B$12)</f>
        <v>0</v>
      </c>
      <c r="X566" s="50" t="str">
        <f aca="false">IF(O566&gt;0,W566/O566*1000,"")</f>
        <v/>
      </c>
      <c r="Y566" s="51" t="n">
        <f aca="false">IF(T566&lt;&gt;"",T566,INDEX('Cài đặt'!$B$20:$C$22,MATCH(I566,'Cài đặt'!$A$20:$A$22,0),IF(K566="AI tự động",1,2)))</f>
        <v>25</v>
      </c>
    </row>
    <row r="567" customFormat="false" ht="15" hidden="false" customHeight="false" outlineLevel="0" collapsed="false">
      <c r="A567" s="41" t="s">
        <v>1017</v>
      </c>
      <c r="B567" s="41" t="s">
        <v>958</v>
      </c>
      <c r="C567" s="41" t="s">
        <v>193</v>
      </c>
      <c r="D567" s="42" t="str">
        <f aca="false">INDEX('Page và Ngách'!$B$5:$B$10,MATCH(C567,'Page và Ngách'!$A$5:$A$10,0))</f>
        <v>Second chance / Secret baby</v>
      </c>
      <c r="E567" s="41" t="n">
        <v>5</v>
      </c>
      <c r="F567" s="43" t="n">
        <f aca="false">'Cài đặt'!$B$39+E567-1</f>
        <v>46381</v>
      </c>
      <c r="G567" s="41" t="s">
        <v>444</v>
      </c>
      <c r="H567" s="44" t="str">
        <f aca="false">IF(G567="S1",'Cài đặt'!$B$7,'Cài đặt'!$B$8)</f>
        <v>12:00</v>
      </c>
      <c r="I567" s="44" t="str">
        <f aca="false">'Cài đặt'!$B$32</f>
        <v>Carousel</v>
      </c>
      <c r="J567" s="44" t="str">
        <f aca="false">'Cài đặt'!$B$33</f>
        <v>A</v>
      </c>
      <c r="K567" s="41" t="s">
        <v>445</v>
      </c>
      <c r="L567" s="42" t="str">
        <f aca="false">C567&amp;"_"&amp;B567&amp;"_"&amp;IF(I567="Reel","R",IF(I567="Carousel","C","I"))&amp;"_"&amp;J567&amp;"_"&amp;IF(K567="AI tự động","AI","HU")&amp;"_"&amp;RIGHT(A567,3)</f>
        <v>P6_EXP3_C_A_AI_009</v>
      </c>
      <c r="M567" s="45"/>
      <c r="N567" s="45"/>
      <c r="O567" s="46"/>
      <c r="P567" s="46"/>
      <c r="Q567" s="46"/>
      <c r="R567" s="47"/>
      <c r="S567" s="45"/>
      <c r="T567" s="45"/>
      <c r="U567" s="48" t="str">
        <f aca="false">IF(O567&gt;0,P567/O567,"")</f>
        <v/>
      </c>
      <c r="V567" s="49" t="str">
        <f aca="false">IF(P567&gt;0,Q567/P567,"")</f>
        <v/>
      </c>
      <c r="W567" s="50" t="n">
        <f aca="false">IF(R567&lt;&gt;"",R567,Q567*'Cài đặt'!$B$12)</f>
        <v>0</v>
      </c>
      <c r="X567" s="50" t="str">
        <f aca="false">IF(O567&gt;0,W567/O567*1000,"")</f>
        <v/>
      </c>
      <c r="Y567" s="51" t="n">
        <f aca="false">IF(T567&lt;&gt;"",T567,INDEX('Cài đặt'!$B$20:$C$22,MATCH(I567,'Cài đặt'!$A$20:$A$22,0),IF(K567="AI tự động",1,2)))</f>
        <v>4</v>
      </c>
    </row>
    <row r="568" customFormat="false" ht="15" hidden="false" customHeight="false" outlineLevel="0" collapsed="false">
      <c r="A568" s="41" t="s">
        <v>1018</v>
      </c>
      <c r="B568" s="41" t="s">
        <v>958</v>
      </c>
      <c r="C568" s="41" t="s">
        <v>193</v>
      </c>
      <c r="D568" s="42" t="str">
        <f aca="false">INDEX('Page và Ngách'!$B$5:$B$10,MATCH(C568,'Page và Ngách'!$A$5:$A$10,0))</f>
        <v>Second chance / Secret baby</v>
      </c>
      <c r="E568" s="41" t="n">
        <v>5</v>
      </c>
      <c r="F568" s="43" t="n">
        <f aca="false">'Cài đặt'!$B$39+E568-1</f>
        <v>46381</v>
      </c>
      <c r="G568" s="41" t="s">
        <v>451</v>
      </c>
      <c r="H568" s="44" t="str">
        <f aca="false">IF(G568="S1",'Cài đặt'!$B$7,'Cài đặt'!$B$8)</f>
        <v>20:00</v>
      </c>
      <c r="I568" s="44" t="str">
        <f aca="false">'Cài đặt'!$B$32</f>
        <v>Carousel</v>
      </c>
      <c r="J568" s="44" t="str">
        <f aca="false">'Cài đặt'!$B$33</f>
        <v>A</v>
      </c>
      <c r="K568" s="41" t="s">
        <v>445</v>
      </c>
      <c r="L568" s="42" t="str">
        <f aca="false">C568&amp;"_"&amp;B568&amp;"_"&amp;IF(I568="Reel","R",IF(I568="Carousel","C","I"))&amp;"_"&amp;J568&amp;"_"&amp;IF(K568="AI tự động","AI","HU")&amp;"_"&amp;RIGHT(A568,3)</f>
        <v>P6_EXP3_C_A_AI_010</v>
      </c>
      <c r="M568" s="45"/>
      <c r="N568" s="45"/>
      <c r="O568" s="46"/>
      <c r="P568" s="46"/>
      <c r="Q568" s="46"/>
      <c r="R568" s="47"/>
      <c r="S568" s="45"/>
      <c r="T568" s="45"/>
      <c r="U568" s="48" t="str">
        <f aca="false">IF(O568&gt;0,P568/O568,"")</f>
        <v/>
      </c>
      <c r="V568" s="49" t="str">
        <f aca="false">IF(P568&gt;0,Q568/P568,"")</f>
        <v/>
      </c>
      <c r="W568" s="50" t="n">
        <f aca="false">IF(R568&lt;&gt;"",R568,Q568*'Cài đặt'!$B$12)</f>
        <v>0</v>
      </c>
      <c r="X568" s="50" t="str">
        <f aca="false">IF(O568&gt;0,W568/O568*1000,"")</f>
        <v/>
      </c>
      <c r="Y568" s="51" t="n">
        <f aca="false">IF(T568&lt;&gt;"",T568,INDEX('Cài đặt'!$B$20:$C$22,MATCH(I568,'Cài đặt'!$A$20:$A$22,0),IF(K568="AI tự động",1,2)))</f>
        <v>4</v>
      </c>
    </row>
    <row r="569" customFormat="false" ht="15" hidden="false" customHeight="false" outlineLevel="0" collapsed="false">
      <c r="A569" s="41" t="s">
        <v>1019</v>
      </c>
      <c r="B569" s="41" t="s">
        <v>958</v>
      </c>
      <c r="C569" s="41" t="s">
        <v>154</v>
      </c>
      <c r="D569" s="42" t="str">
        <f aca="false">INDEX('Page và Ngách'!$B$5:$B$10,MATCH(C569,'Page và Ngách'!$A$5:$A$10,0))</f>
        <v>Werewolf / Rejected mate</v>
      </c>
      <c r="E569" s="41" t="n">
        <v>6</v>
      </c>
      <c r="F569" s="43" t="n">
        <f aca="false">'Cài đặt'!$B$39+E569-1</f>
        <v>46382</v>
      </c>
      <c r="G569" s="41" t="s">
        <v>444</v>
      </c>
      <c r="H569" s="44" t="str">
        <f aca="false">IF(G569="S1",'Cài đặt'!$B$7,'Cài đặt'!$B$8)</f>
        <v>12:00</v>
      </c>
      <c r="I569" s="44" t="str">
        <f aca="false">'Cài đặt'!$B$32</f>
        <v>Carousel</v>
      </c>
      <c r="J569" s="44" t="str">
        <f aca="false">'Cài đặt'!$B$33</f>
        <v>A</v>
      </c>
      <c r="K569" s="41" t="s">
        <v>445</v>
      </c>
      <c r="L569" s="42" t="str">
        <f aca="false">C569&amp;"_"&amp;B569&amp;"_"&amp;IF(I569="Reel","R",IF(I569="Carousel","C","I"))&amp;"_"&amp;J569&amp;"_"&amp;IF(K569="AI tự động","AI","HU")&amp;"_"&amp;RIGHT(A569,3)</f>
        <v>P1_EXP3_C_A_AI_011</v>
      </c>
      <c r="M569" s="45"/>
      <c r="N569" s="45"/>
      <c r="O569" s="46"/>
      <c r="P569" s="46"/>
      <c r="Q569" s="46"/>
      <c r="R569" s="47"/>
      <c r="S569" s="45"/>
      <c r="T569" s="45"/>
      <c r="U569" s="48" t="str">
        <f aca="false">IF(O569&gt;0,P569/O569,"")</f>
        <v/>
      </c>
      <c r="V569" s="49" t="str">
        <f aca="false">IF(P569&gt;0,Q569/P569,"")</f>
        <v/>
      </c>
      <c r="W569" s="50" t="n">
        <f aca="false">IF(R569&lt;&gt;"",R569,Q569*'Cài đặt'!$B$12)</f>
        <v>0</v>
      </c>
      <c r="X569" s="50" t="str">
        <f aca="false">IF(O569&gt;0,W569/O569*1000,"")</f>
        <v/>
      </c>
      <c r="Y569" s="51" t="n">
        <f aca="false">IF(T569&lt;&gt;"",T569,INDEX('Cài đặt'!$B$20:$C$22,MATCH(I569,'Cài đặt'!$A$20:$A$22,0),IF(K569="AI tự động",1,2)))</f>
        <v>4</v>
      </c>
    </row>
    <row r="570" customFormat="false" ht="15" hidden="false" customHeight="false" outlineLevel="0" collapsed="false">
      <c r="A570" s="41" t="s">
        <v>1020</v>
      </c>
      <c r="B570" s="41" t="s">
        <v>958</v>
      </c>
      <c r="C570" s="41" t="s">
        <v>154</v>
      </c>
      <c r="D570" s="42" t="str">
        <f aca="false">INDEX('Page và Ngách'!$B$5:$B$10,MATCH(C570,'Page và Ngách'!$A$5:$A$10,0))</f>
        <v>Werewolf / Rejected mate</v>
      </c>
      <c r="E570" s="41" t="n">
        <v>6</v>
      </c>
      <c r="F570" s="43" t="n">
        <f aca="false">'Cài đặt'!$B$39+E570-1</f>
        <v>46382</v>
      </c>
      <c r="G570" s="41" t="s">
        <v>451</v>
      </c>
      <c r="H570" s="44" t="str">
        <f aca="false">IF(G570="S1",'Cài đặt'!$B$7,'Cài đặt'!$B$8)</f>
        <v>20:00</v>
      </c>
      <c r="I570" s="44" t="str">
        <f aca="false">'Cài đặt'!$B$32</f>
        <v>Carousel</v>
      </c>
      <c r="J570" s="44" t="str">
        <f aca="false">'Cài đặt'!$B$33</f>
        <v>A</v>
      </c>
      <c r="K570" s="41" t="s">
        <v>445</v>
      </c>
      <c r="L570" s="42" t="str">
        <f aca="false">C570&amp;"_"&amp;B570&amp;"_"&amp;IF(I570="Reel","R",IF(I570="Carousel","C","I"))&amp;"_"&amp;J570&amp;"_"&amp;IF(K570="AI tự động","AI","HU")&amp;"_"&amp;RIGHT(A570,3)</f>
        <v>P1_EXP3_C_A_AI_012</v>
      </c>
      <c r="M570" s="45"/>
      <c r="N570" s="45"/>
      <c r="O570" s="46"/>
      <c r="P570" s="46"/>
      <c r="Q570" s="46"/>
      <c r="R570" s="47"/>
      <c r="S570" s="45"/>
      <c r="T570" s="45"/>
      <c r="U570" s="48" t="str">
        <f aca="false">IF(O570&gt;0,P570/O570,"")</f>
        <v/>
      </c>
      <c r="V570" s="49" t="str">
        <f aca="false">IF(P570&gt;0,Q570/P570,"")</f>
        <v/>
      </c>
      <c r="W570" s="50" t="n">
        <f aca="false">IF(R570&lt;&gt;"",R570,Q570*'Cài đặt'!$B$12)</f>
        <v>0</v>
      </c>
      <c r="X570" s="50" t="str">
        <f aca="false">IF(O570&gt;0,W570/O570*1000,"")</f>
        <v/>
      </c>
      <c r="Y570" s="51" t="n">
        <f aca="false">IF(T570&lt;&gt;"",T570,INDEX('Cài đặt'!$B$20:$C$22,MATCH(I570,'Cài đặt'!$A$20:$A$22,0),IF(K570="AI tự động",1,2)))</f>
        <v>4</v>
      </c>
    </row>
    <row r="571" customFormat="false" ht="15" hidden="false" customHeight="false" outlineLevel="0" collapsed="false">
      <c r="A571" s="41" t="s">
        <v>1021</v>
      </c>
      <c r="B571" s="41" t="s">
        <v>958</v>
      </c>
      <c r="C571" s="41" t="s">
        <v>163</v>
      </c>
      <c r="D571" s="42" t="str">
        <f aca="false">INDEX('Page và Ngách'!$B$5:$B$10,MATCH(C571,'Page và Ngách'!$A$5:$A$10,0))</f>
        <v>Secret billionaire / CEO</v>
      </c>
      <c r="E571" s="41" t="n">
        <v>6</v>
      </c>
      <c r="F571" s="43" t="n">
        <f aca="false">'Cài đặt'!$B$39+E571-1</f>
        <v>46382</v>
      </c>
      <c r="G571" s="41" t="s">
        <v>444</v>
      </c>
      <c r="H571" s="44" t="str">
        <f aca="false">IF(G571="S1",'Cài đặt'!$B$7,'Cài đặt'!$B$8)</f>
        <v>12:00</v>
      </c>
      <c r="I571" s="44" t="str">
        <f aca="false">'Cài đặt'!$B$32</f>
        <v>Carousel</v>
      </c>
      <c r="J571" s="44" t="str">
        <f aca="false">'Cài đặt'!$B$33</f>
        <v>A</v>
      </c>
      <c r="K571" s="41" t="s">
        <v>961</v>
      </c>
      <c r="L571" s="42" t="str">
        <f aca="false">C571&amp;"_"&amp;B571&amp;"_"&amp;IF(I571="Reel","R",IF(I571="Carousel","C","I"))&amp;"_"&amp;J571&amp;"_"&amp;IF(K571="AI tự động","AI","HU")&amp;"_"&amp;RIGHT(A571,3)</f>
        <v>P2_EXP3_C_A_HU_011</v>
      </c>
      <c r="M571" s="45"/>
      <c r="N571" s="45"/>
      <c r="O571" s="46"/>
      <c r="P571" s="46"/>
      <c r="Q571" s="46"/>
      <c r="R571" s="47"/>
      <c r="S571" s="45"/>
      <c r="T571" s="45"/>
      <c r="U571" s="48" t="str">
        <f aca="false">IF(O571&gt;0,P571/O571,"")</f>
        <v/>
      </c>
      <c r="V571" s="49" t="str">
        <f aca="false">IF(P571&gt;0,Q571/P571,"")</f>
        <v/>
      </c>
      <c r="W571" s="50" t="n">
        <f aca="false">IF(R571&lt;&gt;"",R571,Q571*'Cài đặt'!$B$12)</f>
        <v>0</v>
      </c>
      <c r="X571" s="50" t="str">
        <f aca="false">IF(O571&gt;0,W571/O571*1000,"")</f>
        <v/>
      </c>
      <c r="Y571" s="51" t="n">
        <f aca="false">IF(T571&lt;&gt;"",T571,INDEX('Cài đặt'!$B$20:$C$22,MATCH(I571,'Cài đặt'!$A$20:$A$22,0),IF(K571="AI tự động",1,2)))</f>
        <v>25</v>
      </c>
    </row>
    <row r="572" customFormat="false" ht="15" hidden="false" customHeight="false" outlineLevel="0" collapsed="false">
      <c r="A572" s="41" t="s">
        <v>1022</v>
      </c>
      <c r="B572" s="41" t="s">
        <v>958</v>
      </c>
      <c r="C572" s="41" t="s">
        <v>163</v>
      </c>
      <c r="D572" s="42" t="str">
        <f aca="false">INDEX('Page và Ngách'!$B$5:$B$10,MATCH(C572,'Page và Ngách'!$A$5:$A$10,0))</f>
        <v>Secret billionaire / CEO</v>
      </c>
      <c r="E572" s="41" t="n">
        <v>6</v>
      </c>
      <c r="F572" s="43" t="n">
        <f aca="false">'Cài đặt'!$B$39+E572-1</f>
        <v>46382</v>
      </c>
      <c r="G572" s="41" t="s">
        <v>451</v>
      </c>
      <c r="H572" s="44" t="str">
        <f aca="false">IF(G572="S1",'Cài đặt'!$B$7,'Cài đặt'!$B$8)</f>
        <v>20:00</v>
      </c>
      <c r="I572" s="44" t="str">
        <f aca="false">'Cài đặt'!$B$32</f>
        <v>Carousel</v>
      </c>
      <c r="J572" s="44" t="str">
        <f aca="false">'Cài đặt'!$B$33</f>
        <v>A</v>
      </c>
      <c r="K572" s="41" t="s">
        <v>445</v>
      </c>
      <c r="L572" s="42" t="str">
        <f aca="false">C572&amp;"_"&amp;B572&amp;"_"&amp;IF(I572="Reel","R",IF(I572="Carousel","C","I"))&amp;"_"&amp;J572&amp;"_"&amp;IF(K572="AI tự động","AI","HU")&amp;"_"&amp;RIGHT(A572,3)</f>
        <v>P2_EXP3_C_A_AI_012</v>
      </c>
      <c r="M572" s="45"/>
      <c r="N572" s="45"/>
      <c r="O572" s="46"/>
      <c r="P572" s="46"/>
      <c r="Q572" s="46"/>
      <c r="R572" s="47"/>
      <c r="S572" s="45"/>
      <c r="T572" s="45"/>
      <c r="U572" s="48" t="str">
        <f aca="false">IF(O572&gt;0,P572/O572,"")</f>
        <v/>
      </c>
      <c r="V572" s="49" t="str">
        <f aca="false">IF(P572&gt;0,Q572/P572,"")</f>
        <v/>
      </c>
      <c r="W572" s="50" t="n">
        <f aca="false">IF(R572&lt;&gt;"",R572,Q572*'Cài đặt'!$B$12)</f>
        <v>0</v>
      </c>
      <c r="X572" s="50" t="str">
        <f aca="false">IF(O572&gt;0,W572/O572*1000,"")</f>
        <v/>
      </c>
      <c r="Y572" s="51" t="n">
        <f aca="false">IF(T572&lt;&gt;"",T572,INDEX('Cài đặt'!$B$20:$C$22,MATCH(I572,'Cài đặt'!$A$20:$A$22,0),IF(K572="AI tự động",1,2)))</f>
        <v>4</v>
      </c>
    </row>
    <row r="573" customFormat="false" ht="15" hidden="false" customHeight="false" outlineLevel="0" collapsed="false">
      <c r="A573" s="41" t="s">
        <v>1023</v>
      </c>
      <c r="B573" s="41" t="s">
        <v>958</v>
      </c>
      <c r="C573" s="41" t="s">
        <v>171</v>
      </c>
      <c r="D573" s="42" t="str">
        <f aca="false">INDEX('Page và Ngách'!$B$5:$B$10,MATCH(C573,'Page và Ngách'!$A$5:$A$10,0))</f>
        <v>Contract marriage / Fake relationship</v>
      </c>
      <c r="E573" s="41" t="n">
        <v>6</v>
      </c>
      <c r="F573" s="43" t="n">
        <f aca="false">'Cài đặt'!$B$39+E573-1</f>
        <v>46382</v>
      </c>
      <c r="G573" s="41" t="s">
        <v>444</v>
      </c>
      <c r="H573" s="44" t="str">
        <f aca="false">IF(G573="S1",'Cài đặt'!$B$7,'Cài đặt'!$B$8)</f>
        <v>12:00</v>
      </c>
      <c r="I573" s="44" t="str">
        <f aca="false">'Cài đặt'!$B$32</f>
        <v>Carousel</v>
      </c>
      <c r="J573" s="44" t="str">
        <f aca="false">'Cài đặt'!$B$33</f>
        <v>A</v>
      </c>
      <c r="K573" s="41" t="s">
        <v>445</v>
      </c>
      <c r="L573" s="42" t="str">
        <f aca="false">C573&amp;"_"&amp;B573&amp;"_"&amp;IF(I573="Reel","R",IF(I573="Carousel","C","I"))&amp;"_"&amp;J573&amp;"_"&amp;IF(K573="AI tự động","AI","HU")&amp;"_"&amp;RIGHT(A573,3)</f>
        <v>P3_EXP3_C_A_AI_011</v>
      </c>
      <c r="M573" s="45"/>
      <c r="N573" s="45"/>
      <c r="O573" s="46"/>
      <c r="P573" s="46"/>
      <c r="Q573" s="46"/>
      <c r="R573" s="47"/>
      <c r="S573" s="45"/>
      <c r="T573" s="45"/>
      <c r="U573" s="48" t="str">
        <f aca="false">IF(O573&gt;0,P573/O573,"")</f>
        <v/>
      </c>
      <c r="V573" s="49" t="str">
        <f aca="false">IF(P573&gt;0,Q573/P573,"")</f>
        <v/>
      </c>
      <c r="W573" s="50" t="n">
        <f aca="false">IF(R573&lt;&gt;"",R573,Q573*'Cài đặt'!$B$12)</f>
        <v>0</v>
      </c>
      <c r="X573" s="50" t="str">
        <f aca="false">IF(O573&gt;0,W573/O573*1000,"")</f>
        <v/>
      </c>
      <c r="Y573" s="51" t="n">
        <f aca="false">IF(T573&lt;&gt;"",T573,INDEX('Cài đặt'!$B$20:$C$22,MATCH(I573,'Cài đặt'!$A$20:$A$22,0),IF(K573="AI tự động",1,2)))</f>
        <v>4</v>
      </c>
    </row>
    <row r="574" customFormat="false" ht="15" hidden="false" customHeight="false" outlineLevel="0" collapsed="false">
      <c r="A574" s="41" t="s">
        <v>1024</v>
      </c>
      <c r="B574" s="41" t="s">
        <v>958</v>
      </c>
      <c r="C574" s="41" t="s">
        <v>171</v>
      </c>
      <c r="D574" s="42" t="str">
        <f aca="false">INDEX('Page và Ngách'!$B$5:$B$10,MATCH(C574,'Page và Ngách'!$A$5:$A$10,0))</f>
        <v>Contract marriage / Fake relationship</v>
      </c>
      <c r="E574" s="41" t="n">
        <v>6</v>
      </c>
      <c r="F574" s="43" t="n">
        <f aca="false">'Cài đặt'!$B$39+E574-1</f>
        <v>46382</v>
      </c>
      <c r="G574" s="41" t="s">
        <v>451</v>
      </c>
      <c r="H574" s="44" t="str">
        <f aca="false">IF(G574="S1",'Cài đặt'!$B$7,'Cài đặt'!$B$8)</f>
        <v>20:00</v>
      </c>
      <c r="I574" s="44" t="str">
        <f aca="false">'Cài đặt'!$B$32</f>
        <v>Carousel</v>
      </c>
      <c r="J574" s="44" t="str">
        <f aca="false">'Cài đặt'!$B$33</f>
        <v>A</v>
      </c>
      <c r="K574" s="41" t="s">
        <v>445</v>
      </c>
      <c r="L574" s="42" t="str">
        <f aca="false">C574&amp;"_"&amp;B574&amp;"_"&amp;IF(I574="Reel","R",IF(I574="Carousel","C","I"))&amp;"_"&amp;J574&amp;"_"&amp;IF(K574="AI tự động","AI","HU")&amp;"_"&amp;RIGHT(A574,3)</f>
        <v>P3_EXP3_C_A_AI_012</v>
      </c>
      <c r="M574" s="45"/>
      <c r="N574" s="45"/>
      <c r="O574" s="46"/>
      <c r="P574" s="46"/>
      <c r="Q574" s="46"/>
      <c r="R574" s="47"/>
      <c r="S574" s="45"/>
      <c r="T574" s="45"/>
      <c r="U574" s="48" t="str">
        <f aca="false">IF(O574&gt;0,P574/O574,"")</f>
        <v/>
      </c>
      <c r="V574" s="49" t="str">
        <f aca="false">IF(P574&gt;0,Q574/P574,"")</f>
        <v/>
      </c>
      <c r="W574" s="50" t="n">
        <f aca="false">IF(R574&lt;&gt;"",R574,Q574*'Cài đặt'!$B$12)</f>
        <v>0</v>
      </c>
      <c r="X574" s="50" t="str">
        <f aca="false">IF(O574&gt;0,W574/O574*1000,"")</f>
        <v/>
      </c>
      <c r="Y574" s="51" t="n">
        <f aca="false">IF(T574&lt;&gt;"",T574,INDEX('Cài đặt'!$B$20:$C$22,MATCH(I574,'Cài đặt'!$A$20:$A$22,0),IF(K574="AI tự động",1,2)))</f>
        <v>4</v>
      </c>
    </row>
    <row r="575" customFormat="false" ht="15" hidden="false" customHeight="false" outlineLevel="0" collapsed="false">
      <c r="A575" s="41" t="s">
        <v>1025</v>
      </c>
      <c r="B575" s="41" t="s">
        <v>958</v>
      </c>
      <c r="C575" s="41" t="s">
        <v>178</v>
      </c>
      <c r="D575" s="42" t="str">
        <f aca="false">INDEX('Page và Ngách'!$B$5:$B$10,MATCH(C575,'Page và Ngách'!$A$5:$A$10,0))</f>
        <v>Revenge / Betrayal ("you'll regret it")</v>
      </c>
      <c r="E575" s="41" t="n">
        <v>6</v>
      </c>
      <c r="F575" s="43" t="n">
        <f aca="false">'Cài đặt'!$B$39+E575-1</f>
        <v>46382</v>
      </c>
      <c r="G575" s="41" t="s">
        <v>444</v>
      </c>
      <c r="H575" s="44" t="str">
        <f aca="false">IF(G575="S1",'Cài đặt'!$B$7,'Cài đặt'!$B$8)</f>
        <v>12:00</v>
      </c>
      <c r="I575" s="44" t="str">
        <f aca="false">'Cài đặt'!$B$32</f>
        <v>Carousel</v>
      </c>
      <c r="J575" s="44" t="str">
        <f aca="false">'Cài đặt'!$B$33</f>
        <v>A</v>
      </c>
      <c r="K575" s="41" t="s">
        <v>445</v>
      </c>
      <c r="L575" s="42" t="str">
        <f aca="false">C575&amp;"_"&amp;B575&amp;"_"&amp;IF(I575="Reel","R",IF(I575="Carousel","C","I"))&amp;"_"&amp;J575&amp;"_"&amp;IF(K575="AI tự động","AI","HU")&amp;"_"&amp;RIGHT(A575,3)</f>
        <v>P4_EXP3_C_A_AI_011</v>
      </c>
      <c r="M575" s="45"/>
      <c r="N575" s="45"/>
      <c r="O575" s="46"/>
      <c r="P575" s="46"/>
      <c r="Q575" s="46"/>
      <c r="R575" s="47"/>
      <c r="S575" s="45"/>
      <c r="T575" s="45"/>
      <c r="U575" s="48" t="str">
        <f aca="false">IF(O575&gt;0,P575/O575,"")</f>
        <v/>
      </c>
      <c r="V575" s="49" t="str">
        <f aca="false">IF(P575&gt;0,Q575/P575,"")</f>
        <v/>
      </c>
      <c r="W575" s="50" t="n">
        <f aca="false">IF(R575&lt;&gt;"",R575,Q575*'Cài đặt'!$B$12)</f>
        <v>0</v>
      </c>
      <c r="X575" s="50" t="str">
        <f aca="false">IF(O575&gt;0,W575/O575*1000,"")</f>
        <v/>
      </c>
      <c r="Y575" s="51" t="n">
        <f aca="false">IF(T575&lt;&gt;"",T575,INDEX('Cài đặt'!$B$20:$C$22,MATCH(I575,'Cài đặt'!$A$20:$A$22,0),IF(K575="AI tự động",1,2)))</f>
        <v>4</v>
      </c>
    </row>
    <row r="576" customFormat="false" ht="15" hidden="false" customHeight="false" outlineLevel="0" collapsed="false">
      <c r="A576" s="41" t="s">
        <v>1026</v>
      </c>
      <c r="B576" s="41" t="s">
        <v>958</v>
      </c>
      <c r="C576" s="41" t="s">
        <v>178</v>
      </c>
      <c r="D576" s="42" t="str">
        <f aca="false">INDEX('Page và Ngách'!$B$5:$B$10,MATCH(C576,'Page và Ngách'!$A$5:$A$10,0))</f>
        <v>Revenge / Betrayal ("you'll regret it")</v>
      </c>
      <c r="E576" s="41" t="n">
        <v>6</v>
      </c>
      <c r="F576" s="43" t="n">
        <f aca="false">'Cài đặt'!$B$39+E576-1</f>
        <v>46382</v>
      </c>
      <c r="G576" s="41" t="s">
        <v>451</v>
      </c>
      <c r="H576" s="44" t="str">
        <f aca="false">IF(G576="S1",'Cài đặt'!$B$7,'Cài đặt'!$B$8)</f>
        <v>20:00</v>
      </c>
      <c r="I576" s="44" t="str">
        <f aca="false">'Cài đặt'!$B$32</f>
        <v>Carousel</v>
      </c>
      <c r="J576" s="44" t="str">
        <f aca="false">'Cài đặt'!$B$33</f>
        <v>A</v>
      </c>
      <c r="K576" s="41" t="s">
        <v>961</v>
      </c>
      <c r="L576" s="42" t="str">
        <f aca="false">C576&amp;"_"&amp;B576&amp;"_"&amp;IF(I576="Reel","R",IF(I576="Carousel","C","I"))&amp;"_"&amp;J576&amp;"_"&amp;IF(K576="AI tự động","AI","HU")&amp;"_"&amp;RIGHT(A576,3)</f>
        <v>P4_EXP3_C_A_HU_012</v>
      </c>
      <c r="M576" s="45"/>
      <c r="N576" s="45"/>
      <c r="O576" s="46"/>
      <c r="P576" s="46"/>
      <c r="Q576" s="46"/>
      <c r="R576" s="47"/>
      <c r="S576" s="45"/>
      <c r="T576" s="45"/>
      <c r="U576" s="48" t="str">
        <f aca="false">IF(O576&gt;0,P576/O576,"")</f>
        <v/>
      </c>
      <c r="V576" s="49" t="str">
        <f aca="false">IF(P576&gt;0,Q576/P576,"")</f>
        <v/>
      </c>
      <c r="W576" s="50" t="n">
        <f aca="false">IF(R576&lt;&gt;"",R576,Q576*'Cài đặt'!$B$12)</f>
        <v>0</v>
      </c>
      <c r="X576" s="50" t="str">
        <f aca="false">IF(O576&gt;0,W576/O576*1000,"")</f>
        <v/>
      </c>
      <c r="Y576" s="51" t="n">
        <f aca="false">IF(T576&lt;&gt;"",T576,INDEX('Cài đặt'!$B$20:$C$22,MATCH(I576,'Cài đặt'!$A$20:$A$22,0),IF(K576="AI tự động",1,2)))</f>
        <v>25</v>
      </c>
    </row>
    <row r="577" customFormat="false" ht="15" hidden="false" customHeight="false" outlineLevel="0" collapsed="false">
      <c r="A577" s="41" t="s">
        <v>1027</v>
      </c>
      <c r="B577" s="41" t="s">
        <v>958</v>
      </c>
      <c r="C577" s="41" t="s">
        <v>185</v>
      </c>
      <c r="D577" s="42" t="str">
        <f aca="false">INDEX('Page và Ngách'!$B$5:$B$10,MATCH(C577,'Page và Ngách'!$A$5:$A$10,0))</f>
        <v>Mafia / Dark romance (teaser PG-13)</v>
      </c>
      <c r="E577" s="41" t="n">
        <v>6</v>
      </c>
      <c r="F577" s="43" t="n">
        <f aca="false">'Cài đặt'!$B$39+E577-1</f>
        <v>46382</v>
      </c>
      <c r="G577" s="41" t="s">
        <v>444</v>
      </c>
      <c r="H577" s="44" t="str">
        <f aca="false">IF(G577="S1",'Cài đặt'!$B$7,'Cài đặt'!$B$8)</f>
        <v>12:00</v>
      </c>
      <c r="I577" s="44" t="str">
        <f aca="false">'Cài đặt'!$B$32</f>
        <v>Carousel</v>
      </c>
      <c r="J577" s="44" t="str">
        <f aca="false">'Cài đặt'!$B$33</f>
        <v>A</v>
      </c>
      <c r="K577" s="41" t="s">
        <v>445</v>
      </c>
      <c r="L577" s="42" t="str">
        <f aca="false">C577&amp;"_"&amp;B577&amp;"_"&amp;IF(I577="Reel","R",IF(I577="Carousel","C","I"))&amp;"_"&amp;J577&amp;"_"&amp;IF(K577="AI tự động","AI","HU")&amp;"_"&amp;RIGHT(A577,3)</f>
        <v>P5_EXP3_C_A_AI_011</v>
      </c>
      <c r="M577" s="45"/>
      <c r="N577" s="45"/>
      <c r="O577" s="46"/>
      <c r="P577" s="46"/>
      <c r="Q577" s="46"/>
      <c r="R577" s="47"/>
      <c r="S577" s="45"/>
      <c r="T577" s="45"/>
      <c r="U577" s="48" t="str">
        <f aca="false">IF(O577&gt;0,P577/O577,"")</f>
        <v/>
      </c>
      <c r="V577" s="49" t="str">
        <f aca="false">IF(P577&gt;0,Q577/P577,"")</f>
        <v/>
      </c>
      <c r="W577" s="50" t="n">
        <f aca="false">IF(R577&lt;&gt;"",R577,Q577*'Cài đặt'!$B$12)</f>
        <v>0</v>
      </c>
      <c r="X577" s="50" t="str">
        <f aca="false">IF(O577&gt;0,W577/O577*1000,"")</f>
        <v/>
      </c>
      <c r="Y577" s="51" t="n">
        <f aca="false">IF(T577&lt;&gt;"",T577,INDEX('Cài đặt'!$B$20:$C$22,MATCH(I577,'Cài đặt'!$A$20:$A$22,0),IF(K577="AI tự động",1,2)))</f>
        <v>4</v>
      </c>
    </row>
    <row r="578" customFormat="false" ht="15" hidden="false" customHeight="false" outlineLevel="0" collapsed="false">
      <c r="A578" s="41" t="s">
        <v>1028</v>
      </c>
      <c r="B578" s="41" t="s">
        <v>958</v>
      </c>
      <c r="C578" s="41" t="s">
        <v>185</v>
      </c>
      <c r="D578" s="42" t="str">
        <f aca="false">INDEX('Page và Ngách'!$B$5:$B$10,MATCH(C578,'Page và Ngách'!$A$5:$A$10,0))</f>
        <v>Mafia / Dark romance (teaser PG-13)</v>
      </c>
      <c r="E578" s="41" t="n">
        <v>6</v>
      </c>
      <c r="F578" s="43" t="n">
        <f aca="false">'Cài đặt'!$B$39+E578-1</f>
        <v>46382</v>
      </c>
      <c r="G578" s="41" t="s">
        <v>451</v>
      </c>
      <c r="H578" s="44" t="str">
        <f aca="false">IF(G578="S1",'Cài đặt'!$B$7,'Cài đặt'!$B$8)</f>
        <v>20:00</v>
      </c>
      <c r="I578" s="44" t="str">
        <f aca="false">'Cài đặt'!$B$32</f>
        <v>Carousel</v>
      </c>
      <c r="J578" s="44" t="str">
        <f aca="false">'Cài đặt'!$B$33</f>
        <v>A</v>
      </c>
      <c r="K578" s="41" t="s">
        <v>445</v>
      </c>
      <c r="L578" s="42" t="str">
        <f aca="false">C578&amp;"_"&amp;B578&amp;"_"&amp;IF(I578="Reel","R",IF(I578="Carousel","C","I"))&amp;"_"&amp;J578&amp;"_"&amp;IF(K578="AI tự động","AI","HU")&amp;"_"&amp;RIGHT(A578,3)</f>
        <v>P5_EXP3_C_A_AI_012</v>
      </c>
      <c r="M578" s="45"/>
      <c r="N578" s="45"/>
      <c r="O578" s="46"/>
      <c r="P578" s="46"/>
      <c r="Q578" s="46"/>
      <c r="R578" s="47"/>
      <c r="S578" s="45"/>
      <c r="T578" s="45"/>
      <c r="U578" s="48" t="str">
        <f aca="false">IF(O578&gt;0,P578/O578,"")</f>
        <v/>
      </c>
      <c r="V578" s="49" t="str">
        <f aca="false">IF(P578&gt;0,Q578/P578,"")</f>
        <v/>
      </c>
      <c r="W578" s="50" t="n">
        <f aca="false">IF(R578&lt;&gt;"",R578,Q578*'Cài đặt'!$B$12)</f>
        <v>0</v>
      </c>
      <c r="X578" s="50" t="str">
        <f aca="false">IF(O578&gt;0,W578/O578*1000,"")</f>
        <v/>
      </c>
      <c r="Y578" s="51" t="n">
        <f aca="false">IF(T578&lt;&gt;"",T578,INDEX('Cài đặt'!$B$20:$C$22,MATCH(I578,'Cài đặt'!$A$20:$A$22,0),IF(K578="AI tự động",1,2)))</f>
        <v>4</v>
      </c>
    </row>
    <row r="579" customFormat="false" ht="15" hidden="false" customHeight="false" outlineLevel="0" collapsed="false">
      <c r="A579" s="41" t="s">
        <v>1029</v>
      </c>
      <c r="B579" s="41" t="s">
        <v>958</v>
      </c>
      <c r="C579" s="41" t="s">
        <v>193</v>
      </c>
      <c r="D579" s="42" t="str">
        <f aca="false">INDEX('Page và Ngách'!$B$5:$B$10,MATCH(C579,'Page và Ngách'!$A$5:$A$10,0))</f>
        <v>Second chance / Secret baby</v>
      </c>
      <c r="E579" s="41" t="n">
        <v>6</v>
      </c>
      <c r="F579" s="43" t="n">
        <f aca="false">'Cài đặt'!$B$39+E579-1</f>
        <v>46382</v>
      </c>
      <c r="G579" s="41" t="s">
        <v>444</v>
      </c>
      <c r="H579" s="44" t="str">
        <f aca="false">IF(G579="S1",'Cài đặt'!$B$7,'Cài đặt'!$B$8)</f>
        <v>12:00</v>
      </c>
      <c r="I579" s="44" t="str">
        <f aca="false">'Cài đặt'!$B$32</f>
        <v>Carousel</v>
      </c>
      <c r="J579" s="44" t="str">
        <f aca="false">'Cài đặt'!$B$33</f>
        <v>A</v>
      </c>
      <c r="K579" s="41" t="s">
        <v>445</v>
      </c>
      <c r="L579" s="42" t="str">
        <f aca="false">C579&amp;"_"&amp;B579&amp;"_"&amp;IF(I579="Reel","R",IF(I579="Carousel","C","I"))&amp;"_"&amp;J579&amp;"_"&amp;IF(K579="AI tự động","AI","HU")&amp;"_"&amp;RIGHT(A579,3)</f>
        <v>P6_EXP3_C_A_AI_011</v>
      </c>
      <c r="M579" s="45"/>
      <c r="N579" s="45"/>
      <c r="O579" s="46"/>
      <c r="P579" s="46"/>
      <c r="Q579" s="46"/>
      <c r="R579" s="47"/>
      <c r="S579" s="45"/>
      <c r="T579" s="45"/>
      <c r="U579" s="48" t="str">
        <f aca="false">IF(O579&gt;0,P579/O579,"")</f>
        <v/>
      </c>
      <c r="V579" s="49" t="str">
        <f aca="false">IF(P579&gt;0,Q579/P579,"")</f>
        <v/>
      </c>
      <c r="W579" s="50" t="n">
        <f aca="false">IF(R579&lt;&gt;"",R579,Q579*'Cài đặt'!$B$12)</f>
        <v>0</v>
      </c>
      <c r="X579" s="50" t="str">
        <f aca="false">IF(O579&gt;0,W579/O579*1000,"")</f>
        <v/>
      </c>
      <c r="Y579" s="51" t="n">
        <f aca="false">IF(T579&lt;&gt;"",T579,INDEX('Cài đặt'!$B$20:$C$22,MATCH(I579,'Cài đặt'!$A$20:$A$22,0),IF(K579="AI tự động",1,2)))</f>
        <v>4</v>
      </c>
    </row>
    <row r="580" customFormat="false" ht="15" hidden="false" customHeight="false" outlineLevel="0" collapsed="false">
      <c r="A580" s="41" t="s">
        <v>1030</v>
      </c>
      <c r="B580" s="41" t="s">
        <v>958</v>
      </c>
      <c r="C580" s="41" t="s">
        <v>193</v>
      </c>
      <c r="D580" s="42" t="str">
        <f aca="false">INDEX('Page và Ngách'!$B$5:$B$10,MATCH(C580,'Page và Ngách'!$A$5:$A$10,0))</f>
        <v>Second chance / Secret baby</v>
      </c>
      <c r="E580" s="41" t="n">
        <v>6</v>
      </c>
      <c r="F580" s="43" t="n">
        <f aca="false">'Cài đặt'!$B$39+E580-1</f>
        <v>46382</v>
      </c>
      <c r="G580" s="41" t="s">
        <v>451</v>
      </c>
      <c r="H580" s="44" t="str">
        <f aca="false">IF(G580="S1",'Cài đặt'!$B$7,'Cài đặt'!$B$8)</f>
        <v>20:00</v>
      </c>
      <c r="I580" s="44" t="str">
        <f aca="false">'Cài đặt'!$B$32</f>
        <v>Carousel</v>
      </c>
      <c r="J580" s="44" t="str">
        <f aca="false">'Cài đặt'!$B$33</f>
        <v>A</v>
      </c>
      <c r="K580" s="41" t="s">
        <v>445</v>
      </c>
      <c r="L580" s="42" t="str">
        <f aca="false">C580&amp;"_"&amp;B580&amp;"_"&amp;IF(I580="Reel","R",IF(I580="Carousel","C","I"))&amp;"_"&amp;J580&amp;"_"&amp;IF(K580="AI tự động","AI","HU")&amp;"_"&amp;RIGHT(A580,3)</f>
        <v>P6_EXP3_C_A_AI_012</v>
      </c>
      <c r="M580" s="45"/>
      <c r="N580" s="45"/>
      <c r="O580" s="46"/>
      <c r="P580" s="46"/>
      <c r="Q580" s="46"/>
      <c r="R580" s="47"/>
      <c r="S580" s="45"/>
      <c r="T580" s="45"/>
      <c r="U580" s="48" t="str">
        <f aca="false">IF(O580&gt;0,P580/O580,"")</f>
        <v/>
      </c>
      <c r="V580" s="49" t="str">
        <f aca="false">IF(P580&gt;0,Q580/P580,"")</f>
        <v/>
      </c>
      <c r="W580" s="50" t="n">
        <f aca="false">IF(R580&lt;&gt;"",R580,Q580*'Cài đặt'!$B$12)</f>
        <v>0</v>
      </c>
      <c r="X580" s="50" t="str">
        <f aca="false">IF(O580&gt;0,W580/O580*1000,"")</f>
        <v/>
      </c>
      <c r="Y580" s="51" t="n">
        <f aca="false">IF(T580&lt;&gt;"",T580,INDEX('Cài đặt'!$B$20:$C$22,MATCH(I580,'Cài đặt'!$A$20:$A$22,0),IF(K580="AI tự động",1,2)))</f>
        <v>4</v>
      </c>
    </row>
    <row r="581" customFormat="false" ht="15" hidden="false" customHeight="false" outlineLevel="0" collapsed="false">
      <c r="A581" s="41" t="s">
        <v>1031</v>
      </c>
      <c r="B581" s="41" t="s">
        <v>958</v>
      </c>
      <c r="C581" s="41" t="s">
        <v>154</v>
      </c>
      <c r="D581" s="42" t="str">
        <f aca="false">INDEX('Page và Ngách'!$B$5:$B$10,MATCH(C581,'Page và Ngách'!$A$5:$A$10,0))</f>
        <v>Werewolf / Rejected mate</v>
      </c>
      <c r="E581" s="41" t="n">
        <v>7</v>
      </c>
      <c r="F581" s="43" t="n">
        <f aca="false">'Cài đặt'!$B$39+E581-1</f>
        <v>46383</v>
      </c>
      <c r="G581" s="41" t="s">
        <v>444</v>
      </c>
      <c r="H581" s="44" t="str">
        <f aca="false">IF(G581="S1",'Cài đặt'!$B$7,'Cài đặt'!$B$8)</f>
        <v>12:00</v>
      </c>
      <c r="I581" s="44" t="str">
        <f aca="false">'Cài đặt'!$B$32</f>
        <v>Carousel</v>
      </c>
      <c r="J581" s="44" t="str">
        <f aca="false">'Cài đặt'!$B$33</f>
        <v>A</v>
      </c>
      <c r="K581" s="41" t="s">
        <v>961</v>
      </c>
      <c r="L581" s="42" t="str">
        <f aca="false">C581&amp;"_"&amp;B581&amp;"_"&amp;IF(I581="Reel","R",IF(I581="Carousel","C","I"))&amp;"_"&amp;J581&amp;"_"&amp;IF(K581="AI tự động","AI","HU")&amp;"_"&amp;RIGHT(A581,3)</f>
        <v>P1_EXP3_C_A_HU_013</v>
      </c>
      <c r="M581" s="45"/>
      <c r="N581" s="45"/>
      <c r="O581" s="46"/>
      <c r="P581" s="46"/>
      <c r="Q581" s="46"/>
      <c r="R581" s="47"/>
      <c r="S581" s="45"/>
      <c r="T581" s="45"/>
      <c r="U581" s="48" t="str">
        <f aca="false">IF(O581&gt;0,P581/O581,"")</f>
        <v/>
      </c>
      <c r="V581" s="49" t="str">
        <f aca="false">IF(P581&gt;0,Q581/P581,"")</f>
        <v/>
      </c>
      <c r="W581" s="50" t="n">
        <f aca="false">IF(R581&lt;&gt;"",R581,Q581*'Cài đặt'!$B$12)</f>
        <v>0</v>
      </c>
      <c r="X581" s="50" t="str">
        <f aca="false">IF(O581&gt;0,W581/O581*1000,"")</f>
        <v/>
      </c>
      <c r="Y581" s="51" t="n">
        <f aca="false">IF(T581&lt;&gt;"",T581,INDEX('Cài đặt'!$B$20:$C$22,MATCH(I581,'Cài đặt'!$A$20:$A$22,0),IF(K581="AI tự động",1,2)))</f>
        <v>25</v>
      </c>
    </row>
    <row r="582" customFormat="false" ht="15" hidden="false" customHeight="false" outlineLevel="0" collapsed="false">
      <c r="A582" s="41" t="s">
        <v>1032</v>
      </c>
      <c r="B582" s="41" t="s">
        <v>958</v>
      </c>
      <c r="C582" s="41" t="s">
        <v>154</v>
      </c>
      <c r="D582" s="42" t="str">
        <f aca="false">INDEX('Page và Ngách'!$B$5:$B$10,MATCH(C582,'Page và Ngách'!$A$5:$A$10,0))</f>
        <v>Werewolf / Rejected mate</v>
      </c>
      <c r="E582" s="41" t="n">
        <v>7</v>
      </c>
      <c r="F582" s="43" t="n">
        <f aca="false">'Cài đặt'!$B$39+E582-1</f>
        <v>46383</v>
      </c>
      <c r="G582" s="41" t="s">
        <v>451</v>
      </c>
      <c r="H582" s="44" t="str">
        <f aca="false">IF(G582="S1",'Cài đặt'!$B$7,'Cài đặt'!$B$8)</f>
        <v>20:00</v>
      </c>
      <c r="I582" s="44" t="str">
        <f aca="false">'Cài đặt'!$B$32</f>
        <v>Carousel</v>
      </c>
      <c r="J582" s="44" t="str">
        <f aca="false">'Cài đặt'!$B$33</f>
        <v>A</v>
      </c>
      <c r="K582" s="41" t="s">
        <v>445</v>
      </c>
      <c r="L582" s="42" t="str">
        <f aca="false">C582&amp;"_"&amp;B582&amp;"_"&amp;IF(I582="Reel","R",IF(I582="Carousel","C","I"))&amp;"_"&amp;J582&amp;"_"&amp;IF(K582="AI tự động","AI","HU")&amp;"_"&amp;RIGHT(A582,3)</f>
        <v>P1_EXP3_C_A_AI_014</v>
      </c>
      <c r="M582" s="45"/>
      <c r="N582" s="45"/>
      <c r="O582" s="46"/>
      <c r="P582" s="46"/>
      <c r="Q582" s="46"/>
      <c r="R582" s="47"/>
      <c r="S582" s="45"/>
      <c r="T582" s="45"/>
      <c r="U582" s="48" t="str">
        <f aca="false">IF(O582&gt;0,P582/O582,"")</f>
        <v/>
      </c>
      <c r="V582" s="49" t="str">
        <f aca="false">IF(P582&gt;0,Q582/P582,"")</f>
        <v/>
      </c>
      <c r="W582" s="50" t="n">
        <f aca="false">IF(R582&lt;&gt;"",R582,Q582*'Cài đặt'!$B$12)</f>
        <v>0</v>
      </c>
      <c r="X582" s="50" t="str">
        <f aca="false">IF(O582&gt;0,W582/O582*1000,"")</f>
        <v/>
      </c>
      <c r="Y582" s="51" t="n">
        <f aca="false">IF(T582&lt;&gt;"",T582,INDEX('Cài đặt'!$B$20:$C$22,MATCH(I582,'Cài đặt'!$A$20:$A$22,0),IF(K582="AI tự động",1,2)))</f>
        <v>4</v>
      </c>
    </row>
    <row r="583" customFormat="false" ht="15" hidden="false" customHeight="false" outlineLevel="0" collapsed="false">
      <c r="A583" s="41" t="s">
        <v>1033</v>
      </c>
      <c r="B583" s="41" t="s">
        <v>958</v>
      </c>
      <c r="C583" s="41" t="s">
        <v>163</v>
      </c>
      <c r="D583" s="42" t="str">
        <f aca="false">INDEX('Page và Ngách'!$B$5:$B$10,MATCH(C583,'Page và Ngách'!$A$5:$A$10,0))</f>
        <v>Secret billionaire / CEO</v>
      </c>
      <c r="E583" s="41" t="n">
        <v>7</v>
      </c>
      <c r="F583" s="43" t="n">
        <f aca="false">'Cài đặt'!$B$39+E583-1</f>
        <v>46383</v>
      </c>
      <c r="G583" s="41" t="s">
        <v>444</v>
      </c>
      <c r="H583" s="44" t="str">
        <f aca="false">IF(G583="S1",'Cài đặt'!$B$7,'Cài đặt'!$B$8)</f>
        <v>12:00</v>
      </c>
      <c r="I583" s="44" t="str">
        <f aca="false">'Cài đặt'!$B$32</f>
        <v>Carousel</v>
      </c>
      <c r="J583" s="44" t="str">
        <f aca="false">'Cài đặt'!$B$33</f>
        <v>A</v>
      </c>
      <c r="K583" s="41" t="s">
        <v>445</v>
      </c>
      <c r="L583" s="42" t="str">
        <f aca="false">C583&amp;"_"&amp;B583&amp;"_"&amp;IF(I583="Reel","R",IF(I583="Carousel","C","I"))&amp;"_"&amp;J583&amp;"_"&amp;IF(K583="AI tự động","AI","HU")&amp;"_"&amp;RIGHT(A583,3)</f>
        <v>P2_EXP3_C_A_AI_013</v>
      </c>
      <c r="M583" s="45"/>
      <c r="N583" s="45"/>
      <c r="O583" s="46"/>
      <c r="P583" s="46"/>
      <c r="Q583" s="46"/>
      <c r="R583" s="47"/>
      <c r="S583" s="45"/>
      <c r="T583" s="45"/>
      <c r="U583" s="48" t="str">
        <f aca="false">IF(O583&gt;0,P583/O583,"")</f>
        <v/>
      </c>
      <c r="V583" s="49" t="str">
        <f aca="false">IF(P583&gt;0,Q583/P583,"")</f>
        <v/>
      </c>
      <c r="W583" s="50" t="n">
        <f aca="false">IF(R583&lt;&gt;"",R583,Q583*'Cài đặt'!$B$12)</f>
        <v>0</v>
      </c>
      <c r="X583" s="50" t="str">
        <f aca="false">IF(O583&gt;0,W583/O583*1000,"")</f>
        <v/>
      </c>
      <c r="Y583" s="51" t="n">
        <f aca="false">IF(T583&lt;&gt;"",T583,INDEX('Cài đặt'!$B$20:$C$22,MATCH(I583,'Cài đặt'!$A$20:$A$22,0),IF(K583="AI tự động",1,2)))</f>
        <v>4</v>
      </c>
    </row>
    <row r="584" customFormat="false" ht="15" hidden="false" customHeight="false" outlineLevel="0" collapsed="false">
      <c r="A584" s="41" t="s">
        <v>1034</v>
      </c>
      <c r="B584" s="41" t="s">
        <v>958</v>
      </c>
      <c r="C584" s="41" t="s">
        <v>163</v>
      </c>
      <c r="D584" s="42" t="str">
        <f aca="false">INDEX('Page và Ngách'!$B$5:$B$10,MATCH(C584,'Page và Ngách'!$A$5:$A$10,0))</f>
        <v>Secret billionaire / CEO</v>
      </c>
      <c r="E584" s="41" t="n">
        <v>7</v>
      </c>
      <c r="F584" s="43" t="n">
        <f aca="false">'Cài đặt'!$B$39+E584-1</f>
        <v>46383</v>
      </c>
      <c r="G584" s="41" t="s">
        <v>451</v>
      </c>
      <c r="H584" s="44" t="str">
        <f aca="false">IF(G584="S1",'Cài đặt'!$B$7,'Cài đặt'!$B$8)</f>
        <v>20:00</v>
      </c>
      <c r="I584" s="44" t="str">
        <f aca="false">'Cài đặt'!$B$32</f>
        <v>Carousel</v>
      </c>
      <c r="J584" s="44" t="str">
        <f aca="false">'Cài đặt'!$B$33</f>
        <v>A</v>
      </c>
      <c r="K584" s="41" t="s">
        <v>445</v>
      </c>
      <c r="L584" s="42" t="str">
        <f aca="false">C584&amp;"_"&amp;B584&amp;"_"&amp;IF(I584="Reel","R",IF(I584="Carousel","C","I"))&amp;"_"&amp;J584&amp;"_"&amp;IF(K584="AI tự động","AI","HU")&amp;"_"&amp;RIGHT(A584,3)</f>
        <v>P2_EXP3_C_A_AI_014</v>
      </c>
      <c r="M584" s="45"/>
      <c r="N584" s="45"/>
      <c r="O584" s="46"/>
      <c r="P584" s="46"/>
      <c r="Q584" s="46"/>
      <c r="R584" s="47"/>
      <c r="S584" s="45"/>
      <c r="T584" s="45"/>
      <c r="U584" s="48" t="str">
        <f aca="false">IF(O584&gt;0,P584/O584,"")</f>
        <v/>
      </c>
      <c r="V584" s="49" t="str">
        <f aca="false">IF(P584&gt;0,Q584/P584,"")</f>
        <v/>
      </c>
      <c r="W584" s="50" t="n">
        <f aca="false">IF(R584&lt;&gt;"",R584,Q584*'Cài đặt'!$B$12)</f>
        <v>0</v>
      </c>
      <c r="X584" s="50" t="str">
        <f aca="false">IF(O584&gt;0,W584/O584*1000,"")</f>
        <v/>
      </c>
      <c r="Y584" s="51" t="n">
        <f aca="false">IF(T584&lt;&gt;"",T584,INDEX('Cài đặt'!$B$20:$C$22,MATCH(I584,'Cài đặt'!$A$20:$A$22,0),IF(K584="AI tự động",1,2)))</f>
        <v>4</v>
      </c>
    </row>
    <row r="585" customFormat="false" ht="15" hidden="false" customHeight="false" outlineLevel="0" collapsed="false">
      <c r="A585" s="41" t="s">
        <v>1035</v>
      </c>
      <c r="B585" s="41" t="s">
        <v>958</v>
      </c>
      <c r="C585" s="41" t="s">
        <v>171</v>
      </c>
      <c r="D585" s="42" t="str">
        <f aca="false">INDEX('Page và Ngách'!$B$5:$B$10,MATCH(C585,'Page và Ngách'!$A$5:$A$10,0))</f>
        <v>Contract marriage / Fake relationship</v>
      </c>
      <c r="E585" s="41" t="n">
        <v>7</v>
      </c>
      <c r="F585" s="43" t="n">
        <f aca="false">'Cài đặt'!$B$39+E585-1</f>
        <v>46383</v>
      </c>
      <c r="G585" s="41" t="s">
        <v>444</v>
      </c>
      <c r="H585" s="44" t="str">
        <f aca="false">IF(G585="S1",'Cài đặt'!$B$7,'Cài đặt'!$B$8)</f>
        <v>12:00</v>
      </c>
      <c r="I585" s="44" t="str">
        <f aca="false">'Cài đặt'!$B$32</f>
        <v>Carousel</v>
      </c>
      <c r="J585" s="44" t="str">
        <f aca="false">'Cài đặt'!$B$33</f>
        <v>A</v>
      </c>
      <c r="K585" s="41" t="s">
        <v>445</v>
      </c>
      <c r="L585" s="42" t="str">
        <f aca="false">C585&amp;"_"&amp;B585&amp;"_"&amp;IF(I585="Reel","R",IF(I585="Carousel","C","I"))&amp;"_"&amp;J585&amp;"_"&amp;IF(K585="AI tự động","AI","HU")&amp;"_"&amp;RIGHT(A585,3)</f>
        <v>P3_EXP3_C_A_AI_013</v>
      </c>
      <c r="M585" s="45"/>
      <c r="N585" s="45"/>
      <c r="O585" s="46"/>
      <c r="P585" s="46"/>
      <c r="Q585" s="46"/>
      <c r="R585" s="47"/>
      <c r="S585" s="45"/>
      <c r="T585" s="45"/>
      <c r="U585" s="48" t="str">
        <f aca="false">IF(O585&gt;0,P585/O585,"")</f>
        <v/>
      </c>
      <c r="V585" s="49" t="str">
        <f aca="false">IF(P585&gt;0,Q585/P585,"")</f>
        <v/>
      </c>
      <c r="W585" s="50" t="n">
        <f aca="false">IF(R585&lt;&gt;"",R585,Q585*'Cài đặt'!$B$12)</f>
        <v>0</v>
      </c>
      <c r="X585" s="50" t="str">
        <f aca="false">IF(O585&gt;0,W585/O585*1000,"")</f>
        <v/>
      </c>
      <c r="Y585" s="51" t="n">
        <f aca="false">IF(T585&lt;&gt;"",T585,INDEX('Cài đặt'!$B$20:$C$22,MATCH(I585,'Cài đặt'!$A$20:$A$22,0),IF(K585="AI tự động",1,2)))</f>
        <v>4</v>
      </c>
    </row>
    <row r="586" customFormat="false" ht="15" hidden="false" customHeight="false" outlineLevel="0" collapsed="false">
      <c r="A586" s="41" t="s">
        <v>1036</v>
      </c>
      <c r="B586" s="41" t="s">
        <v>958</v>
      </c>
      <c r="C586" s="41" t="s">
        <v>171</v>
      </c>
      <c r="D586" s="42" t="str">
        <f aca="false">INDEX('Page và Ngách'!$B$5:$B$10,MATCH(C586,'Page và Ngách'!$A$5:$A$10,0))</f>
        <v>Contract marriage / Fake relationship</v>
      </c>
      <c r="E586" s="41" t="n">
        <v>7</v>
      </c>
      <c r="F586" s="43" t="n">
        <f aca="false">'Cài đặt'!$B$39+E586-1</f>
        <v>46383</v>
      </c>
      <c r="G586" s="41" t="s">
        <v>451</v>
      </c>
      <c r="H586" s="44" t="str">
        <f aca="false">IF(G586="S1",'Cài đặt'!$B$7,'Cài đặt'!$B$8)</f>
        <v>20:00</v>
      </c>
      <c r="I586" s="44" t="str">
        <f aca="false">'Cài đặt'!$B$32</f>
        <v>Carousel</v>
      </c>
      <c r="J586" s="44" t="str">
        <f aca="false">'Cài đặt'!$B$33</f>
        <v>A</v>
      </c>
      <c r="K586" s="41" t="s">
        <v>961</v>
      </c>
      <c r="L586" s="42" t="str">
        <f aca="false">C586&amp;"_"&amp;B586&amp;"_"&amp;IF(I586="Reel","R",IF(I586="Carousel","C","I"))&amp;"_"&amp;J586&amp;"_"&amp;IF(K586="AI tự động","AI","HU")&amp;"_"&amp;RIGHT(A586,3)</f>
        <v>P3_EXP3_C_A_HU_014</v>
      </c>
      <c r="M586" s="45"/>
      <c r="N586" s="45"/>
      <c r="O586" s="46"/>
      <c r="P586" s="46"/>
      <c r="Q586" s="46"/>
      <c r="R586" s="47"/>
      <c r="S586" s="45"/>
      <c r="T586" s="45"/>
      <c r="U586" s="48" t="str">
        <f aca="false">IF(O586&gt;0,P586/O586,"")</f>
        <v/>
      </c>
      <c r="V586" s="49" t="str">
        <f aca="false">IF(P586&gt;0,Q586/P586,"")</f>
        <v/>
      </c>
      <c r="W586" s="50" t="n">
        <f aca="false">IF(R586&lt;&gt;"",R586,Q586*'Cài đặt'!$B$12)</f>
        <v>0</v>
      </c>
      <c r="X586" s="50" t="str">
        <f aca="false">IF(O586&gt;0,W586/O586*1000,"")</f>
        <v/>
      </c>
      <c r="Y586" s="51" t="n">
        <f aca="false">IF(T586&lt;&gt;"",T586,INDEX('Cài đặt'!$B$20:$C$22,MATCH(I586,'Cài đặt'!$A$20:$A$22,0),IF(K586="AI tự động",1,2)))</f>
        <v>25</v>
      </c>
    </row>
    <row r="587" customFormat="false" ht="15" hidden="false" customHeight="false" outlineLevel="0" collapsed="false">
      <c r="A587" s="41" t="s">
        <v>1037</v>
      </c>
      <c r="B587" s="41" t="s">
        <v>958</v>
      </c>
      <c r="C587" s="41" t="s">
        <v>178</v>
      </c>
      <c r="D587" s="42" t="str">
        <f aca="false">INDEX('Page và Ngách'!$B$5:$B$10,MATCH(C587,'Page và Ngách'!$A$5:$A$10,0))</f>
        <v>Revenge / Betrayal ("you'll regret it")</v>
      </c>
      <c r="E587" s="41" t="n">
        <v>7</v>
      </c>
      <c r="F587" s="43" t="n">
        <f aca="false">'Cài đặt'!$B$39+E587-1</f>
        <v>46383</v>
      </c>
      <c r="G587" s="41" t="s">
        <v>444</v>
      </c>
      <c r="H587" s="44" t="str">
        <f aca="false">IF(G587="S1",'Cài đặt'!$B$7,'Cài đặt'!$B$8)</f>
        <v>12:00</v>
      </c>
      <c r="I587" s="44" t="str">
        <f aca="false">'Cài đặt'!$B$32</f>
        <v>Carousel</v>
      </c>
      <c r="J587" s="44" t="str">
        <f aca="false">'Cài đặt'!$B$33</f>
        <v>A</v>
      </c>
      <c r="K587" s="41" t="s">
        <v>445</v>
      </c>
      <c r="L587" s="42" t="str">
        <f aca="false">C587&amp;"_"&amp;B587&amp;"_"&amp;IF(I587="Reel","R",IF(I587="Carousel","C","I"))&amp;"_"&amp;J587&amp;"_"&amp;IF(K587="AI tự động","AI","HU")&amp;"_"&amp;RIGHT(A587,3)</f>
        <v>P4_EXP3_C_A_AI_013</v>
      </c>
      <c r="M587" s="45"/>
      <c r="N587" s="45"/>
      <c r="O587" s="46"/>
      <c r="P587" s="46"/>
      <c r="Q587" s="46"/>
      <c r="R587" s="47"/>
      <c r="S587" s="45"/>
      <c r="T587" s="45"/>
      <c r="U587" s="48" t="str">
        <f aca="false">IF(O587&gt;0,P587/O587,"")</f>
        <v/>
      </c>
      <c r="V587" s="49" t="str">
        <f aca="false">IF(P587&gt;0,Q587/P587,"")</f>
        <v/>
      </c>
      <c r="W587" s="50" t="n">
        <f aca="false">IF(R587&lt;&gt;"",R587,Q587*'Cài đặt'!$B$12)</f>
        <v>0</v>
      </c>
      <c r="X587" s="50" t="str">
        <f aca="false">IF(O587&gt;0,W587/O587*1000,"")</f>
        <v/>
      </c>
      <c r="Y587" s="51" t="n">
        <f aca="false">IF(T587&lt;&gt;"",T587,INDEX('Cài đặt'!$B$20:$C$22,MATCH(I587,'Cài đặt'!$A$20:$A$22,0),IF(K587="AI tự động",1,2)))</f>
        <v>4</v>
      </c>
    </row>
    <row r="588" customFormat="false" ht="15" hidden="false" customHeight="false" outlineLevel="0" collapsed="false">
      <c r="A588" s="41" t="s">
        <v>1038</v>
      </c>
      <c r="B588" s="41" t="s">
        <v>958</v>
      </c>
      <c r="C588" s="41" t="s">
        <v>178</v>
      </c>
      <c r="D588" s="42" t="str">
        <f aca="false">INDEX('Page và Ngách'!$B$5:$B$10,MATCH(C588,'Page và Ngách'!$A$5:$A$10,0))</f>
        <v>Revenge / Betrayal ("you'll regret it")</v>
      </c>
      <c r="E588" s="41" t="n">
        <v>7</v>
      </c>
      <c r="F588" s="43" t="n">
        <f aca="false">'Cài đặt'!$B$39+E588-1</f>
        <v>46383</v>
      </c>
      <c r="G588" s="41" t="s">
        <v>451</v>
      </c>
      <c r="H588" s="44" t="str">
        <f aca="false">IF(G588="S1",'Cài đặt'!$B$7,'Cài đặt'!$B$8)</f>
        <v>20:00</v>
      </c>
      <c r="I588" s="44" t="str">
        <f aca="false">'Cài đặt'!$B$32</f>
        <v>Carousel</v>
      </c>
      <c r="J588" s="44" t="str">
        <f aca="false">'Cài đặt'!$B$33</f>
        <v>A</v>
      </c>
      <c r="K588" s="41" t="s">
        <v>445</v>
      </c>
      <c r="L588" s="42" t="str">
        <f aca="false">C588&amp;"_"&amp;B588&amp;"_"&amp;IF(I588="Reel","R",IF(I588="Carousel","C","I"))&amp;"_"&amp;J588&amp;"_"&amp;IF(K588="AI tự động","AI","HU")&amp;"_"&amp;RIGHT(A588,3)</f>
        <v>P4_EXP3_C_A_AI_014</v>
      </c>
      <c r="M588" s="45"/>
      <c r="N588" s="45"/>
      <c r="O588" s="46"/>
      <c r="P588" s="46"/>
      <c r="Q588" s="46"/>
      <c r="R588" s="47"/>
      <c r="S588" s="45"/>
      <c r="T588" s="45"/>
      <c r="U588" s="48" t="str">
        <f aca="false">IF(O588&gt;0,P588/O588,"")</f>
        <v/>
      </c>
      <c r="V588" s="49" t="str">
        <f aca="false">IF(P588&gt;0,Q588/P588,"")</f>
        <v/>
      </c>
      <c r="W588" s="50" t="n">
        <f aca="false">IF(R588&lt;&gt;"",R588,Q588*'Cài đặt'!$B$12)</f>
        <v>0</v>
      </c>
      <c r="X588" s="50" t="str">
        <f aca="false">IF(O588&gt;0,W588/O588*1000,"")</f>
        <v/>
      </c>
      <c r="Y588" s="51" t="n">
        <f aca="false">IF(T588&lt;&gt;"",T588,INDEX('Cài đặt'!$B$20:$C$22,MATCH(I588,'Cài đặt'!$A$20:$A$22,0),IF(K588="AI tự động",1,2)))</f>
        <v>4</v>
      </c>
    </row>
    <row r="589" customFormat="false" ht="15" hidden="false" customHeight="false" outlineLevel="0" collapsed="false">
      <c r="A589" s="41" t="s">
        <v>1039</v>
      </c>
      <c r="B589" s="41" t="s">
        <v>958</v>
      </c>
      <c r="C589" s="41" t="s">
        <v>185</v>
      </c>
      <c r="D589" s="42" t="str">
        <f aca="false">INDEX('Page và Ngách'!$B$5:$B$10,MATCH(C589,'Page và Ngách'!$A$5:$A$10,0))</f>
        <v>Mafia / Dark romance (teaser PG-13)</v>
      </c>
      <c r="E589" s="41" t="n">
        <v>7</v>
      </c>
      <c r="F589" s="43" t="n">
        <f aca="false">'Cài đặt'!$B$39+E589-1</f>
        <v>46383</v>
      </c>
      <c r="G589" s="41" t="s">
        <v>444</v>
      </c>
      <c r="H589" s="44" t="str">
        <f aca="false">IF(G589="S1",'Cài đặt'!$B$7,'Cài đặt'!$B$8)</f>
        <v>12:00</v>
      </c>
      <c r="I589" s="44" t="str">
        <f aca="false">'Cài đặt'!$B$32</f>
        <v>Carousel</v>
      </c>
      <c r="J589" s="44" t="str">
        <f aca="false">'Cài đặt'!$B$33</f>
        <v>A</v>
      </c>
      <c r="K589" s="41" t="s">
        <v>445</v>
      </c>
      <c r="L589" s="42" t="str">
        <f aca="false">C589&amp;"_"&amp;B589&amp;"_"&amp;IF(I589="Reel","R",IF(I589="Carousel","C","I"))&amp;"_"&amp;J589&amp;"_"&amp;IF(K589="AI tự động","AI","HU")&amp;"_"&amp;RIGHT(A589,3)</f>
        <v>P5_EXP3_C_A_AI_013</v>
      </c>
      <c r="M589" s="45"/>
      <c r="N589" s="45"/>
      <c r="O589" s="46"/>
      <c r="P589" s="46"/>
      <c r="Q589" s="46"/>
      <c r="R589" s="47"/>
      <c r="S589" s="45"/>
      <c r="T589" s="45"/>
      <c r="U589" s="48" t="str">
        <f aca="false">IF(O589&gt;0,P589/O589,"")</f>
        <v/>
      </c>
      <c r="V589" s="49" t="str">
        <f aca="false">IF(P589&gt;0,Q589/P589,"")</f>
        <v/>
      </c>
      <c r="W589" s="50" t="n">
        <f aca="false">IF(R589&lt;&gt;"",R589,Q589*'Cài đặt'!$B$12)</f>
        <v>0</v>
      </c>
      <c r="X589" s="50" t="str">
        <f aca="false">IF(O589&gt;0,W589/O589*1000,"")</f>
        <v/>
      </c>
      <c r="Y589" s="51" t="n">
        <f aca="false">IF(T589&lt;&gt;"",T589,INDEX('Cài đặt'!$B$20:$C$22,MATCH(I589,'Cài đặt'!$A$20:$A$22,0),IF(K589="AI tự động",1,2)))</f>
        <v>4</v>
      </c>
    </row>
    <row r="590" customFormat="false" ht="15" hidden="false" customHeight="false" outlineLevel="0" collapsed="false">
      <c r="A590" s="41" t="s">
        <v>1040</v>
      </c>
      <c r="B590" s="41" t="s">
        <v>958</v>
      </c>
      <c r="C590" s="41" t="s">
        <v>185</v>
      </c>
      <c r="D590" s="42" t="str">
        <f aca="false">INDEX('Page và Ngách'!$B$5:$B$10,MATCH(C590,'Page và Ngách'!$A$5:$A$10,0))</f>
        <v>Mafia / Dark romance (teaser PG-13)</v>
      </c>
      <c r="E590" s="41" t="n">
        <v>7</v>
      </c>
      <c r="F590" s="43" t="n">
        <f aca="false">'Cài đặt'!$B$39+E590-1</f>
        <v>46383</v>
      </c>
      <c r="G590" s="41" t="s">
        <v>451</v>
      </c>
      <c r="H590" s="44" t="str">
        <f aca="false">IF(G590="S1",'Cài đặt'!$B$7,'Cài đặt'!$B$8)</f>
        <v>20:00</v>
      </c>
      <c r="I590" s="44" t="str">
        <f aca="false">'Cài đặt'!$B$32</f>
        <v>Carousel</v>
      </c>
      <c r="J590" s="44" t="str">
        <f aca="false">'Cài đặt'!$B$33</f>
        <v>A</v>
      </c>
      <c r="K590" s="41" t="s">
        <v>445</v>
      </c>
      <c r="L590" s="42" t="str">
        <f aca="false">C590&amp;"_"&amp;B590&amp;"_"&amp;IF(I590="Reel","R",IF(I590="Carousel","C","I"))&amp;"_"&amp;J590&amp;"_"&amp;IF(K590="AI tự động","AI","HU")&amp;"_"&amp;RIGHT(A590,3)</f>
        <v>P5_EXP3_C_A_AI_014</v>
      </c>
      <c r="M590" s="45"/>
      <c r="N590" s="45"/>
      <c r="O590" s="46"/>
      <c r="P590" s="46"/>
      <c r="Q590" s="46"/>
      <c r="R590" s="47"/>
      <c r="S590" s="45"/>
      <c r="T590" s="45"/>
      <c r="U590" s="48" t="str">
        <f aca="false">IF(O590&gt;0,P590/O590,"")</f>
        <v/>
      </c>
      <c r="V590" s="49" t="str">
        <f aca="false">IF(P590&gt;0,Q590/P590,"")</f>
        <v/>
      </c>
      <c r="W590" s="50" t="n">
        <f aca="false">IF(R590&lt;&gt;"",R590,Q590*'Cài đặt'!$B$12)</f>
        <v>0</v>
      </c>
      <c r="X590" s="50" t="str">
        <f aca="false">IF(O590&gt;0,W590/O590*1000,"")</f>
        <v/>
      </c>
      <c r="Y590" s="51" t="n">
        <f aca="false">IF(T590&lt;&gt;"",T590,INDEX('Cài đặt'!$B$20:$C$22,MATCH(I590,'Cài đặt'!$A$20:$A$22,0),IF(K590="AI tự động",1,2)))</f>
        <v>4</v>
      </c>
    </row>
    <row r="591" customFormat="false" ht="15" hidden="false" customHeight="false" outlineLevel="0" collapsed="false">
      <c r="A591" s="41" t="s">
        <v>1041</v>
      </c>
      <c r="B591" s="41" t="s">
        <v>958</v>
      </c>
      <c r="C591" s="41" t="s">
        <v>193</v>
      </c>
      <c r="D591" s="42" t="str">
        <f aca="false">INDEX('Page và Ngách'!$B$5:$B$10,MATCH(C591,'Page và Ngách'!$A$5:$A$10,0))</f>
        <v>Second chance / Secret baby</v>
      </c>
      <c r="E591" s="41" t="n">
        <v>7</v>
      </c>
      <c r="F591" s="43" t="n">
        <f aca="false">'Cài đặt'!$B$39+E591-1</f>
        <v>46383</v>
      </c>
      <c r="G591" s="41" t="s">
        <v>444</v>
      </c>
      <c r="H591" s="44" t="str">
        <f aca="false">IF(G591="S1",'Cài đặt'!$B$7,'Cài đặt'!$B$8)</f>
        <v>12:00</v>
      </c>
      <c r="I591" s="44" t="str">
        <f aca="false">'Cài đặt'!$B$32</f>
        <v>Carousel</v>
      </c>
      <c r="J591" s="44" t="str">
        <f aca="false">'Cài đặt'!$B$33</f>
        <v>A</v>
      </c>
      <c r="K591" s="41" t="s">
        <v>961</v>
      </c>
      <c r="L591" s="42" t="str">
        <f aca="false">C591&amp;"_"&amp;B591&amp;"_"&amp;IF(I591="Reel","R",IF(I591="Carousel","C","I"))&amp;"_"&amp;J591&amp;"_"&amp;IF(K591="AI tự động","AI","HU")&amp;"_"&amp;RIGHT(A591,3)</f>
        <v>P6_EXP3_C_A_HU_013</v>
      </c>
      <c r="M591" s="45"/>
      <c r="N591" s="45"/>
      <c r="O591" s="46"/>
      <c r="P591" s="46"/>
      <c r="Q591" s="46"/>
      <c r="R591" s="47"/>
      <c r="S591" s="45"/>
      <c r="T591" s="45"/>
      <c r="U591" s="48" t="str">
        <f aca="false">IF(O591&gt;0,P591/O591,"")</f>
        <v/>
      </c>
      <c r="V591" s="49" t="str">
        <f aca="false">IF(P591&gt;0,Q591/P591,"")</f>
        <v/>
      </c>
      <c r="W591" s="50" t="n">
        <f aca="false">IF(R591&lt;&gt;"",R591,Q591*'Cài đặt'!$B$12)</f>
        <v>0</v>
      </c>
      <c r="X591" s="50" t="str">
        <f aca="false">IF(O591&gt;0,W591/O591*1000,"")</f>
        <v/>
      </c>
      <c r="Y591" s="51" t="n">
        <f aca="false">IF(T591&lt;&gt;"",T591,INDEX('Cài đặt'!$B$20:$C$22,MATCH(I591,'Cài đặt'!$A$20:$A$22,0),IF(K591="AI tự động",1,2)))</f>
        <v>25</v>
      </c>
    </row>
    <row r="592" customFormat="false" ht="15" hidden="false" customHeight="false" outlineLevel="0" collapsed="false">
      <c r="A592" s="41" t="s">
        <v>1042</v>
      </c>
      <c r="B592" s="41" t="s">
        <v>958</v>
      </c>
      <c r="C592" s="41" t="s">
        <v>193</v>
      </c>
      <c r="D592" s="42" t="str">
        <f aca="false">INDEX('Page và Ngách'!$B$5:$B$10,MATCH(C592,'Page và Ngách'!$A$5:$A$10,0))</f>
        <v>Second chance / Secret baby</v>
      </c>
      <c r="E592" s="41" t="n">
        <v>7</v>
      </c>
      <c r="F592" s="43" t="n">
        <f aca="false">'Cài đặt'!$B$39+E592-1</f>
        <v>46383</v>
      </c>
      <c r="G592" s="41" t="s">
        <v>451</v>
      </c>
      <c r="H592" s="44" t="str">
        <f aca="false">IF(G592="S1",'Cài đặt'!$B$7,'Cài đặt'!$B$8)</f>
        <v>20:00</v>
      </c>
      <c r="I592" s="44" t="str">
        <f aca="false">'Cài đặt'!$B$32</f>
        <v>Carousel</v>
      </c>
      <c r="J592" s="44" t="str">
        <f aca="false">'Cài đặt'!$B$33</f>
        <v>A</v>
      </c>
      <c r="K592" s="41" t="s">
        <v>445</v>
      </c>
      <c r="L592" s="42" t="str">
        <f aca="false">C592&amp;"_"&amp;B592&amp;"_"&amp;IF(I592="Reel","R",IF(I592="Carousel","C","I"))&amp;"_"&amp;J592&amp;"_"&amp;IF(K592="AI tự động","AI","HU")&amp;"_"&amp;RIGHT(A592,3)</f>
        <v>P6_EXP3_C_A_AI_014</v>
      </c>
      <c r="M592" s="45"/>
      <c r="N592" s="45"/>
      <c r="O592" s="46"/>
      <c r="P592" s="46"/>
      <c r="Q592" s="46"/>
      <c r="R592" s="47"/>
      <c r="S592" s="45"/>
      <c r="T592" s="45"/>
      <c r="U592" s="48" t="str">
        <f aca="false">IF(O592&gt;0,P592/O592,"")</f>
        <v/>
      </c>
      <c r="V592" s="49" t="str">
        <f aca="false">IF(P592&gt;0,Q592/P592,"")</f>
        <v/>
      </c>
      <c r="W592" s="50" t="n">
        <f aca="false">IF(R592&lt;&gt;"",R592,Q592*'Cài đặt'!$B$12)</f>
        <v>0</v>
      </c>
      <c r="X592" s="50" t="str">
        <f aca="false">IF(O592&gt;0,W592/O592*1000,"")</f>
        <v/>
      </c>
      <c r="Y592" s="51" t="n">
        <f aca="false">IF(T592&lt;&gt;"",T592,INDEX('Cài đặt'!$B$20:$C$22,MATCH(I592,'Cài đặt'!$A$20:$A$22,0),IF(K592="AI tự động",1,2)))</f>
        <v>4</v>
      </c>
    </row>
    <row r="593" customFormat="false" ht="15" hidden="false" customHeight="false" outlineLevel="0" collapsed="false">
      <c r="A593" s="41" t="s">
        <v>1043</v>
      </c>
      <c r="B593" s="41" t="s">
        <v>958</v>
      </c>
      <c r="C593" s="41" t="s">
        <v>154</v>
      </c>
      <c r="D593" s="42" t="str">
        <f aca="false">INDEX('Page và Ngách'!$B$5:$B$10,MATCH(C593,'Page và Ngách'!$A$5:$A$10,0))</f>
        <v>Werewolf / Rejected mate</v>
      </c>
      <c r="E593" s="41" t="n">
        <v>8</v>
      </c>
      <c r="F593" s="43" t="n">
        <f aca="false">'Cài đặt'!$B$39+E593-1</f>
        <v>46384</v>
      </c>
      <c r="G593" s="41" t="s">
        <v>444</v>
      </c>
      <c r="H593" s="44" t="str">
        <f aca="false">IF(G593="S1",'Cài đặt'!$B$7,'Cài đặt'!$B$8)</f>
        <v>12:00</v>
      </c>
      <c r="I593" s="44" t="str">
        <f aca="false">'Cài đặt'!$B$32</f>
        <v>Carousel</v>
      </c>
      <c r="J593" s="44" t="str">
        <f aca="false">'Cài đặt'!$B$33</f>
        <v>A</v>
      </c>
      <c r="K593" s="41" t="s">
        <v>445</v>
      </c>
      <c r="L593" s="42" t="str">
        <f aca="false">C593&amp;"_"&amp;B593&amp;"_"&amp;IF(I593="Reel","R",IF(I593="Carousel","C","I"))&amp;"_"&amp;J593&amp;"_"&amp;IF(K593="AI tự động","AI","HU")&amp;"_"&amp;RIGHT(A593,3)</f>
        <v>P1_EXP3_C_A_AI_015</v>
      </c>
      <c r="M593" s="45"/>
      <c r="N593" s="45"/>
      <c r="O593" s="46"/>
      <c r="P593" s="46"/>
      <c r="Q593" s="46"/>
      <c r="R593" s="47"/>
      <c r="S593" s="45"/>
      <c r="T593" s="45"/>
      <c r="U593" s="48" t="str">
        <f aca="false">IF(O593&gt;0,P593/O593,"")</f>
        <v/>
      </c>
      <c r="V593" s="49" t="str">
        <f aca="false">IF(P593&gt;0,Q593/P593,"")</f>
        <v/>
      </c>
      <c r="W593" s="50" t="n">
        <f aca="false">IF(R593&lt;&gt;"",R593,Q593*'Cài đặt'!$B$12)</f>
        <v>0</v>
      </c>
      <c r="X593" s="50" t="str">
        <f aca="false">IF(O593&gt;0,W593/O593*1000,"")</f>
        <v/>
      </c>
      <c r="Y593" s="51" t="n">
        <f aca="false">IF(T593&lt;&gt;"",T593,INDEX('Cài đặt'!$B$20:$C$22,MATCH(I593,'Cài đặt'!$A$20:$A$22,0),IF(K593="AI tự động",1,2)))</f>
        <v>4</v>
      </c>
    </row>
    <row r="594" customFormat="false" ht="15" hidden="false" customHeight="false" outlineLevel="0" collapsed="false">
      <c r="A594" s="41" t="s">
        <v>1044</v>
      </c>
      <c r="B594" s="41" t="s">
        <v>958</v>
      </c>
      <c r="C594" s="41" t="s">
        <v>154</v>
      </c>
      <c r="D594" s="42" t="str">
        <f aca="false">INDEX('Page và Ngách'!$B$5:$B$10,MATCH(C594,'Page và Ngách'!$A$5:$A$10,0))</f>
        <v>Werewolf / Rejected mate</v>
      </c>
      <c r="E594" s="41" t="n">
        <v>8</v>
      </c>
      <c r="F594" s="43" t="n">
        <f aca="false">'Cài đặt'!$B$39+E594-1</f>
        <v>46384</v>
      </c>
      <c r="G594" s="41" t="s">
        <v>451</v>
      </c>
      <c r="H594" s="44" t="str">
        <f aca="false">IF(G594="S1",'Cài đặt'!$B$7,'Cài đặt'!$B$8)</f>
        <v>20:00</v>
      </c>
      <c r="I594" s="44" t="str">
        <f aca="false">'Cài đặt'!$B$32</f>
        <v>Carousel</v>
      </c>
      <c r="J594" s="44" t="str">
        <f aca="false">'Cài đặt'!$B$33</f>
        <v>A</v>
      </c>
      <c r="K594" s="41" t="s">
        <v>445</v>
      </c>
      <c r="L594" s="42" t="str">
        <f aca="false">C594&amp;"_"&amp;B594&amp;"_"&amp;IF(I594="Reel","R",IF(I594="Carousel","C","I"))&amp;"_"&amp;J594&amp;"_"&amp;IF(K594="AI tự động","AI","HU")&amp;"_"&amp;RIGHT(A594,3)</f>
        <v>P1_EXP3_C_A_AI_016</v>
      </c>
      <c r="M594" s="45"/>
      <c r="N594" s="45"/>
      <c r="O594" s="46"/>
      <c r="P594" s="46"/>
      <c r="Q594" s="46"/>
      <c r="R594" s="47"/>
      <c r="S594" s="45"/>
      <c r="T594" s="45"/>
      <c r="U594" s="48" t="str">
        <f aca="false">IF(O594&gt;0,P594/O594,"")</f>
        <v/>
      </c>
      <c r="V594" s="49" t="str">
        <f aca="false">IF(P594&gt;0,Q594/P594,"")</f>
        <v/>
      </c>
      <c r="W594" s="50" t="n">
        <f aca="false">IF(R594&lt;&gt;"",R594,Q594*'Cài đặt'!$B$12)</f>
        <v>0</v>
      </c>
      <c r="X594" s="50" t="str">
        <f aca="false">IF(O594&gt;0,W594/O594*1000,"")</f>
        <v/>
      </c>
      <c r="Y594" s="51" t="n">
        <f aca="false">IF(T594&lt;&gt;"",T594,INDEX('Cài đặt'!$B$20:$C$22,MATCH(I594,'Cài đặt'!$A$20:$A$22,0),IF(K594="AI tự động",1,2)))</f>
        <v>4</v>
      </c>
    </row>
    <row r="595" customFormat="false" ht="15" hidden="false" customHeight="false" outlineLevel="0" collapsed="false">
      <c r="A595" s="41" t="s">
        <v>1045</v>
      </c>
      <c r="B595" s="41" t="s">
        <v>958</v>
      </c>
      <c r="C595" s="41" t="s">
        <v>163</v>
      </c>
      <c r="D595" s="42" t="str">
        <f aca="false">INDEX('Page và Ngách'!$B$5:$B$10,MATCH(C595,'Page và Ngách'!$A$5:$A$10,0))</f>
        <v>Secret billionaire / CEO</v>
      </c>
      <c r="E595" s="41" t="n">
        <v>8</v>
      </c>
      <c r="F595" s="43" t="n">
        <f aca="false">'Cài đặt'!$B$39+E595-1</f>
        <v>46384</v>
      </c>
      <c r="G595" s="41" t="s">
        <v>444</v>
      </c>
      <c r="H595" s="44" t="str">
        <f aca="false">IF(G595="S1",'Cài đặt'!$B$7,'Cài đặt'!$B$8)</f>
        <v>12:00</v>
      </c>
      <c r="I595" s="44" t="str">
        <f aca="false">'Cài đặt'!$B$32</f>
        <v>Carousel</v>
      </c>
      <c r="J595" s="44" t="str">
        <f aca="false">'Cài đặt'!$B$33</f>
        <v>A</v>
      </c>
      <c r="K595" s="41" t="s">
        <v>445</v>
      </c>
      <c r="L595" s="42" t="str">
        <f aca="false">C595&amp;"_"&amp;B595&amp;"_"&amp;IF(I595="Reel","R",IF(I595="Carousel","C","I"))&amp;"_"&amp;J595&amp;"_"&amp;IF(K595="AI tự động","AI","HU")&amp;"_"&amp;RIGHT(A595,3)</f>
        <v>P2_EXP3_C_A_AI_015</v>
      </c>
      <c r="M595" s="45"/>
      <c r="N595" s="45"/>
      <c r="O595" s="46"/>
      <c r="P595" s="46"/>
      <c r="Q595" s="46"/>
      <c r="R595" s="47"/>
      <c r="S595" s="45"/>
      <c r="T595" s="45"/>
      <c r="U595" s="48" t="str">
        <f aca="false">IF(O595&gt;0,P595/O595,"")</f>
        <v/>
      </c>
      <c r="V595" s="49" t="str">
        <f aca="false">IF(P595&gt;0,Q595/P595,"")</f>
        <v/>
      </c>
      <c r="W595" s="50" t="n">
        <f aca="false">IF(R595&lt;&gt;"",R595,Q595*'Cài đặt'!$B$12)</f>
        <v>0</v>
      </c>
      <c r="X595" s="50" t="str">
        <f aca="false">IF(O595&gt;0,W595/O595*1000,"")</f>
        <v/>
      </c>
      <c r="Y595" s="51" t="n">
        <f aca="false">IF(T595&lt;&gt;"",T595,INDEX('Cài đặt'!$B$20:$C$22,MATCH(I595,'Cài đặt'!$A$20:$A$22,0),IF(K595="AI tự động",1,2)))</f>
        <v>4</v>
      </c>
    </row>
    <row r="596" customFormat="false" ht="15" hidden="false" customHeight="false" outlineLevel="0" collapsed="false">
      <c r="A596" s="41" t="s">
        <v>1046</v>
      </c>
      <c r="B596" s="41" t="s">
        <v>958</v>
      </c>
      <c r="C596" s="41" t="s">
        <v>163</v>
      </c>
      <c r="D596" s="42" t="str">
        <f aca="false">INDEX('Page và Ngách'!$B$5:$B$10,MATCH(C596,'Page và Ngách'!$A$5:$A$10,0))</f>
        <v>Secret billionaire / CEO</v>
      </c>
      <c r="E596" s="41" t="n">
        <v>8</v>
      </c>
      <c r="F596" s="43" t="n">
        <f aca="false">'Cài đặt'!$B$39+E596-1</f>
        <v>46384</v>
      </c>
      <c r="G596" s="41" t="s">
        <v>451</v>
      </c>
      <c r="H596" s="44" t="str">
        <f aca="false">IF(G596="S1",'Cài đặt'!$B$7,'Cài đặt'!$B$8)</f>
        <v>20:00</v>
      </c>
      <c r="I596" s="44" t="str">
        <f aca="false">'Cài đặt'!$B$32</f>
        <v>Carousel</v>
      </c>
      <c r="J596" s="44" t="str">
        <f aca="false">'Cài đặt'!$B$33</f>
        <v>A</v>
      </c>
      <c r="K596" s="41" t="s">
        <v>961</v>
      </c>
      <c r="L596" s="42" t="str">
        <f aca="false">C596&amp;"_"&amp;B596&amp;"_"&amp;IF(I596="Reel","R",IF(I596="Carousel","C","I"))&amp;"_"&amp;J596&amp;"_"&amp;IF(K596="AI tự động","AI","HU")&amp;"_"&amp;RIGHT(A596,3)</f>
        <v>P2_EXP3_C_A_HU_016</v>
      </c>
      <c r="M596" s="45"/>
      <c r="N596" s="45"/>
      <c r="O596" s="46"/>
      <c r="P596" s="46"/>
      <c r="Q596" s="46"/>
      <c r="R596" s="47"/>
      <c r="S596" s="45"/>
      <c r="T596" s="45"/>
      <c r="U596" s="48" t="str">
        <f aca="false">IF(O596&gt;0,P596/O596,"")</f>
        <v/>
      </c>
      <c r="V596" s="49" t="str">
        <f aca="false">IF(P596&gt;0,Q596/P596,"")</f>
        <v/>
      </c>
      <c r="W596" s="50" t="n">
        <f aca="false">IF(R596&lt;&gt;"",R596,Q596*'Cài đặt'!$B$12)</f>
        <v>0</v>
      </c>
      <c r="X596" s="50" t="str">
        <f aca="false">IF(O596&gt;0,W596/O596*1000,"")</f>
        <v/>
      </c>
      <c r="Y596" s="51" t="n">
        <f aca="false">IF(T596&lt;&gt;"",T596,INDEX('Cài đặt'!$B$20:$C$22,MATCH(I596,'Cài đặt'!$A$20:$A$22,0),IF(K596="AI tự động",1,2)))</f>
        <v>25</v>
      </c>
    </row>
    <row r="597" customFormat="false" ht="15" hidden="false" customHeight="false" outlineLevel="0" collapsed="false">
      <c r="A597" s="41" t="s">
        <v>1047</v>
      </c>
      <c r="B597" s="41" t="s">
        <v>958</v>
      </c>
      <c r="C597" s="41" t="s">
        <v>171</v>
      </c>
      <c r="D597" s="42" t="str">
        <f aca="false">INDEX('Page và Ngách'!$B$5:$B$10,MATCH(C597,'Page và Ngách'!$A$5:$A$10,0))</f>
        <v>Contract marriage / Fake relationship</v>
      </c>
      <c r="E597" s="41" t="n">
        <v>8</v>
      </c>
      <c r="F597" s="43" t="n">
        <f aca="false">'Cài đặt'!$B$39+E597-1</f>
        <v>46384</v>
      </c>
      <c r="G597" s="41" t="s">
        <v>444</v>
      </c>
      <c r="H597" s="44" t="str">
        <f aca="false">IF(G597="S1",'Cài đặt'!$B$7,'Cài đặt'!$B$8)</f>
        <v>12:00</v>
      </c>
      <c r="I597" s="44" t="str">
        <f aca="false">'Cài đặt'!$B$32</f>
        <v>Carousel</v>
      </c>
      <c r="J597" s="44" t="str">
        <f aca="false">'Cài đặt'!$B$33</f>
        <v>A</v>
      </c>
      <c r="K597" s="41" t="s">
        <v>445</v>
      </c>
      <c r="L597" s="42" t="str">
        <f aca="false">C597&amp;"_"&amp;B597&amp;"_"&amp;IF(I597="Reel","R",IF(I597="Carousel","C","I"))&amp;"_"&amp;J597&amp;"_"&amp;IF(K597="AI tự động","AI","HU")&amp;"_"&amp;RIGHT(A597,3)</f>
        <v>P3_EXP3_C_A_AI_015</v>
      </c>
      <c r="M597" s="45"/>
      <c r="N597" s="45"/>
      <c r="O597" s="46"/>
      <c r="P597" s="46"/>
      <c r="Q597" s="46"/>
      <c r="R597" s="47"/>
      <c r="S597" s="45"/>
      <c r="T597" s="45"/>
      <c r="U597" s="48" t="str">
        <f aca="false">IF(O597&gt;0,P597/O597,"")</f>
        <v/>
      </c>
      <c r="V597" s="49" t="str">
        <f aca="false">IF(P597&gt;0,Q597/P597,"")</f>
        <v/>
      </c>
      <c r="W597" s="50" t="n">
        <f aca="false">IF(R597&lt;&gt;"",R597,Q597*'Cài đặt'!$B$12)</f>
        <v>0</v>
      </c>
      <c r="X597" s="50" t="str">
        <f aca="false">IF(O597&gt;0,W597/O597*1000,"")</f>
        <v/>
      </c>
      <c r="Y597" s="51" t="n">
        <f aca="false">IF(T597&lt;&gt;"",T597,INDEX('Cài đặt'!$B$20:$C$22,MATCH(I597,'Cài đặt'!$A$20:$A$22,0),IF(K597="AI tự động",1,2)))</f>
        <v>4</v>
      </c>
    </row>
    <row r="598" customFormat="false" ht="15" hidden="false" customHeight="false" outlineLevel="0" collapsed="false">
      <c r="A598" s="41" t="s">
        <v>1048</v>
      </c>
      <c r="B598" s="41" t="s">
        <v>958</v>
      </c>
      <c r="C598" s="41" t="s">
        <v>171</v>
      </c>
      <c r="D598" s="42" t="str">
        <f aca="false">INDEX('Page và Ngách'!$B$5:$B$10,MATCH(C598,'Page và Ngách'!$A$5:$A$10,0))</f>
        <v>Contract marriage / Fake relationship</v>
      </c>
      <c r="E598" s="41" t="n">
        <v>8</v>
      </c>
      <c r="F598" s="43" t="n">
        <f aca="false">'Cài đặt'!$B$39+E598-1</f>
        <v>46384</v>
      </c>
      <c r="G598" s="41" t="s">
        <v>451</v>
      </c>
      <c r="H598" s="44" t="str">
        <f aca="false">IF(G598="S1",'Cài đặt'!$B$7,'Cài đặt'!$B$8)</f>
        <v>20:00</v>
      </c>
      <c r="I598" s="44" t="str">
        <f aca="false">'Cài đặt'!$B$32</f>
        <v>Carousel</v>
      </c>
      <c r="J598" s="44" t="str">
        <f aca="false">'Cài đặt'!$B$33</f>
        <v>A</v>
      </c>
      <c r="K598" s="41" t="s">
        <v>445</v>
      </c>
      <c r="L598" s="42" t="str">
        <f aca="false">C598&amp;"_"&amp;B598&amp;"_"&amp;IF(I598="Reel","R",IF(I598="Carousel","C","I"))&amp;"_"&amp;J598&amp;"_"&amp;IF(K598="AI tự động","AI","HU")&amp;"_"&amp;RIGHT(A598,3)</f>
        <v>P3_EXP3_C_A_AI_016</v>
      </c>
      <c r="M598" s="45"/>
      <c r="N598" s="45"/>
      <c r="O598" s="46"/>
      <c r="P598" s="46"/>
      <c r="Q598" s="46"/>
      <c r="R598" s="47"/>
      <c r="S598" s="45"/>
      <c r="T598" s="45"/>
      <c r="U598" s="48" t="str">
        <f aca="false">IF(O598&gt;0,P598/O598,"")</f>
        <v/>
      </c>
      <c r="V598" s="49" t="str">
        <f aca="false">IF(P598&gt;0,Q598/P598,"")</f>
        <v/>
      </c>
      <c r="W598" s="50" t="n">
        <f aca="false">IF(R598&lt;&gt;"",R598,Q598*'Cài đặt'!$B$12)</f>
        <v>0</v>
      </c>
      <c r="X598" s="50" t="str">
        <f aca="false">IF(O598&gt;0,W598/O598*1000,"")</f>
        <v/>
      </c>
      <c r="Y598" s="51" t="n">
        <f aca="false">IF(T598&lt;&gt;"",T598,INDEX('Cài đặt'!$B$20:$C$22,MATCH(I598,'Cài đặt'!$A$20:$A$22,0),IF(K598="AI tự động",1,2)))</f>
        <v>4</v>
      </c>
    </row>
    <row r="599" customFormat="false" ht="15" hidden="false" customHeight="false" outlineLevel="0" collapsed="false">
      <c r="A599" s="41" t="s">
        <v>1049</v>
      </c>
      <c r="B599" s="41" t="s">
        <v>958</v>
      </c>
      <c r="C599" s="41" t="s">
        <v>178</v>
      </c>
      <c r="D599" s="42" t="str">
        <f aca="false">INDEX('Page và Ngách'!$B$5:$B$10,MATCH(C599,'Page và Ngách'!$A$5:$A$10,0))</f>
        <v>Revenge / Betrayal ("you'll regret it")</v>
      </c>
      <c r="E599" s="41" t="n">
        <v>8</v>
      </c>
      <c r="F599" s="43" t="n">
        <f aca="false">'Cài đặt'!$B$39+E599-1</f>
        <v>46384</v>
      </c>
      <c r="G599" s="41" t="s">
        <v>444</v>
      </c>
      <c r="H599" s="44" t="str">
        <f aca="false">IF(G599="S1",'Cài đặt'!$B$7,'Cài đặt'!$B$8)</f>
        <v>12:00</v>
      </c>
      <c r="I599" s="44" t="str">
        <f aca="false">'Cài đặt'!$B$32</f>
        <v>Carousel</v>
      </c>
      <c r="J599" s="44" t="str">
        <f aca="false">'Cài đặt'!$B$33</f>
        <v>A</v>
      </c>
      <c r="K599" s="41" t="s">
        <v>445</v>
      </c>
      <c r="L599" s="42" t="str">
        <f aca="false">C599&amp;"_"&amp;B599&amp;"_"&amp;IF(I599="Reel","R",IF(I599="Carousel","C","I"))&amp;"_"&amp;J599&amp;"_"&amp;IF(K599="AI tự động","AI","HU")&amp;"_"&amp;RIGHT(A599,3)</f>
        <v>P4_EXP3_C_A_AI_015</v>
      </c>
      <c r="M599" s="45"/>
      <c r="N599" s="45"/>
      <c r="O599" s="46"/>
      <c r="P599" s="46"/>
      <c r="Q599" s="46"/>
      <c r="R599" s="47"/>
      <c r="S599" s="45"/>
      <c r="T599" s="45"/>
      <c r="U599" s="48" t="str">
        <f aca="false">IF(O599&gt;0,P599/O599,"")</f>
        <v/>
      </c>
      <c r="V599" s="49" t="str">
        <f aca="false">IF(P599&gt;0,Q599/P599,"")</f>
        <v/>
      </c>
      <c r="W599" s="50" t="n">
        <f aca="false">IF(R599&lt;&gt;"",R599,Q599*'Cài đặt'!$B$12)</f>
        <v>0</v>
      </c>
      <c r="X599" s="50" t="str">
        <f aca="false">IF(O599&gt;0,W599/O599*1000,"")</f>
        <v/>
      </c>
      <c r="Y599" s="51" t="n">
        <f aca="false">IF(T599&lt;&gt;"",T599,INDEX('Cài đặt'!$B$20:$C$22,MATCH(I599,'Cài đặt'!$A$20:$A$22,0),IF(K599="AI tự động",1,2)))</f>
        <v>4</v>
      </c>
    </row>
    <row r="600" customFormat="false" ht="15" hidden="false" customHeight="false" outlineLevel="0" collapsed="false">
      <c r="A600" s="41" t="s">
        <v>1050</v>
      </c>
      <c r="B600" s="41" t="s">
        <v>958</v>
      </c>
      <c r="C600" s="41" t="s">
        <v>178</v>
      </c>
      <c r="D600" s="42" t="str">
        <f aca="false">INDEX('Page và Ngách'!$B$5:$B$10,MATCH(C600,'Page và Ngách'!$A$5:$A$10,0))</f>
        <v>Revenge / Betrayal ("you'll regret it")</v>
      </c>
      <c r="E600" s="41" t="n">
        <v>8</v>
      </c>
      <c r="F600" s="43" t="n">
        <f aca="false">'Cài đặt'!$B$39+E600-1</f>
        <v>46384</v>
      </c>
      <c r="G600" s="41" t="s">
        <v>451</v>
      </c>
      <c r="H600" s="44" t="str">
        <f aca="false">IF(G600="S1",'Cài đặt'!$B$7,'Cài đặt'!$B$8)</f>
        <v>20:00</v>
      </c>
      <c r="I600" s="44" t="str">
        <f aca="false">'Cài đặt'!$B$32</f>
        <v>Carousel</v>
      </c>
      <c r="J600" s="44" t="str">
        <f aca="false">'Cài đặt'!$B$33</f>
        <v>A</v>
      </c>
      <c r="K600" s="41" t="s">
        <v>445</v>
      </c>
      <c r="L600" s="42" t="str">
        <f aca="false">C600&amp;"_"&amp;B600&amp;"_"&amp;IF(I600="Reel","R",IF(I600="Carousel","C","I"))&amp;"_"&amp;J600&amp;"_"&amp;IF(K600="AI tự động","AI","HU")&amp;"_"&amp;RIGHT(A600,3)</f>
        <v>P4_EXP3_C_A_AI_016</v>
      </c>
      <c r="M600" s="45"/>
      <c r="N600" s="45"/>
      <c r="O600" s="46"/>
      <c r="P600" s="46"/>
      <c r="Q600" s="46"/>
      <c r="R600" s="47"/>
      <c r="S600" s="45"/>
      <c r="T600" s="45"/>
      <c r="U600" s="48" t="str">
        <f aca="false">IF(O600&gt;0,P600/O600,"")</f>
        <v/>
      </c>
      <c r="V600" s="49" t="str">
        <f aca="false">IF(P600&gt;0,Q600/P600,"")</f>
        <v/>
      </c>
      <c r="W600" s="50" t="n">
        <f aca="false">IF(R600&lt;&gt;"",R600,Q600*'Cài đặt'!$B$12)</f>
        <v>0</v>
      </c>
      <c r="X600" s="50" t="str">
        <f aca="false">IF(O600&gt;0,W600/O600*1000,"")</f>
        <v/>
      </c>
      <c r="Y600" s="51" t="n">
        <f aca="false">IF(T600&lt;&gt;"",T600,INDEX('Cài đặt'!$B$20:$C$22,MATCH(I600,'Cài đặt'!$A$20:$A$22,0),IF(K600="AI tự động",1,2)))</f>
        <v>4</v>
      </c>
    </row>
    <row r="601" customFormat="false" ht="15" hidden="false" customHeight="false" outlineLevel="0" collapsed="false">
      <c r="A601" s="41" t="s">
        <v>1051</v>
      </c>
      <c r="B601" s="41" t="s">
        <v>958</v>
      </c>
      <c r="C601" s="41" t="s">
        <v>185</v>
      </c>
      <c r="D601" s="42" t="str">
        <f aca="false">INDEX('Page và Ngách'!$B$5:$B$10,MATCH(C601,'Page và Ngách'!$A$5:$A$10,0))</f>
        <v>Mafia / Dark romance (teaser PG-13)</v>
      </c>
      <c r="E601" s="41" t="n">
        <v>8</v>
      </c>
      <c r="F601" s="43" t="n">
        <f aca="false">'Cài đặt'!$B$39+E601-1</f>
        <v>46384</v>
      </c>
      <c r="G601" s="41" t="s">
        <v>444</v>
      </c>
      <c r="H601" s="44" t="str">
        <f aca="false">IF(G601="S1",'Cài đặt'!$B$7,'Cài đặt'!$B$8)</f>
        <v>12:00</v>
      </c>
      <c r="I601" s="44" t="str">
        <f aca="false">'Cài đặt'!$B$32</f>
        <v>Carousel</v>
      </c>
      <c r="J601" s="44" t="str">
        <f aca="false">'Cài đặt'!$B$33</f>
        <v>A</v>
      </c>
      <c r="K601" s="41" t="s">
        <v>961</v>
      </c>
      <c r="L601" s="42" t="str">
        <f aca="false">C601&amp;"_"&amp;B601&amp;"_"&amp;IF(I601="Reel","R",IF(I601="Carousel","C","I"))&amp;"_"&amp;J601&amp;"_"&amp;IF(K601="AI tự động","AI","HU")&amp;"_"&amp;RIGHT(A601,3)</f>
        <v>P5_EXP3_C_A_HU_015</v>
      </c>
      <c r="M601" s="45"/>
      <c r="N601" s="45"/>
      <c r="O601" s="46"/>
      <c r="P601" s="46"/>
      <c r="Q601" s="46"/>
      <c r="R601" s="47"/>
      <c r="S601" s="45"/>
      <c r="T601" s="45"/>
      <c r="U601" s="48" t="str">
        <f aca="false">IF(O601&gt;0,P601/O601,"")</f>
        <v/>
      </c>
      <c r="V601" s="49" t="str">
        <f aca="false">IF(P601&gt;0,Q601/P601,"")</f>
        <v/>
      </c>
      <c r="W601" s="50" t="n">
        <f aca="false">IF(R601&lt;&gt;"",R601,Q601*'Cài đặt'!$B$12)</f>
        <v>0</v>
      </c>
      <c r="X601" s="50" t="str">
        <f aca="false">IF(O601&gt;0,W601/O601*1000,"")</f>
        <v/>
      </c>
      <c r="Y601" s="51" t="n">
        <f aca="false">IF(T601&lt;&gt;"",T601,INDEX('Cài đặt'!$B$20:$C$22,MATCH(I601,'Cài đặt'!$A$20:$A$22,0),IF(K601="AI tự động",1,2)))</f>
        <v>25</v>
      </c>
    </row>
    <row r="602" customFormat="false" ht="15" hidden="false" customHeight="false" outlineLevel="0" collapsed="false">
      <c r="A602" s="41" t="s">
        <v>1052</v>
      </c>
      <c r="B602" s="41" t="s">
        <v>958</v>
      </c>
      <c r="C602" s="41" t="s">
        <v>185</v>
      </c>
      <c r="D602" s="42" t="str">
        <f aca="false">INDEX('Page và Ngách'!$B$5:$B$10,MATCH(C602,'Page và Ngách'!$A$5:$A$10,0))</f>
        <v>Mafia / Dark romance (teaser PG-13)</v>
      </c>
      <c r="E602" s="41" t="n">
        <v>8</v>
      </c>
      <c r="F602" s="43" t="n">
        <f aca="false">'Cài đặt'!$B$39+E602-1</f>
        <v>46384</v>
      </c>
      <c r="G602" s="41" t="s">
        <v>451</v>
      </c>
      <c r="H602" s="44" t="str">
        <f aca="false">IF(G602="S1",'Cài đặt'!$B$7,'Cài đặt'!$B$8)</f>
        <v>20:00</v>
      </c>
      <c r="I602" s="44" t="str">
        <f aca="false">'Cài đặt'!$B$32</f>
        <v>Carousel</v>
      </c>
      <c r="J602" s="44" t="str">
        <f aca="false">'Cài đặt'!$B$33</f>
        <v>A</v>
      </c>
      <c r="K602" s="41" t="s">
        <v>445</v>
      </c>
      <c r="L602" s="42" t="str">
        <f aca="false">C602&amp;"_"&amp;B602&amp;"_"&amp;IF(I602="Reel","R",IF(I602="Carousel","C","I"))&amp;"_"&amp;J602&amp;"_"&amp;IF(K602="AI tự động","AI","HU")&amp;"_"&amp;RIGHT(A602,3)</f>
        <v>P5_EXP3_C_A_AI_016</v>
      </c>
      <c r="M602" s="45"/>
      <c r="N602" s="45"/>
      <c r="O602" s="46"/>
      <c r="P602" s="46"/>
      <c r="Q602" s="46"/>
      <c r="R602" s="47"/>
      <c r="S602" s="45"/>
      <c r="T602" s="45"/>
      <c r="U602" s="48" t="str">
        <f aca="false">IF(O602&gt;0,P602/O602,"")</f>
        <v/>
      </c>
      <c r="V602" s="49" t="str">
        <f aca="false">IF(P602&gt;0,Q602/P602,"")</f>
        <v/>
      </c>
      <c r="W602" s="50" t="n">
        <f aca="false">IF(R602&lt;&gt;"",R602,Q602*'Cài đặt'!$B$12)</f>
        <v>0</v>
      </c>
      <c r="X602" s="50" t="str">
        <f aca="false">IF(O602&gt;0,W602/O602*1000,"")</f>
        <v/>
      </c>
      <c r="Y602" s="51" t="n">
        <f aca="false">IF(T602&lt;&gt;"",T602,INDEX('Cài đặt'!$B$20:$C$22,MATCH(I602,'Cài đặt'!$A$20:$A$22,0),IF(K602="AI tự động",1,2)))</f>
        <v>4</v>
      </c>
    </row>
    <row r="603" customFormat="false" ht="15" hidden="false" customHeight="false" outlineLevel="0" collapsed="false">
      <c r="A603" s="41" t="s">
        <v>1053</v>
      </c>
      <c r="B603" s="41" t="s">
        <v>958</v>
      </c>
      <c r="C603" s="41" t="s">
        <v>193</v>
      </c>
      <c r="D603" s="42" t="str">
        <f aca="false">INDEX('Page và Ngách'!$B$5:$B$10,MATCH(C603,'Page và Ngách'!$A$5:$A$10,0))</f>
        <v>Second chance / Secret baby</v>
      </c>
      <c r="E603" s="41" t="n">
        <v>8</v>
      </c>
      <c r="F603" s="43" t="n">
        <f aca="false">'Cài đặt'!$B$39+E603-1</f>
        <v>46384</v>
      </c>
      <c r="G603" s="41" t="s">
        <v>444</v>
      </c>
      <c r="H603" s="44" t="str">
        <f aca="false">IF(G603="S1",'Cài đặt'!$B$7,'Cài đặt'!$B$8)</f>
        <v>12:00</v>
      </c>
      <c r="I603" s="44" t="str">
        <f aca="false">'Cài đặt'!$B$32</f>
        <v>Carousel</v>
      </c>
      <c r="J603" s="44" t="str">
        <f aca="false">'Cài đặt'!$B$33</f>
        <v>A</v>
      </c>
      <c r="K603" s="41" t="s">
        <v>445</v>
      </c>
      <c r="L603" s="42" t="str">
        <f aca="false">C603&amp;"_"&amp;B603&amp;"_"&amp;IF(I603="Reel","R",IF(I603="Carousel","C","I"))&amp;"_"&amp;J603&amp;"_"&amp;IF(K603="AI tự động","AI","HU")&amp;"_"&amp;RIGHT(A603,3)</f>
        <v>P6_EXP3_C_A_AI_015</v>
      </c>
      <c r="M603" s="45"/>
      <c r="N603" s="45"/>
      <c r="O603" s="46"/>
      <c r="P603" s="46"/>
      <c r="Q603" s="46"/>
      <c r="R603" s="47"/>
      <c r="S603" s="45"/>
      <c r="T603" s="45"/>
      <c r="U603" s="48" t="str">
        <f aca="false">IF(O603&gt;0,P603/O603,"")</f>
        <v/>
      </c>
      <c r="V603" s="49" t="str">
        <f aca="false">IF(P603&gt;0,Q603/P603,"")</f>
        <v/>
      </c>
      <c r="W603" s="50" t="n">
        <f aca="false">IF(R603&lt;&gt;"",R603,Q603*'Cài đặt'!$B$12)</f>
        <v>0</v>
      </c>
      <c r="X603" s="50" t="str">
        <f aca="false">IF(O603&gt;0,W603/O603*1000,"")</f>
        <v/>
      </c>
      <c r="Y603" s="51" t="n">
        <f aca="false">IF(T603&lt;&gt;"",T603,INDEX('Cài đặt'!$B$20:$C$22,MATCH(I603,'Cài đặt'!$A$20:$A$22,0),IF(K603="AI tự động",1,2)))</f>
        <v>4</v>
      </c>
    </row>
    <row r="604" customFormat="false" ht="15" hidden="false" customHeight="false" outlineLevel="0" collapsed="false">
      <c r="A604" s="41" t="s">
        <v>1054</v>
      </c>
      <c r="B604" s="41" t="s">
        <v>958</v>
      </c>
      <c r="C604" s="41" t="s">
        <v>193</v>
      </c>
      <c r="D604" s="42" t="str">
        <f aca="false">INDEX('Page và Ngách'!$B$5:$B$10,MATCH(C604,'Page và Ngách'!$A$5:$A$10,0))</f>
        <v>Second chance / Secret baby</v>
      </c>
      <c r="E604" s="41" t="n">
        <v>8</v>
      </c>
      <c r="F604" s="43" t="n">
        <f aca="false">'Cài đặt'!$B$39+E604-1</f>
        <v>46384</v>
      </c>
      <c r="G604" s="41" t="s">
        <v>451</v>
      </c>
      <c r="H604" s="44" t="str">
        <f aca="false">IF(G604="S1",'Cài đặt'!$B$7,'Cài đặt'!$B$8)</f>
        <v>20:00</v>
      </c>
      <c r="I604" s="44" t="str">
        <f aca="false">'Cài đặt'!$B$32</f>
        <v>Carousel</v>
      </c>
      <c r="J604" s="44" t="str">
        <f aca="false">'Cài đặt'!$B$33</f>
        <v>A</v>
      </c>
      <c r="K604" s="41" t="s">
        <v>445</v>
      </c>
      <c r="L604" s="42" t="str">
        <f aca="false">C604&amp;"_"&amp;B604&amp;"_"&amp;IF(I604="Reel","R",IF(I604="Carousel","C","I"))&amp;"_"&amp;J604&amp;"_"&amp;IF(K604="AI tự động","AI","HU")&amp;"_"&amp;RIGHT(A604,3)</f>
        <v>P6_EXP3_C_A_AI_016</v>
      </c>
      <c r="M604" s="45"/>
      <c r="N604" s="45"/>
      <c r="O604" s="46"/>
      <c r="P604" s="46"/>
      <c r="Q604" s="46"/>
      <c r="R604" s="47"/>
      <c r="S604" s="45"/>
      <c r="T604" s="45"/>
      <c r="U604" s="48" t="str">
        <f aca="false">IF(O604&gt;0,P604/O604,"")</f>
        <v/>
      </c>
      <c r="V604" s="49" t="str">
        <f aca="false">IF(P604&gt;0,Q604/P604,"")</f>
        <v/>
      </c>
      <c r="W604" s="50" t="n">
        <f aca="false">IF(R604&lt;&gt;"",R604,Q604*'Cài đặt'!$B$12)</f>
        <v>0</v>
      </c>
      <c r="X604" s="50" t="str">
        <f aca="false">IF(O604&gt;0,W604/O604*1000,"")</f>
        <v/>
      </c>
      <c r="Y604" s="51" t="n">
        <f aca="false">IF(T604&lt;&gt;"",T604,INDEX('Cài đặt'!$B$20:$C$22,MATCH(I604,'Cài đặt'!$A$20:$A$22,0),IF(K604="AI tự động",1,2)))</f>
        <v>4</v>
      </c>
    </row>
    <row r="605" customFormat="false" ht="15" hidden="false" customHeight="false" outlineLevel="0" collapsed="false">
      <c r="A605" s="41" t="s">
        <v>1055</v>
      </c>
      <c r="B605" s="41" t="s">
        <v>958</v>
      </c>
      <c r="C605" s="41" t="s">
        <v>154</v>
      </c>
      <c r="D605" s="42" t="str">
        <f aca="false">INDEX('Page và Ngách'!$B$5:$B$10,MATCH(C605,'Page và Ngách'!$A$5:$A$10,0))</f>
        <v>Werewolf / Rejected mate</v>
      </c>
      <c r="E605" s="41" t="n">
        <v>9</v>
      </c>
      <c r="F605" s="43" t="n">
        <f aca="false">'Cài đặt'!$B$39+E605-1</f>
        <v>46385</v>
      </c>
      <c r="G605" s="41" t="s">
        <v>444</v>
      </c>
      <c r="H605" s="44" t="str">
        <f aca="false">IF(G605="S1",'Cài đặt'!$B$7,'Cài đặt'!$B$8)</f>
        <v>12:00</v>
      </c>
      <c r="I605" s="44" t="str">
        <f aca="false">'Cài đặt'!$B$32</f>
        <v>Carousel</v>
      </c>
      <c r="J605" s="44" t="str">
        <f aca="false">'Cài đặt'!$B$33</f>
        <v>A</v>
      </c>
      <c r="K605" s="41" t="s">
        <v>445</v>
      </c>
      <c r="L605" s="42" t="str">
        <f aca="false">C605&amp;"_"&amp;B605&amp;"_"&amp;IF(I605="Reel","R",IF(I605="Carousel","C","I"))&amp;"_"&amp;J605&amp;"_"&amp;IF(K605="AI tự động","AI","HU")&amp;"_"&amp;RIGHT(A605,3)</f>
        <v>P1_EXP3_C_A_AI_017</v>
      </c>
      <c r="M605" s="45"/>
      <c r="N605" s="45"/>
      <c r="O605" s="46"/>
      <c r="P605" s="46"/>
      <c r="Q605" s="46"/>
      <c r="R605" s="47"/>
      <c r="S605" s="45"/>
      <c r="T605" s="45"/>
      <c r="U605" s="48" t="str">
        <f aca="false">IF(O605&gt;0,P605/O605,"")</f>
        <v/>
      </c>
      <c r="V605" s="49" t="str">
        <f aca="false">IF(P605&gt;0,Q605/P605,"")</f>
        <v/>
      </c>
      <c r="W605" s="50" t="n">
        <f aca="false">IF(R605&lt;&gt;"",R605,Q605*'Cài đặt'!$B$12)</f>
        <v>0</v>
      </c>
      <c r="X605" s="50" t="str">
        <f aca="false">IF(O605&gt;0,W605/O605*1000,"")</f>
        <v/>
      </c>
      <c r="Y605" s="51" t="n">
        <f aca="false">IF(T605&lt;&gt;"",T605,INDEX('Cài đặt'!$B$20:$C$22,MATCH(I605,'Cài đặt'!$A$20:$A$22,0),IF(K605="AI tự động",1,2)))</f>
        <v>4</v>
      </c>
    </row>
    <row r="606" customFormat="false" ht="15" hidden="false" customHeight="false" outlineLevel="0" collapsed="false">
      <c r="A606" s="41" t="s">
        <v>1056</v>
      </c>
      <c r="B606" s="41" t="s">
        <v>958</v>
      </c>
      <c r="C606" s="41" t="s">
        <v>154</v>
      </c>
      <c r="D606" s="42" t="str">
        <f aca="false">INDEX('Page và Ngách'!$B$5:$B$10,MATCH(C606,'Page và Ngách'!$A$5:$A$10,0))</f>
        <v>Werewolf / Rejected mate</v>
      </c>
      <c r="E606" s="41" t="n">
        <v>9</v>
      </c>
      <c r="F606" s="43" t="n">
        <f aca="false">'Cài đặt'!$B$39+E606-1</f>
        <v>46385</v>
      </c>
      <c r="G606" s="41" t="s">
        <v>451</v>
      </c>
      <c r="H606" s="44" t="str">
        <f aca="false">IF(G606="S1",'Cài đặt'!$B$7,'Cài đặt'!$B$8)</f>
        <v>20:00</v>
      </c>
      <c r="I606" s="44" t="str">
        <f aca="false">'Cài đặt'!$B$32</f>
        <v>Carousel</v>
      </c>
      <c r="J606" s="44" t="str">
        <f aca="false">'Cài đặt'!$B$33</f>
        <v>A</v>
      </c>
      <c r="K606" s="41" t="s">
        <v>961</v>
      </c>
      <c r="L606" s="42" t="str">
        <f aca="false">C606&amp;"_"&amp;B606&amp;"_"&amp;IF(I606="Reel","R",IF(I606="Carousel","C","I"))&amp;"_"&amp;J606&amp;"_"&amp;IF(K606="AI tự động","AI","HU")&amp;"_"&amp;RIGHT(A606,3)</f>
        <v>P1_EXP3_C_A_HU_018</v>
      </c>
      <c r="M606" s="45"/>
      <c r="N606" s="45"/>
      <c r="O606" s="46"/>
      <c r="P606" s="46"/>
      <c r="Q606" s="46"/>
      <c r="R606" s="47"/>
      <c r="S606" s="45"/>
      <c r="T606" s="45"/>
      <c r="U606" s="48" t="str">
        <f aca="false">IF(O606&gt;0,P606/O606,"")</f>
        <v/>
      </c>
      <c r="V606" s="49" t="str">
        <f aca="false">IF(P606&gt;0,Q606/P606,"")</f>
        <v/>
      </c>
      <c r="W606" s="50" t="n">
        <f aca="false">IF(R606&lt;&gt;"",R606,Q606*'Cài đặt'!$B$12)</f>
        <v>0</v>
      </c>
      <c r="X606" s="50" t="str">
        <f aca="false">IF(O606&gt;0,W606/O606*1000,"")</f>
        <v/>
      </c>
      <c r="Y606" s="51" t="n">
        <f aca="false">IF(T606&lt;&gt;"",T606,INDEX('Cài đặt'!$B$20:$C$22,MATCH(I606,'Cài đặt'!$A$20:$A$22,0),IF(K606="AI tự động",1,2)))</f>
        <v>25</v>
      </c>
    </row>
    <row r="607" customFormat="false" ht="15" hidden="false" customHeight="false" outlineLevel="0" collapsed="false">
      <c r="A607" s="41" t="s">
        <v>1057</v>
      </c>
      <c r="B607" s="41" t="s">
        <v>958</v>
      </c>
      <c r="C607" s="41" t="s">
        <v>163</v>
      </c>
      <c r="D607" s="42" t="str">
        <f aca="false">INDEX('Page và Ngách'!$B$5:$B$10,MATCH(C607,'Page và Ngách'!$A$5:$A$10,0))</f>
        <v>Secret billionaire / CEO</v>
      </c>
      <c r="E607" s="41" t="n">
        <v>9</v>
      </c>
      <c r="F607" s="43" t="n">
        <f aca="false">'Cài đặt'!$B$39+E607-1</f>
        <v>46385</v>
      </c>
      <c r="G607" s="41" t="s">
        <v>444</v>
      </c>
      <c r="H607" s="44" t="str">
        <f aca="false">IF(G607="S1",'Cài đặt'!$B$7,'Cài đặt'!$B$8)</f>
        <v>12:00</v>
      </c>
      <c r="I607" s="44" t="str">
        <f aca="false">'Cài đặt'!$B$32</f>
        <v>Carousel</v>
      </c>
      <c r="J607" s="44" t="str">
        <f aca="false">'Cài đặt'!$B$33</f>
        <v>A</v>
      </c>
      <c r="K607" s="41" t="s">
        <v>445</v>
      </c>
      <c r="L607" s="42" t="str">
        <f aca="false">C607&amp;"_"&amp;B607&amp;"_"&amp;IF(I607="Reel","R",IF(I607="Carousel","C","I"))&amp;"_"&amp;J607&amp;"_"&amp;IF(K607="AI tự động","AI","HU")&amp;"_"&amp;RIGHT(A607,3)</f>
        <v>P2_EXP3_C_A_AI_017</v>
      </c>
      <c r="M607" s="45"/>
      <c r="N607" s="45"/>
      <c r="O607" s="46"/>
      <c r="P607" s="46"/>
      <c r="Q607" s="46"/>
      <c r="R607" s="47"/>
      <c r="S607" s="45"/>
      <c r="T607" s="45"/>
      <c r="U607" s="48" t="str">
        <f aca="false">IF(O607&gt;0,P607/O607,"")</f>
        <v/>
      </c>
      <c r="V607" s="49" t="str">
        <f aca="false">IF(P607&gt;0,Q607/P607,"")</f>
        <v/>
      </c>
      <c r="W607" s="50" t="n">
        <f aca="false">IF(R607&lt;&gt;"",R607,Q607*'Cài đặt'!$B$12)</f>
        <v>0</v>
      </c>
      <c r="X607" s="50" t="str">
        <f aca="false">IF(O607&gt;0,W607/O607*1000,"")</f>
        <v/>
      </c>
      <c r="Y607" s="51" t="n">
        <f aca="false">IF(T607&lt;&gt;"",T607,INDEX('Cài đặt'!$B$20:$C$22,MATCH(I607,'Cài đặt'!$A$20:$A$22,0),IF(K607="AI tự động",1,2)))</f>
        <v>4</v>
      </c>
    </row>
    <row r="608" customFormat="false" ht="15" hidden="false" customHeight="false" outlineLevel="0" collapsed="false">
      <c r="A608" s="41" t="s">
        <v>1058</v>
      </c>
      <c r="B608" s="41" t="s">
        <v>958</v>
      </c>
      <c r="C608" s="41" t="s">
        <v>163</v>
      </c>
      <c r="D608" s="42" t="str">
        <f aca="false">INDEX('Page và Ngách'!$B$5:$B$10,MATCH(C608,'Page và Ngách'!$A$5:$A$10,0))</f>
        <v>Secret billionaire / CEO</v>
      </c>
      <c r="E608" s="41" t="n">
        <v>9</v>
      </c>
      <c r="F608" s="43" t="n">
        <f aca="false">'Cài đặt'!$B$39+E608-1</f>
        <v>46385</v>
      </c>
      <c r="G608" s="41" t="s">
        <v>451</v>
      </c>
      <c r="H608" s="44" t="str">
        <f aca="false">IF(G608="S1",'Cài đặt'!$B$7,'Cài đặt'!$B$8)</f>
        <v>20:00</v>
      </c>
      <c r="I608" s="44" t="str">
        <f aca="false">'Cài đặt'!$B$32</f>
        <v>Carousel</v>
      </c>
      <c r="J608" s="44" t="str">
        <f aca="false">'Cài đặt'!$B$33</f>
        <v>A</v>
      </c>
      <c r="K608" s="41" t="s">
        <v>445</v>
      </c>
      <c r="L608" s="42" t="str">
        <f aca="false">C608&amp;"_"&amp;B608&amp;"_"&amp;IF(I608="Reel","R",IF(I608="Carousel","C","I"))&amp;"_"&amp;J608&amp;"_"&amp;IF(K608="AI tự động","AI","HU")&amp;"_"&amp;RIGHT(A608,3)</f>
        <v>P2_EXP3_C_A_AI_018</v>
      </c>
      <c r="M608" s="45"/>
      <c r="N608" s="45"/>
      <c r="O608" s="46"/>
      <c r="P608" s="46"/>
      <c r="Q608" s="46"/>
      <c r="R608" s="47"/>
      <c r="S608" s="45"/>
      <c r="T608" s="45"/>
      <c r="U608" s="48" t="str">
        <f aca="false">IF(O608&gt;0,P608/O608,"")</f>
        <v/>
      </c>
      <c r="V608" s="49" t="str">
        <f aca="false">IF(P608&gt;0,Q608/P608,"")</f>
        <v/>
      </c>
      <c r="W608" s="50" t="n">
        <f aca="false">IF(R608&lt;&gt;"",R608,Q608*'Cài đặt'!$B$12)</f>
        <v>0</v>
      </c>
      <c r="X608" s="50" t="str">
        <f aca="false">IF(O608&gt;0,W608/O608*1000,"")</f>
        <v/>
      </c>
      <c r="Y608" s="51" t="n">
        <f aca="false">IF(T608&lt;&gt;"",T608,INDEX('Cài đặt'!$B$20:$C$22,MATCH(I608,'Cài đặt'!$A$20:$A$22,0),IF(K608="AI tự động",1,2)))</f>
        <v>4</v>
      </c>
    </row>
    <row r="609" customFormat="false" ht="15" hidden="false" customHeight="false" outlineLevel="0" collapsed="false">
      <c r="A609" s="41" t="s">
        <v>1059</v>
      </c>
      <c r="B609" s="41" t="s">
        <v>958</v>
      </c>
      <c r="C609" s="41" t="s">
        <v>171</v>
      </c>
      <c r="D609" s="42" t="str">
        <f aca="false">INDEX('Page và Ngách'!$B$5:$B$10,MATCH(C609,'Page và Ngách'!$A$5:$A$10,0))</f>
        <v>Contract marriage / Fake relationship</v>
      </c>
      <c r="E609" s="41" t="n">
        <v>9</v>
      </c>
      <c r="F609" s="43" t="n">
        <f aca="false">'Cài đặt'!$B$39+E609-1</f>
        <v>46385</v>
      </c>
      <c r="G609" s="41" t="s">
        <v>444</v>
      </c>
      <c r="H609" s="44" t="str">
        <f aca="false">IF(G609="S1",'Cài đặt'!$B$7,'Cài đặt'!$B$8)</f>
        <v>12:00</v>
      </c>
      <c r="I609" s="44" t="str">
        <f aca="false">'Cài đặt'!$B$32</f>
        <v>Carousel</v>
      </c>
      <c r="J609" s="44" t="str">
        <f aca="false">'Cài đặt'!$B$33</f>
        <v>A</v>
      </c>
      <c r="K609" s="41" t="s">
        <v>445</v>
      </c>
      <c r="L609" s="42" t="str">
        <f aca="false">C609&amp;"_"&amp;B609&amp;"_"&amp;IF(I609="Reel","R",IF(I609="Carousel","C","I"))&amp;"_"&amp;J609&amp;"_"&amp;IF(K609="AI tự động","AI","HU")&amp;"_"&amp;RIGHT(A609,3)</f>
        <v>P3_EXP3_C_A_AI_017</v>
      </c>
      <c r="M609" s="45"/>
      <c r="N609" s="45"/>
      <c r="O609" s="46"/>
      <c r="P609" s="46"/>
      <c r="Q609" s="46"/>
      <c r="R609" s="47"/>
      <c r="S609" s="45"/>
      <c r="T609" s="45"/>
      <c r="U609" s="48" t="str">
        <f aca="false">IF(O609&gt;0,P609/O609,"")</f>
        <v/>
      </c>
      <c r="V609" s="49" t="str">
        <f aca="false">IF(P609&gt;0,Q609/P609,"")</f>
        <v/>
      </c>
      <c r="W609" s="50" t="n">
        <f aca="false">IF(R609&lt;&gt;"",R609,Q609*'Cài đặt'!$B$12)</f>
        <v>0</v>
      </c>
      <c r="X609" s="50" t="str">
        <f aca="false">IF(O609&gt;0,W609/O609*1000,"")</f>
        <v/>
      </c>
      <c r="Y609" s="51" t="n">
        <f aca="false">IF(T609&lt;&gt;"",T609,INDEX('Cài đặt'!$B$20:$C$22,MATCH(I609,'Cài đặt'!$A$20:$A$22,0),IF(K609="AI tự động",1,2)))</f>
        <v>4</v>
      </c>
    </row>
    <row r="610" customFormat="false" ht="15" hidden="false" customHeight="false" outlineLevel="0" collapsed="false">
      <c r="A610" s="41" t="s">
        <v>1060</v>
      </c>
      <c r="B610" s="41" t="s">
        <v>958</v>
      </c>
      <c r="C610" s="41" t="s">
        <v>171</v>
      </c>
      <c r="D610" s="42" t="str">
        <f aca="false">INDEX('Page và Ngách'!$B$5:$B$10,MATCH(C610,'Page và Ngách'!$A$5:$A$10,0))</f>
        <v>Contract marriage / Fake relationship</v>
      </c>
      <c r="E610" s="41" t="n">
        <v>9</v>
      </c>
      <c r="F610" s="43" t="n">
        <f aca="false">'Cài đặt'!$B$39+E610-1</f>
        <v>46385</v>
      </c>
      <c r="G610" s="41" t="s">
        <v>451</v>
      </c>
      <c r="H610" s="44" t="str">
        <f aca="false">IF(G610="S1",'Cài đặt'!$B$7,'Cài đặt'!$B$8)</f>
        <v>20:00</v>
      </c>
      <c r="I610" s="44" t="str">
        <f aca="false">'Cài đặt'!$B$32</f>
        <v>Carousel</v>
      </c>
      <c r="J610" s="44" t="str">
        <f aca="false">'Cài đặt'!$B$33</f>
        <v>A</v>
      </c>
      <c r="K610" s="41" t="s">
        <v>445</v>
      </c>
      <c r="L610" s="42" t="str">
        <f aca="false">C610&amp;"_"&amp;B610&amp;"_"&amp;IF(I610="Reel","R",IF(I610="Carousel","C","I"))&amp;"_"&amp;J610&amp;"_"&amp;IF(K610="AI tự động","AI","HU")&amp;"_"&amp;RIGHT(A610,3)</f>
        <v>P3_EXP3_C_A_AI_018</v>
      </c>
      <c r="M610" s="45"/>
      <c r="N610" s="45"/>
      <c r="O610" s="46"/>
      <c r="P610" s="46"/>
      <c r="Q610" s="46"/>
      <c r="R610" s="47"/>
      <c r="S610" s="45"/>
      <c r="T610" s="45"/>
      <c r="U610" s="48" t="str">
        <f aca="false">IF(O610&gt;0,P610/O610,"")</f>
        <v/>
      </c>
      <c r="V610" s="49" t="str">
        <f aca="false">IF(P610&gt;0,Q610/P610,"")</f>
        <v/>
      </c>
      <c r="W610" s="50" t="n">
        <f aca="false">IF(R610&lt;&gt;"",R610,Q610*'Cài đặt'!$B$12)</f>
        <v>0</v>
      </c>
      <c r="X610" s="50" t="str">
        <f aca="false">IF(O610&gt;0,W610/O610*1000,"")</f>
        <v/>
      </c>
      <c r="Y610" s="51" t="n">
        <f aca="false">IF(T610&lt;&gt;"",T610,INDEX('Cài đặt'!$B$20:$C$22,MATCH(I610,'Cài đặt'!$A$20:$A$22,0),IF(K610="AI tự động",1,2)))</f>
        <v>4</v>
      </c>
    </row>
    <row r="611" customFormat="false" ht="15" hidden="false" customHeight="false" outlineLevel="0" collapsed="false">
      <c r="A611" s="41" t="s">
        <v>1061</v>
      </c>
      <c r="B611" s="41" t="s">
        <v>958</v>
      </c>
      <c r="C611" s="41" t="s">
        <v>178</v>
      </c>
      <c r="D611" s="42" t="str">
        <f aca="false">INDEX('Page và Ngách'!$B$5:$B$10,MATCH(C611,'Page và Ngách'!$A$5:$A$10,0))</f>
        <v>Revenge / Betrayal ("you'll regret it")</v>
      </c>
      <c r="E611" s="41" t="n">
        <v>9</v>
      </c>
      <c r="F611" s="43" t="n">
        <f aca="false">'Cài đặt'!$B$39+E611-1</f>
        <v>46385</v>
      </c>
      <c r="G611" s="41" t="s">
        <v>444</v>
      </c>
      <c r="H611" s="44" t="str">
        <f aca="false">IF(G611="S1",'Cài đặt'!$B$7,'Cài đặt'!$B$8)</f>
        <v>12:00</v>
      </c>
      <c r="I611" s="44" t="str">
        <f aca="false">'Cài đặt'!$B$32</f>
        <v>Carousel</v>
      </c>
      <c r="J611" s="44" t="str">
        <f aca="false">'Cài đặt'!$B$33</f>
        <v>A</v>
      </c>
      <c r="K611" s="41" t="s">
        <v>961</v>
      </c>
      <c r="L611" s="42" t="str">
        <f aca="false">C611&amp;"_"&amp;B611&amp;"_"&amp;IF(I611="Reel","R",IF(I611="Carousel","C","I"))&amp;"_"&amp;J611&amp;"_"&amp;IF(K611="AI tự động","AI","HU")&amp;"_"&amp;RIGHT(A611,3)</f>
        <v>P4_EXP3_C_A_HU_017</v>
      </c>
      <c r="M611" s="45"/>
      <c r="N611" s="45"/>
      <c r="O611" s="46"/>
      <c r="P611" s="46"/>
      <c r="Q611" s="46"/>
      <c r="R611" s="47"/>
      <c r="S611" s="45"/>
      <c r="T611" s="45"/>
      <c r="U611" s="48" t="str">
        <f aca="false">IF(O611&gt;0,P611/O611,"")</f>
        <v/>
      </c>
      <c r="V611" s="49" t="str">
        <f aca="false">IF(P611&gt;0,Q611/P611,"")</f>
        <v/>
      </c>
      <c r="W611" s="50" t="n">
        <f aca="false">IF(R611&lt;&gt;"",R611,Q611*'Cài đặt'!$B$12)</f>
        <v>0</v>
      </c>
      <c r="X611" s="50" t="str">
        <f aca="false">IF(O611&gt;0,W611/O611*1000,"")</f>
        <v/>
      </c>
      <c r="Y611" s="51" t="n">
        <f aca="false">IF(T611&lt;&gt;"",T611,INDEX('Cài đặt'!$B$20:$C$22,MATCH(I611,'Cài đặt'!$A$20:$A$22,0),IF(K611="AI tự động",1,2)))</f>
        <v>25</v>
      </c>
    </row>
    <row r="612" customFormat="false" ht="15" hidden="false" customHeight="false" outlineLevel="0" collapsed="false">
      <c r="A612" s="41" t="s">
        <v>1062</v>
      </c>
      <c r="B612" s="41" t="s">
        <v>958</v>
      </c>
      <c r="C612" s="41" t="s">
        <v>178</v>
      </c>
      <c r="D612" s="42" t="str">
        <f aca="false">INDEX('Page và Ngách'!$B$5:$B$10,MATCH(C612,'Page và Ngách'!$A$5:$A$10,0))</f>
        <v>Revenge / Betrayal ("you'll regret it")</v>
      </c>
      <c r="E612" s="41" t="n">
        <v>9</v>
      </c>
      <c r="F612" s="43" t="n">
        <f aca="false">'Cài đặt'!$B$39+E612-1</f>
        <v>46385</v>
      </c>
      <c r="G612" s="41" t="s">
        <v>451</v>
      </c>
      <c r="H612" s="44" t="str">
        <f aca="false">IF(G612="S1",'Cài đặt'!$B$7,'Cài đặt'!$B$8)</f>
        <v>20:00</v>
      </c>
      <c r="I612" s="44" t="str">
        <f aca="false">'Cài đặt'!$B$32</f>
        <v>Carousel</v>
      </c>
      <c r="J612" s="44" t="str">
        <f aca="false">'Cài đặt'!$B$33</f>
        <v>A</v>
      </c>
      <c r="K612" s="41" t="s">
        <v>445</v>
      </c>
      <c r="L612" s="42" t="str">
        <f aca="false">C612&amp;"_"&amp;B612&amp;"_"&amp;IF(I612="Reel","R",IF(I612="Carousel","C","I"))&amp;"_"&amp;J612&amp;"_"&amp;IF(K612="AI tự động","AI","HU")&amp;"_"&amp;RIGHT(A612,3)</f>
        <v>P4_EXP3_C_A_AI_018</v>
      </c>
      <c r="M612" s="45"/>
      <c r="N612" s="45"/>
      <c r="O612" s="46"/>
      <c r="P612" s="46"/>
      <c r="Q612" s="46"/>
      <c r="R612" s="47"/>
      <c r="S612" s="45"/>
      <c r="T612" s="45"/>
      <c r="U612" s="48" t="str">
        <f aca="false">IF(O612&gt;0,P612/O612,"")</f>
        <v/>
      </c>
      <c r="V612" s="49" t="str">
        <f aca="false">IF(P612&gt;0,Q612/P612,"")</f>
        <v/>
      </c>
      <c r="W612" s="50" t="n">
        <f aca="false">IF(R612&lt;&gt;"",R612,Q612*'Cài đặt'!$B$12)</f>
        <v>0</v>
      </c>
      <c r="X612" s="50" t="str">
        <f aca="false">IF(O612&gt;0,W612/O612*1000,"")</f>
        <v/>
      </c>
      <c r="Y612" s="51" t="n">
        <f aca="false">IF(T612&lt;&gt;"",T612,INDEX('Cài đặt'!$B$20:$C$22,MATCH(I612,'Cài đặt'!$A$20:$A$22,0),IF(K612="AI tự động",1,2)))</f>
        <v>4</v>
      </c>
    </row>
    <row r="613" customFormat="false" ht="15" hidden="false" customHeight="false" outlineLevel="0" collapsed="false">
      <c r="A613" s="41" t="s">
        <v>1063</v>
      </c>
      <c r="B613" s="41" t="s">
        <v>958</v>
      </c>
      <c r="C613" s="41" t="s">
        <v>185</v>
      </c>
      <c r="D613" s="42" t="str">
        <f aca="false">INDEX('Page và Ngách'!$B$5:$B$10,MATCH(C613,'Page và Ngách'!$A$5:$A$10,0))</f>
        <v>Mafia / Dark romance (teaser PG-13)</v>
      </c>
      <c r="E613" s="41" t="n">
        <v>9</v>
      </c>
      <c r="F613" s="43" t="n">
        <f aca="false">'Cài đặt'!$B$39+E613-1</f>
        <v>46385</v>
      </c>
      <c r="G613" s="41" t="s">
        <v>444</v>
      </c>
      <c r="H613" s="44" t="str">
        <f aca="false">IF(G613="S1",'Cài đặt'!$B$7,'Cài đặt'!$B$8)</f>
        <v>12:00</v>
      </c>
      <c r="I613" s="44" t="str">
        <f aca="false">'Cài đặt'!$B$32</f>
        <v>Carousel</v>
      </c>
      <c r="J613" s="44" t="str">
        <f aca="false">'Cài đặt'!$B$33</f>
        <v>A</v>
      </c>
      <c r="K613" s="41" t="s">
        <v>445</v>
      </c>
      <c r="L613" s="42" t="str">
        <f aca="false">C613&amp;"_"&amp;B613&amp;"_"&amp;IF(I613="Reel","R",IF(I613="Carousel","C","I"))&amp;"_"&amp;J613&amp;"_"&amp;IF(K613="AI tự động","AI","HU")&amp;"_"&amp;RIGHT(A613,3)</f>
        <v>P5_EXP3_C_A_AI_017</v>
      </c>
      <c r="M613" s="45"/>
      <c r="N613" s="45"/>
      <c r="O613" s="46"/>
      <c r="P613" s="46"/>
      <c r="Q613" s="46"/>
      <c r="R613" s="47"/>
      <c r="S613" s="45"/>
      <c r="T613" s="45"/>
      <c r="U613" s="48" t="str">
        <f aca="false">IF(O613&gt;0,P613/O613,"")</f>
        <v/>
      </c>
      <c r="V613" s="49" t="str">
        <f aca="false">IF(P613&gt;0,Q613/P613,"")</f>
        <v/>
      </c>
      <c r="W613" s="50" t="n">
        <f aca="false">IF(R613&lt;&gt;"",R613,Q613*'Cài đặt'!$B$12)</f>
        <v>0</v>
      </c>
      <c r="X613" s="50" t="str">
        <f aca="false">IF(O613&gt;0,W613/O613*1000,"")</f>
        <v/>
      </c>
      <c r="Y613" s="51" t="n">
        <f aca="false">IF(T613&lt;&gt;"",T613,INDEX('Cài đặt'!$B$20:$C$22,MATCH(I613,'Cài đặt'!$A$20:$A$22,0),IF(K613="AI tự động",1,2)))</f>
        <v>4</v>
      </c>
    </row>
    <row r="614" customFormat="false" ht="15" hidden="false" customHeight="false" outlineLevel="0" collapsed="false">
      <c r="A614" s="41" t="s">
        <v>1064</v>
      </c>
      <c r="B614" s="41" t="s">
        <v>958</v>
      </c>
      <c r="C614" s="41" t="s">
        <v>185</v>
      </c>
      <c r="D614" s="42" t="str">
        <f aca="false">INDEX('Page và Ngách'!$B$5:$B$10,MATCH(C614,'Page và Ngách'!$A$5:$A$10,0))</f>
        <v>Mafia / Dark romance (teaser PG-13)</v>
      </c>
      <c r="E614" s="41" t="n">
        <v>9</v>
      </c>
      <c r="F614" s="43" t="n">
        <f aca="false">'Cài đặt'!$B$39+E614-1</f>
        <v>46385</v>
      </c>
      <c r="G614" s="41" t="s">
        <v>451</v>
      </c>
      <c r="H614" s="44" t="str">
        <f aca="false">IF(G614="S1",'Cài đặt'!$B$7,'Cài đặt'!$B$8)</f>
        <v>20:00</v>
      </c>
      <c r="I614" s="44" t="str">
        <f aca="false">'Cài đặt'!$B$32</f>
        <v>Carousel</v>
      </c>
      <c r="J614" s="44" t="str">
        <f aca="false">'Cài đặt'!$B$33</f>
        <v>A</v>
      </c>
      <c r="K614" s="41" t="s">
        <v>445</v>
      </c>
      <c r="L614" s="42" t="str">
        <f aca="false">C614&amp;"_"&amp;B614&amp;"_"&amp;IF(I614="Reel","R",IF(I614="Carousel","C","I"))&amp;"_"&amp;J614&amp;"_"&amp;IF(K614="AI tự động","AI","HU")&amp;"_"&amp;RIGHT(A614,3)</f>
        <v>P5_EXP3_C_A_AI_018</v>
      </c>
      <c r="M614" s="45"/>
      <c r="N614" s="45"/>
      <c r="O614" s="46"/>
      <c r="P614" s="46"/>
      <c r="Q614" s="46"/>
      <c r="R614" s="47"/>
      <c r="S614" s="45"/>
      <c r="T614" s="45"/>
      <c r="U614" s="48" t="str">
        <f aca="false">IF(O614&gt;0,P614/O614,"")</f>
        <v/>
      </c>
      <c r="V614" s="49" t="str">
        <f aca="false">IF(P614&gt;0,Q614/P614,"")</f>
        <v/>
      </c>
      <c r="W614" s="50" t="n">
        <f aca="false">IF(R614&lt;&gt;"",R614,Q614*'Cài đặt'!$B$12)</f>
        <v>0</v>
      </c>
      <c r="X614" s="50" t="str">
        <f aca="false">IF(O614&gt;0,W614/O614*1000,"")</f>
        <v/>
      </c>
      <c r="Y614" s="51" t="n">
        <f aca="false">IF(T614&lt;&gt;"",T614,INDEX('Cài đặt'!$B$20:$C$22,MATCH(I614,'Cài đặt'!$A$20:$A$22,0),IF(K614="AI tự động",1,2)))</f>
        <v>4</v>
      </c>
    </row>
    <row r="615" customFormat="false" ht="15" hidden="false" customHeight="false" outlineLevel="0" collapsed="false">
      <c r="A615" s="41" t="s">
        <v>1065</v>
      </c>
      <c r="B615" s="41" t="s">
        <v>958</v>
      </c>
      <c r="C615" s="41" t="s">
        <v>193</v>
      </c>
      <c r="D615" s="42" t="str">
        <f aca="false">INDEX('Page và Ngách'!$B$5:$B$10,MATCH(C615,'Page và Ngách'!$A$5:$A$10,0))</f>
        <v>Second chance / Secret baby</v>
      </c>
      <c r="E615" s="41" t="n">
        <v>9</v>
      </c>
      <c r="F615" s="43" t="n">
        <f aca="false">'Cài đặt'!$B$39+E615-1</f>
        <v>46385</v>
      </c>
      <c r="G615" s="41" t="s">
        <v>444</v>
      </c>
      <c r="H615" s="44" t="str">
        <f aca="false">IF(G615="S1",'Cài đặt'!$B$7,'Cài đặt'!$B$8)</f>
        <v>12:00</v>
      </c>
      <c r="I615" s="44" t="str">
        <f aca="false">'Cài đặt'!$B$32</f>
        <v>Carousel</v>
      </c>
      <c r="J615" s="44" t="str">
        <f aca="false">'Cài đặt'!$B$33</f>
        <v>A</v>
      </c>
      <c r="K615" s="41" t="s">
        <v>445</v>
      </c>
      <c r="L615" s="42" t="str">
        <f aca="false">C615&amp;"_"&amp;B615&amp;"_"&amp;IF(I615="Reel","R",IF(I615="Carousel","C","I"))&amp;"_"&amp;J615&amp;"_"&amp;IF(K615="AI tự động","AI","HU")&amp;"_"&amp;RIGHT(A615,3)</f>
        <v>P6_EXP3_C_A_AI_017</v>
      </c>
      <c r="M615" s="45"/>
      <c r="N615" s="45"/>
      <c r="O615" s="46"/>
      <c r="P615" s="46"/>
      <c r="Q615" s="46"/>
      <c r="R615" s="47"/>
      <c r="S615" s="45"/>
      <c r="T615" s="45"/>
      <c r="U615" s="48" t="str">
        <f aca="false">IF(O615&gt;0,P615/O615,"")</f>
        <v/>
      </c>
      <c r="V615" s="49" t="str">
        <f aca="false">IF(P615&gt;0,Q615/P615,"")</f>
        <v/>
      </c>
      <c r="W615" s="50" t="n">
        <f aca="false">IF(R615&lt;&gt;"",R615,Q615*'Cài đặt'!$B$12)</f>
        <v>0</v>
      </c>
      <c r="X615" s="50" t="str">
        <f aca="false">IF(O615&gt;0,W615/O615*1000,"")</f>
        <v/>
      </c>
      <c r="Y615" s="51" t="n">
        <f aca="false">IF(T615&lt;&gt;"",T615,INDEX('Cài đặt'!$B$20:$C$22,MATCH(I615,'Cài đặt'!$A$20:$A$22,0),IF(K615="AI tự động",1,2)))</f>
        <v>4</v>
      </c>
    </row>
    <row r="616" customFormat="false" ht="15" hidden="false" customHeight="false" outlineLevel="0" collapsed="false">
      <c r="A616" s="41" t="s">
        <v>1066</v>
      </c>
      <c r="B616" s="41" t="s">
        <v>958</v>
      </c>
      <c r="C616" s="41" t="s">
        <v>193</v>
      </c>
      <c r="D616" s="42" t="str">
        <f aca="false">INDEX('Page và Ngách'!$B$5:$B$10,MATCH(C616,'Page và Ngách'!$A$5:$A$10,0))</f>
        <v>Second chance / Secret baby</v>
      </c>
      <c r="E616" s="41" t="n">
        <v>9</v>
      </c>
      <c r="F616" s="43" t="n">
        <f aca="false">'Cài đặt'!$B$39+E616-1</f>
        <v>46385</v>
      </c>
      <c r="G616" s="41" t="s">
        <v>451</v>
      </c>
      <c r="H616" s="44" t="str">
        <f aca="false">IF(G616="S1",'Cài đặt'!$B$7,'Cài đặt'!$B$8)</f>
        <v>20:00</v>
      </c>
      <c r="I616" s="44" t="str">
        <f aca="false">'Cài đặt'!$B$32</f>
        <v>Carousel</v>
      </c>
      <c r="J616" s="44" t="str">
        <f aca="false">'Cài đặt'!$B$33</f>
        <v>A</v>
      </c>
      <c r="K616" s="41" t="s">
        <v>961</v>
      </c>
      <c r="L616" s="42" t="str">
        <f aca="false">C616&amp;"_"&amp;B616&amp;"_"&amp;IF(I616="Reel","R",IF(I616="Carousel","C","I"))&amp;"_"&amp;J616&amp;"_"&amp;IF(K616="AI tự động","AI","HU")&amp;"_"&amp;RIGHT(A616,3)</f>
        <v>P6_EXP3_C_A_HU_018</v>
      </c>
      <c r="M616" s="45"/>
      <c r="N616" s="45"/>
      <c r="O616" s="46"/>
      <c r="P616" s="46"/>
      <c r="Q616" s="46"/>
      <c r="R616" s="47"/>
      <c r="S616" s="45"/>
      <c r="T616" s="45"/>
      <c r="U616" s="48" t="str">
        <f aca="false">IF(O616&gt;0,P616/O616,"")</f>
        <v/>
      </c>
      <c r="V616" s="49" t="str">
        <f aca="false">IF(P616&gt;0,Q616/P616,"")</f>
        <v/>
      </c>
      <c r="W616" s="50" t="n">
        <f aca="false">IF(R616&lt;&gt;"",R616,Q616*'Cài đặt'!$B$12)</f>
        <v>0</v>
      </c>
      <c r="X616" s="50" t="str">
        <f aca="false">IF(O616&gt;0,W616/O616*1000,"")</f>
        <v/>
      </c>
      <c r="Y616" s="51" t="n">
        <f aca="false">IF(T616&lt;&gt;"",T616,INDEX('Cài đặt'!$B$20:$C$22,MATCH(I616,'Cài đặt'!$A$20:$A$22,0),IF(K616="AI tự động",1,2)))</f>
        <v>25</v>
      </c>
    </row>
    <row r="617" customFormat="false" ht="15" hidden="false" customHeight="false" outlineLevel="0" collapsed="false">
      <c r="A617" s="41" t="s">
        <v>1067</v>
      </c>
      <c r="B617" s="41" t="s">
        <v>958</v>
      </c>
      <c r="C617" s="41" t="s">
        <v>154</v>
      </c>
      <c r="D617" s="42" t="str">
        <f aca="false">INDEX('Page và Ngách'!$B$5:$B$10,MATCH(C617,'Page và Ngách'!$A$5:$A$10,0))</f>
        <v>Werewolf / Rejected mate</v>
      </c>
      <c r="E617" s="41" t="n">
        <v>10</v>
      </c>
      <c r="F617" s="43" t="n">
        <f aca="false">'Cài đặt'!$B$39+E617-1</f>
        <v>46386</v>
      </c>
      <c r="G617" s="41" t="s">
        <v>444</v>
      </c>
      <c r="H617" s="44" t="str">
        <f aca="false">IF(G617="S1",'Cài đặt'!$B$7,'Cài đặt'!$B$8)</f>
        <v>12:00</v>
      </c>
      <c r="I617" s="44" t="str">
        <f aca="false">'Cài đặt'!$B$32</f>
        <v>Carousel</v>
      </c>
      <c r="J617" s="44" t="str">
        <f aca="false">'Cài đặt'!$B$33</f>
        <v>A</v>
      </c>
      <c r="K617" s="41" t="s">
        <v>445</v>
      </c>
      <c r="L617" s="42" t="str">
        <f aca="false">C617&amp;"_"&amp;B617&amp;"_"&amp;IF(I617="Reel","R",IF(I617="Carousel","C","I"))&amp;"_"&amp;J617&amp;"_"&amp;IF(K617="AI tự động","AI","HU")&amp;"_"&amp;RIGHT(A617,3)</f>
        <v>P1_EXP3_C_A_AI_019</v>
      </c>
      <c r="M617" s="45"/>
      <c r="N617" s="45"/>
      <c r="O617" s="46"/>
      <c r="P617" s="46"/>
      <c r="Q617" s="46"/>
      <c r="R617" s="47"/>
      <c r="S617" s="45"/>
      <c r="T617" s="45"/>
      <c r="U617" s="48" t="str">
        <f aca="false">IF(O617&gt;0,P617/O617,"")</f>
        <v/>
      </c>
      <c r="V617" s="49" t="str">
        <f aca="false">IF(P617&gt;0,Q617/P617,"")</f>
        <v/>
      </c>
      <c r="W617" s="50" t="n">
        <f aca="false">IF(R617&lt;&gt;"",R617,Q617*'Cài đặt'!$B$12)</f>
        <v>0</v>
      </c>
      <c r="X617" s="50" t="str">
        <f aca="false">IF(O617&gt;0,W617/O617*1000,"")</f>
        <v/>
      </c>
      <c r="Y617" s="51" t="n">
        <f aca="false">IF(T617&lt;&gt;"",T617,INDEX('Cài đặt'!$B$20:$C$22,MATCH(I617,'Cài đặt'!$A$20:$A$22,0),IF(K617="AI tự động",1,2)))</f>
        <v>4</v>
      </c>
    </row>
    <row r="618" customFormat="false" ht="15" hidden="false" customHeight="false" outlineLevel="0" collapsed="false">
      <c r="A618" s="41" t="s">
        <v>1068</v>
      </c>
      <c r="B618" s="41" t="s">
        <v>958</v>
      </c>
      <c r="C618" s="41" t="s">
        <v>154</v>
      </c>
      <c r="D618" s="42" t="str">
        <f aca="false">INDEX('Page và Ngách'!$B$5:$B$10,MATCH(C618,'Page và Ngách'!$A$5:$A$10,0))</f>
        <v>Werewolf / Rejected mate</v>
      </c>
      <c r="E618" s="41" t="n">
        <v>10</v>
      </c>
      <c r="F618" s="43" t="n">
        <f aca="false">'Cài đặt'!$B$39+E618-1</f>
        <v>46386</v>
      </c>
      <c r="G618" s="41" t="s">
        <v>451</v>
      </c>
      <c r="H618" s="44" t="str">
        <f aca="false">IF(G618="S1",'Cài đặt'!$B$7,'Cài đặt'!$B$8)</f>
        <v>20:00</v>
      </c>
      <c r="I618" s="44" t="str">
        <f aca="false">'Cài đặt'!$B$32</f>
        <v>Carousel</v>
      </c>
      <c r="J618" s="44" t="str">
        <f aca="false">'Cài đặt'!$B$33</f>
        <v>A</v>
      </c>
      <c r="K618" s="41" t="s">
        <v>445</v>
      </c>
      <c r="L618" s="42" t="str">
        <f aca="false">C618&amp;"_"&amp;B618&amp;"_"&amp;IF(I618="Reel","R",IF(I618="Carousel","C","I"))&amp;"_"&amp;J618&amp;"_"&amp;IF(K618="AI tự động","AI","HU")&amp;"_"&amp;RIGHT(A618,3)</f>
        <v>P1_EXP3_C_A_AI_020</v>
      </c>
      <c r="M618" s="45"/>
      <c r="N618" s="45"/>
      <c r="O618" s="46"/>
      <c r="P618" s="46"/>
      <c r="Q618" s="46"/>
      <c r="R618" s="47"/>
      <c r="S618" s="45"/>
      <c r="T618" s="45"/>
      <c r="U618" s="48" t="str">
        <f aca="false">IF(O618&gt;0,P618/O618,"")</f>
        <v/>
      </c>
      <c r="V618" s="49" t="str">
        <f aca="false">IF(P618&gt;0,Q618/P618,"")</f>
        <v/>
      </c>
      <c r="W618" s="50" t="n">
        <f aca="false">IF(R618&lt;&gt;"",R618,Q618*'Cài đặt'!$B$12)</f>
        <v>0</v>
      </c>
      <c r="X618" s="50" t="str">
        <f aca="false">IF(O618&gt;0,W618/O618*1000,"")</f>
        <v/>
      </c>
      <c r="Y618" s="51" t="n">
        <f aca="false">IF(T618&lt;&gt;"",T618,INDEX('Cài đặt'!$B$20:$C$22,MATCH(I618,'Cài đặt'!$A$20:$A$22,0),IF(K618="AI tự động",1,2)))</f>
        <v>4</v>
      </c>
    </row>
    <row r="619" customFormat="false" ht="15" hidden="false" customHeight="false" outlineLevel="0" collapsed="false">
      <c r="A619" s="41" t="s">
        <v>1069</v>
      </c>
      <c r="B619" s="41" t="s">
        <v>958</v>
      </c>
      <c r="C619" s="41" t="s">
        <v>163</v>
      </c>
      <c r="D619" s="42" t="str">
        <f aca="false">INDEX('Page và Ngách'!$B$5:$B$10,MATCH(C619,'Page và Ngách'!$A$5:$A$10,0))</f>
        <v>Secret billionaire / CEO</v>
      </c>
      <c r="E619" s="41" t="n">
        <v>10</v>
      </c>
      <c r="F619" s="43" t="n">
        <f aca="false">'Cài đặt'!$B$39+E619-1</f>
        <v>46386</v>
      </c>
      <c r="G619" s="41" t="s">
        <v>444</v>
      </c>
      <c r="H619" s="44" t="str">
        <f aca="false">IF(G619="S1",'Cài đặt'!$B$7,'Cài đặt'!$B$8)</f>
        <v>12:00</v>
      </c>
      <c r="I619" s="44" t="str">
        <f aca="false">'Cài đặt'!$B$32</f>
        <v>Carousel</v>
      </c>
      <c r="J619" s="44" t="str">
        <f aca="false">'Cài đặt'!$B$33</f>
        <v>A</v>
      </c>
      <c r="K619" s="41" t="s">
        <v>445</v>
      </c>
      <c r="L619" s="42" t="str">
        <f aca="false">C619&amp;"_"&amp;B619&amp;"_"&amp;IF(I619="Reel","R",IF(I619="Carousel","C","I"))&amp;"_"&amp;J619&amp;"_"&amp;IF(K619="AI tự động","AI","HU")&amp;"_"&amp;RIGHT(A619,3)</f>
        <v>P2_EXP3_C_A_AI_019</v>
      </c>
      <c r="M619" s="45"/>
      <c r="N619" s="45"/>
      <c r="O619" s="46"/>
      <c r="P619" s="46"/>
      <c r="Q619" s="46"/>
      <c r="R619" s="47"/>
      <c r="S619" s="45"/>
      <c r="T619" s="45"/>
      <c r="U619" s="48" t="str">
        <f aca="false">IF(O619&gt;0,P619/O619,"")</f>
        <v/>
      </c>
      <c r="V619" s="49" t="str">
        <f aca="false">IF(P619&gt;0,Q619/P619,"")</f>
        <v/>
      </c>
      <c r="W619" s="50" t="n">
        <f aca="false">IF(R619&lt;&gt;"",R619,Q619*'Cài đặt'!$B$12)</f>
        <v>0</v>
      </c>
      <c r="X619" s="50" t="str">
        <f aca="false">IF(O619&gt;0,W619/O619*1000,"")</f>
        <v/>
      </c>
      <c r="Y619" s="51" t="n">
        <f aca="false">IF(T619&lt;&gt;"",T619,INDEX('Cài đặt'!$B$20:$C$22,MATCH(I619,'Cài đặt'!$A$20:$A$22,0),IF(K619="AI tự động",1,2)))</f>
        <v>4</v>
      </c>
    </row>
    <row r="620" customFormat="false" ht="15" hidden="false" customHeight="false" outlineLevel="0" collapsed="false">
      <c r="A620" s="41" t="s">
        <v>1070</v>
      </c>
      <c r="B620" s="41" t="s">
        <v>958</v>
      </c>
      <c r="C620" s="41" t="s">
        <v>163</v>
      </c>
      <c r="D620" s="42" t="str">
        <f aca="false">INDEX('Page và Ngách'!$B$5:$B$10,MATCH(C620,'Page và Ngách'!$A$5:$A$10,0))</f>
        <v>Secret billionaire / CEO</v>
      </c>
      <c r="E620" s="41" t="n">
        <v>10</v>
      </c>
      <c r="F620" s="43" t="n">
        <f aca="false">'Cài đặt'!$B$39+E620-1</f>
        <v>46386</v>
      </c>
      <c r="G620" s="41" t="s">
        <v>451</v>
      </c>
      <c r="H620" s="44" t="str">
        <f aca="false">IF(G620="S1",'Cài đặt'!$B$7,'Cài đặt'!$B$8)</f>
        <v>20:00</v>
      </c>
      <c r="I620" s="44" t="str">
        <f aca="false">'Cài đặt'!$B$32</f>
        <v>Carousel</v>
      </c>
      <c r="J620" s="44" t="str">
        <f aca="false">'Cài đặt'!$B$33</f>
        <v>A</v>
      </c>
      <c r="K620" s="41" t="s">
        <v>445</v>
      </c>
      <c r="L620" s="42" t="str">
        <f aca="false">C620&amp;"_"&amp;B620&amp;"_"&amp;IF(I620="Reel","R",IF(I620="Carousel","C","I"))&amp;"_"&amp;J620&amp;"_"&amp;IF(K620="AI tự động","AI","HU")&amp;"_"&amp;RIGHT(A620,3)</f>
        <v>P2_EXP3_C_A_AI_020</v>
      </c>
      <c r="M620" s="45"/>
      <c r="N620" s="45"/>
      <c r="O620" s="46"/>
      <c r="P620" s="46"/>
      <c r="Q620" s="46"/>
      <c r="R620" s="47"/>
      <c r="S620" s="45"/>
      <c r="T620" s="45"/>
      <c r="U620" s="48" t="str">
        <f aca="false">IF(O620&gt;0,P620/O620,"")</f>
        <v/>
      </c>
      <c r="V620" s="49" t="str">
        <f aca="false">IF(P620&gt;0,Q620/P620,"")</f>
        <v/>
      </c>
      <c r="W620" s="50" t="n">
        <f aca="false">IF(R620&lt;&gt;"",R620,Q620*'Cài đặt'!$B$12)</f>
        <v>0</v>
      </c>
      <c r="X620" s="50" t="str">
        <f aca="false">IF(O620&gt;0,W620/O620*1000,"")</f>
        <v/>
      </c>
      <c r="Y620" s="51" t="n">
        <f aca="false">IF(T620&lt;&gt;"",T620,INDEX('Cài đặt'!$B$20:$C$22,MATCH(I620,'Cài đặt'!$A$20:$A$22,0),IF(K620="AI tự động",1,2)))</f>
        <v>4</v>
      </c>
    </row>
    <row r="621" customFormat="false" ht="15" hidden="false" customHeight="false" outlineLevel="0" collapsed="false">
      <c r="A621" s="41" t="s">
        <v>1071</v>
      </c>
      <c r="B621" s="41" t="s">
        <v>958</v>
      </c>
      <c r="C621" s="41" t="s">
        <v>171</v>
      </c>
      <c r="D621" s="42" t="str">
        <f aca="false">INDEX('Page và Ngách'!$B$5:$B$10,MATCH(C621,'Page và Ngách'!$A$5:$A$10,0))</f>
        <v>Contract marriage / Fake relationship</v>
      </c>
      <c r="E621" s="41" t="n">
        <v>10</v>
      </c>
      <c r="F621" s="43" t="n">
        <f aca="false">'Cài đặt'!$B$39+E621-1</f>
        <v>46386</v>
      </c>
      <c r="G621" s="41" t="s">
        <v>444</v>
      </c>
      <c r="H621" s="44" t="str">
        <f aca="false">IF(G621="S1",'Cài đặt'!$B$7,'Cài đặt'!$B$8)</f>
        <v>12:00</v>
      </c>
      <c r="I621" s="44" t="str">
        <f aca="false">'Cài đặt'!$B$32</f>
        <v>Carousel</v>
      </c>
      <c r="J621" s="44" t="str">
        <f aca="false">'Cài đặt'!$B$33</f>
        <v>A</v>
      </c>
      <c r="K621" s="41" t="s">
        <v>961</v>
      </c>
      <c r="L621" s="42" t="str">
        <f aca="false">C621&amp;"_"&amp;B621&amp;"_"&amp;IF(I621="Reel","R",IF(I621="Carousel","C","I"))&amp;"_"&amp;J621&amp;"_"&amp;IF(K621="AI tự động","AI","HU")&amp;"_"&amp;RIGHT(A621,3)</f>
        <v>P3_EXP3_C_A_HU_019</v>
      </c>
      <c r="M621" s="45"/>
      <c r="N621" s="45"/>
      <c r="O621" s="46"/>
      <c r="P621" s="46"/>
      <c r="Q621" s="46"/>
      <c r="R621" s="47"/>
      <c r="S621" s="45"/>
      <c r="T621" s="45"/>
      <c r="U621" s="48" t="str">
        <f aca="false">IF(O621&gt;0,P621/O621,"")</f>
        <v/>
      </c>
      <c r="V621" s="49" t="str">
        <f aca="false">IF(P621&gt;0,Q621/P621,"")</f>
        <v/>
      </c>
      <c r="W621" s="50" t="n">
        <f aca="false">IF(R621&lt;&gt;"",R621,Q621*'Cài đặt'!$B$12)</f>
        <v>0</v>
      </c>
      <c r="X621" s="50" t="str">
        <f aca="false">IF(O621&gt;0,W621/O621*1000,"")</f>
        <v/>
      </c>
      <c r="Y621" s="51" t="n">
        <f aca="false">IF(T621&lt;&gt;"",T621,INDEX('Cài đặt'!$B$20:$C$22,MATCH(I621,'Cài đặt'!$A$20:$A$22,0),IF(K621="AI tự động",1,2)))</f>
        <v>25</v>
      </c>
    </row>
    <row r="622" customFormat="false" ht="15" hidden="false" customHeight="false" outlineLevel="0" collapsed="false">
      <c r="A622" s="41" t="s">
        <v>1072</v>
      </c>
      <c r="B622" s="41" t="s">
        <v>958</v>
      </c>
      <c r="C622" s="41" t="s">
        <v>171</v>
      </c>
      <c r="D622" s="42" t="str">
        <f aca="false">INDEX('Page và Ngách'!$B$5:$B$10,MATCH(C622,'Page và Ngách'!$A$5:$A$10,0))</f>
        <v>Contract marriage / Fake relationship</v>
      </c>
      <c r="E622" s="41" t="n">
        <v>10</v>
      </c>
      <c r="F622" s="43" t="n">
        <f aca="false">'Cài đặt'!$B$39+E622-1</f>
        <v>46386</v>
      </c>
      <c r="G622" s="41" t="s">
        <v>451</v>
      </c>
      <c r="H622" s="44" t="str">
        <f aca="false">IF(G622="S1",'Cài đặt'!$B$7,'Cài đặt'!$B$8)</f>
        <v>20:00</v>
      </c>
      <c r="I622" s="44" t="str">
        <f aca="false">'Cài đặt'!$B$32</f>
        <v>Carousel</v>
      </c>
      <c r="J622" s="44" t="str">
        <f aca="false">'Cài đặt'!$B$33</f>
        <v>A</v>
      </c>
      <c r="K622" s="41" t="s">
        <v>445</v>
      </c>
      <c r="L622" s="42" t="str">
        <f aca="false">C622&amp;"_"&amp;B622&amp;"_"&amp;IF(I622="Reel","R",IF(I622="Carousel","C","I"))&amp;"_"&amp;J622&amp;"_"&amp;IF(K622="AI tự động","AI","HU")&amp;"_"&amp;RIGHT(A622,3)</f>
        <v>P3_EXP3_C_A_AI_020</v>
      </c>
      <c r="M622" s="45"/>
      <c r="N622" s="45"/>
      <c r="O622" s="46"/>
      <c r="P622" s="46"/>
      <c r="Q622" s="46"/>
      <c r="R622" s="47"/>
      <c r="S622" s="45"/>
      <c r="T622" s="45"/>
      <c r="U622" s="48" t="str">
        <f aca="false">IF(O622&gt;0,P622/O622,"")</f>
        <v/>
      </c>
      <c r="V622" s="49" t="str">
        <f aca="false">IF(P622&gt;0,Q622/P622,"")</f>
        <v/>
      </c>
      <c r="W622" s="50" t="n">
        <f aca="false">IF(R622&lt;&gt;"",R622,Q622*'Cài đặt'!$B$12)</f>
        <v>0</v>
      </c>
      <c r="X622" s="50" t="str">
        <f aca="false">IF(O622&gt;0,W622/O622*1000,"")</f>
        <v/>
      </c>
      <c r="Y622" s="51" t="n">
        <f aca="false">IF(T622&lt;&gt;"",T622,INDEX('Cài đặt'!$B$20:$C$22,MATCH(I622,'Cài đặt'!$A$20:$A$22,0),IF(K622="AI tự động",1,2)))</f>
        <v>4</v>
      </c>
    </row>
    <row r="623" customFormat="false" ht="15" hidden="false" customHeight="false" outlineLevel="0" collapsed="false">
      <c r="A623" s="41" t="s">
        <v>1073</v>
      </c>
      <c r="B623" s="41" t="s">
        <v>958</v>
      </c>
      <c r="C623" s="41" t="s">
        <v>178</v>
      </c>
      <c r="D623" s="42" t="str">
        <f aca="false">INDEX('Page và Ngách'!$B$5:$B$10,MATCH(C623,'Page và Ngách'!$A$5:$A$10,0))</f>
        <v>Revenge / Betrayal ("you'll regret it")</v>
      </c>
      <c r="E623" s="41" t="n">
        <v>10</v>
      </c>
      <c r="F623" s="43" t="n">
        <f aca="false">'Cài đặt'!$B$39+E623-1</f>
        <v>46386</v>
      </c>
      <c r="G623" s="41" t="s">
        <v>444</v>
      </c>
      <c r="H623" s="44" t="str">
        <f aca="false">IF(G623="S1",'Cài đặt'!$B$7,'Cài đặt'!$B$8)</f>
        <v>12:00</v>
      </c>
      <c r="I623" s="44" t="str">
        <f aca="false">'Cài đặt'!$B$32</f>
        <v>Carousel</v>
      </c>
      <c r="J623" s="44" t="str">
        <f aca="false">'Cài đặt'!$B$33</f>
        <v>A</v>
      </c>
      <c r="K623" s="41" t="s">
        <v>445</v>
      </c>
      <c r="L623" s="42" t="str">
        <f aca="false">C623&amp;"_"&amp;B623&amp;"_"&amp;IF(I623="Reel","R",IF(I623="Carousel","C","I"))&amp;"_"&amp;J623&amp;"_"&amp;IF(K623="AI tự động","AI","HU")&amp;"_"&amp;RIGHT(A623,3)</f>
        <v>P4_EXP3_C_A_AI_019</v>
      </c>
      <c r="M623" s="45"/>
      <c r="N623" s="45"/>
      <c r="O623" s="46"/>
      <c r="P623" s="46"/>
      <c r="Q623" s="46"/>
      <c r="R623" s="47"/>
      <c r="S623" s="45"/>
      <c r="T623" s="45"/>
      <c r="U623" s="48" t="str">
        <f aca="false">IF(O623&gt;0,P623/O623,"")</f>
        <v/>
      </c>
      <c r="V623" s="49" t="str">
        <f aca="false">IF(P623&gt;0,Q623/P623,"")</f>
        <v/>
      </c>
      <c r="W623" s="50" t="n">
        <f aca="false">IF(R623&lt;&gt;"",R623,Q623*'Cài đặt'!$B$12)</f>
        <v>0</v>
      </c>
      <c r="X623" s="50" t="str">
        <f aca="false">IF(O623&gt;0,W623/O623*1000,"")</f>
        <v/>
      </c>
      <c r="Y623" s="51" t="n">
        <f aca="false">IF(T623&lt;&gt;"",T623,INDEX('Cài đặt'!$B$20:$C$22,MATCH(I623,'Cài đặt'!$A$20:$A$22,0),IF(K623="AI tự động",1,2)))</f>
        <v>4</v>
      </c>
    </row>
    <row r="624" customFormat="false" ht="15" hidden="false" customHeight="false" outlineLevel="0" collapsed="false">
      <c r="A624" s="41" t="s">
        <v>1074</v>
      </c>
      <c r="B624" s="41" t="s">
        <v>958</v>
      </c>
      <c r="C624" s="41" t="s">
        <v>178</v>
      </c>
      <c r="D624" s="42" t="str">
        <f aca="false">INDEX('Page và Ngách'!$B$5:$B$10,MATCH(C624,'Page và Ngách'!$A$5:$A$10,0))</f>
        <v>Revenge / Betrayal ("you'll regret it")</v>
      </c>
      <c r="E624" s="41" t="n">
        <v>10</v>
      </c>
      <c r="F624" s="43" t="n">
        <f aca="false">'Cài đặt'!$B$39+E624-1</f>
        <v>46386</v>
      </c>
      <c r="G624" s="41" t="s">
        <v>451</v>
      </c>
      <c r="H624" s="44" t="str">
        <f aca="false">IF(G624="S1",'Cài đặt'!$B$7,'Cài đặt'!$B$8)</f>
        <v>20:00</v>
      </c>
      <c r="I624" s="44" t="str">
        <f aca="false">'Cài đặt'!$B$32</f>
        <v>Carousel</v>
      </c>
      <c r="J624" s="44" t="str">
        <f aca="false">'Cài đặt'!$B$33</f>
        <v>A</v>
      </c>
      <c r="K624" s="41" t="s">
        <v>445</v>
      </c>
      <c r="L624" s="42" t="str">
        <f aca="false">C624&amp;"_"&amp;B624&amp;"_"&amp;IF(I624="Reel","R",IF(I624="Carousel","C","I"))&amp;"_"&amp;J624&amp;"_"&amp;IF(K624="AI tự động","AI","HU")&amp;"_"&amp;RIGHT(A624,3)</f>
        <v>P4_EXP3_C_A_AI_020</v>
      </c>
      <c r="M624" s="45"/>
      <c r="N624" s="45"/>
      <c r="O624" s="46"/>
      <c r="P624" s="46"/>
      <c r="Q624" s="46"/>
      <c r="R624" s="47"/>
      <c r="S624" s="45"/>
      <c r="T624" s="45"/>
      <c r="U624" s="48" t="str">
        <f aca="false">IF(O624&gt;0,P624/O624,"")</f>
        <v/>
      </c>
      <c r="V624" s="49" t="str">
        <f aca="false">IF(P624&gt;0,Q624/P624,"")</f>
        <v/>
      </c>
      <c r="W624" s="50" t="n">
        <f aca="false">IF(R624&lt;&gt;"",R624,Q624*'Cài đặt'!$B$12)</f>
        <v>0</v>
      </c>
      <c r="X624" s="50" t="str">
        <f aca="false">IF(O624&gt;0,W624/O624*1000,"")</f>
        <v/>
      </c>
      <c r="Y624" s="51" t="n">
        <f aca="false">IF(T624&lt;&gt;"",T624,INDEX('Cài đặt'!$B$20:$C$22,MATCH(I624,'Cài đặt'!$A$20:$A$22,0),IF(K624="AI tự động",1,2)))</f>
        <v>4</v>
      </c>
    </row>
    <row r="625" customFormat="false" ht="15" hidden="false" customHeight="false" outlineLevel="0" collapsed="false">
      <c r="A625" s="41" t="s">
        <v>1075</v>
      </c>
      <c r="B625" s="41" t="s">
        <v>958</v>
      </c>
      <c r="C625" s="41" t="s">
        <v>185</v>
      </c>
      <c r="D625" s="42" t="str">
        <f aca="false">INDEX('Page và Ngách'!$B$5:$B$10,MATCH(C625,'Page và Ngách'!$A$5:$A$10,0))</f>
        <v>Mafia / Dark romance (teaser PG-13)</v>
      </c>
      <c r="E625" s="41" t="n">
        <v>10</v>
      </c>
      <c r="F625" s="43" t="n">
        <f aca="false">'Cài đặt'!$B$39+E625-1</f>
        <v>46386</v>
      </c>
      <c r="G625" s="41" t="s">
        <v>444</v>
      </c>
      <c r="H625" s="44" t="str">
        <f aca="false">IF(G625="S1",'Cài đặt'!$B$7,'Cài đặt'!$B$8)</f>
        <v>12:00</v>
      </c>
      <c r="I625" s="44" t="str">
        <f aca="false">'Cài đặt'!$B$32</f>
        <v>Carousel</v>
      </c>
      <c r="J625" s="44" t="str">
        <f aca="false">'Cài đặt'!$B$33</f>
        <v>A</v>
      </c>
      <c r="K625" s="41" t="s">
        <v>445</v>
      </c>
      <c r="L625" s="42" t="str">
        <f aca="false">C625&amp;"_"&amp;B625&amp;"_"&amp;IF(I625="Reel","R",IF(I625="Carousel","C","I"))&amp;"_"&amp;J625&amp;"_"&amp;IF(K625="AI tự động","AI","HU")&amp;"_"&amp;RIGHT(A625,3)</f>
        <v>P5_EXP3_C_A_AI_019</v>
      </c>
      <c r="M625" s="45"/>
      <c r="N625" s="45"/>
      <c r="O625" s="46"/>
      <c r="P625" s="46"/>
      <c r="Q625" s="46"/>
      <c r="R625" s="47"/>
      <c r="S625" s="45"/>
      <c r="T625" s="45"/>
      <c r="U625" s="48" t="str">
        <f aca="false">IF(O625&gt;0,P625/O625,"")</f>
        <v/>
      </c>
      <c r="V625" s="49" t="str">
        <f aca="false">IF(P625&gt;0,Q625/P625,"")</f>
        <v/>
      </c>
      <c r="W625" s="50" t="n">
        <f aca="false">IF(R625&lt;&gt;"",R625,Q625*'Cài đặt'!$B$12)</f>
        <v>0</v>
      </c>
      <c r="X625" s="50" t="str">
        <f aca="false">IF(O625&gt;0,W625/O625*1000,"")</f>
        <v/>
      </c>
      <c r="Y625" s="51" t="n">
        <f aca="false">IF(T625&lt;&gt;"",T625,INDEX('Cài đặt'!$B$20:$C$22,MATCH(I625,'Cài đặt'!$A$20:$A$22,0),IF(K625="AI tự động",1,2)))</f>
        <v>4</v>
      </c>
    </row>
    <row r="626" customFormat="false" ht="15" hidden="false" customHeight="false" outlineLevel="0" collapsed="false">
      <c r="A626" s="41" t="s">
        <v>1076</v>
      </c>
      <c r="B626" s="41" t="s">
        <v>958</v>
      </c>
      <c r="C626" s="41" t="s">
        <v>185</v>
      </c>
      <c r="D626" s="42" t="str">
        <f aca="false">INDEX('Page và Ngách'!$B$5:$B$10,MATCH(C626,'Page và Ngách'!$A$5:$A$10,0))</f>
        <v>Mafia / Dark romance (teaser PG-13)</v>
      </c>
      <c r="E626" s="41" t="n">
        <v>10</v>
      </c>
      <c r="F626" s="43" t="n">
        <f aca="false">'Cài đặt'!$B$39+E626-1</f>
        <v>46386</v>
      </c>
      <c r="G626" s="41" t="s">
        <v>451</v>
      </c>
      <c r="H626" s="44" t="str">
        <f aca="false">IF(G626="S1",'Cài đặt'!$B$7,'Cài đặt'!$B$8)</f>
        <v>20:00</v>
      </c>
      <c r="I626" s="44" t="str">
        <f aca="false">'Cài đặt'!$B$32</f>
        <v>Carousel</v>
      </c>
      <c r="J626" s="44" t="str">
        <f aca="false">'Cài đặt'!$B$33</f>
        <v>A</v>
      </c>
      <c r="K626" s="41" t="s">
        <v>961</v>
      </c>
      <c r="L626" s="42" t="str">
        <f aca="false">C626&amp;"_"&amp;B626&amp;"_"&amp;IF(I626="Reel","R",IF(I626="Carousel","C","I"))&amp;"_"&amp;J626&amp;"_"&amp;IF(K626="AI tự động","AI","HU")&amp;"_"&amp;RIGHT(A626,3)</f>
        <v>P5_EXP3_C_A_HU_020</v>
      </c>
      <c r="M626" s="45"/>
      <c r="N626" s="45"/>
      <c r="O626" s="46"/>
      <c r="P626" s="46"/>
      <c r="Q626" s="46"/>
      <c r="R626" s="47"/>
      <c r="S626" s="45"/>
      <c r="T626" s="45"/>
      <c r="U626" s="48" t="str">
        <f aca="false">IF(O626&gt;0,P626/O626,"")</f>
        <v/>
      </c>
      <c r="V626" s="49" t="str">
        <f aca="false">IF(P626&gt;0,Q626/P626,"")</f>
        <v/>
      </c>
      <c r="W626" s="50" t="n">
        <f aca="false">IF(R626&lt;&gt;"",R626,Q626*'Cài đặt'!$B$12)</f>
        <v>0</v>
      </c>
      <c r="X626" s="50" t="str">
        <f aca="false">IF(O626&gt;0,W626/O626*1000,"")</f>
        <v/>
      </c>
      <c r="Y626" s="51" t="n">
        <f aca="false">IF(T626&lt;&gt;"",T626,INDEX('Cài đặt'!$B$20:$C$22,MATCH(I626,'Cài đặt'!$A$20:$A$22,0),IF(K626="AI tự động",1,2)))</f>
        <v>25</v>
      </c>
    </row>
    <row r="627" customFormat="false" ht="15" hidden="false" customHeight="false" outlineLevel="0" collapsed="false">
      <c r="A627" s="41" t="s">
        <v>1077</v>
      </c>
      <c r="B627" s="41" t="s">
        <v>958</v>
      </c>
      <c r="C627" s="41" t="s">
        <v>193</v>
      </c>
      <c r="D627" s="42" t="str">
        <f aca="false">INDEX('Page và Ngách'!$B$5:$B$10,MATCH(C627,'Page và Ngách'!$A$5:$A$10,0))</f>
        <v>Second chance / Secret baby</v>
      </c>
      <c r="E627" s="41" t="n">
        <v>10</v>
      </c>
      <c r="F627" s="43" t="n">
        <f aca="false">'Cài đặt'!$B$39+E627-1</f>
        <v>46386</v>
      </c>
      <c r="G627" s="41" t="s">
        <v>444</v>
      </c>
      <c r="H627" s="44" t="str">
        <f aca="false">IF(G627="S1",'Cài đặt'!$B$7,'Cài đặt'!$B$8)</f>
        <v>12:00</v>
      </c>
      <c r="I627" s="44" t="str">
        <f aca="false">'Cài đặt'!$B$32</f>
        <v>Carousel</v>
      </c>
      <c r="J627" s="44" t="str">
        <f aca="false">'Cài đặt'!$B$33</f>
        <v>A</v>
      </c>
      <c r="K627" s="41" t="s">
        <v>445</v>
      </c>
      <c r="L627" s="42" t="str">
        <f aca="false">C627&amp;"_"&amp;B627&amp;"_"&amp;IF(I627="Reel","R",IF(I627="Carousel","C","I"))&amp;"_"&amp;J627&amp;"_"&amp;IF(K627="AI tự động","AI","HU")&amp;"_"&amp;RIGHT(A627,3)</f>
        <v>P6_EXP3_C_A_AI_019</v>
      </c>
      <c r="M627" s="45"/>
      <c r="N627" s="45"/>
      <c r="O627" s="46"/>
      <c r="P627" s="46"/>
      <c r="Q627" s="46"/>
      <c r="R627" s="47"/>
      <c r="S627" s="45"/>
      <c r="T627" s="45"/>
      <c r="U627" s="48" t="str">
        <f aca="false">IF(O627&gt;0,P627/O627,"")</f>
        <v/>
      </c>
      <c r="V627" s="49" t="str">
        <f aca="false">IF(P627&gt;0,Q627/P627,"")</f>
        <v/>
      </c>
      <c r="W627" s="50" t="n">
        <f aca="false">IF(R627&lt;&gt;"",R627,Q627*'Cài đặt'!$B$12)</f>
        <v>0</v>
      </c>
      <c r="X627" s="50" t="str">
        <f aca="false">IF(O627&gt;0,W627/O627*1000,"")</f>
        <v/>
      </c>
      <c r="Y627" s="51" t="n">
        <f aca="false">IF(T627&lt;&gt;"",T627,INDEX('Cài đặt'!$B$20:$C$22,MATCH(I627,'Cài đặt'!$A$20:$A$22,0),IF(K627="AI tự động",1,2)))</f>
        <v>4</v>
      </c>
    </row>
    <row r="628" customFormat="false" ht="15" hidden="false" customHeight="false" outlineLevel="0" collapsed="false">
      <c r="A628" s="41" t="s">
        <v>1078</v>
      </c>
      <c r="B628" s="41" t="s">
        <v>958</v>
      </c>
      <c r="C628" s="41" t="s">
        <v>193</v>
      </c>
      <c r="D628" s="42" t="str">
        <f aca="false">INDEX('Page và Ngách'!$B$5:$B$10,MATCH(C628,'Page và Ngách'!$A$5:$A$10,0))</f>
        <v>Second chance / Secret baby</v>
      </c>
      <c r="E628" s="41" t="n">
        <v>10</v>
      </c>
      <c r="F628" s="43" t="n">
        <f aca="false">'Cài đặt'!$B$39+E628-1</f>
        <v>46386</v>
      </c>
      <c r="G628" s="41" t="s">
        <v>451</v>
      </c>
      <c r="H628" s="44" t="str">
        <f aca="false">IF(G628="S1",'Cài đặt'!$B$7,'Cài đặt'!$B$8)</f>
        <v>20:00</v>
      </c>
      <c r="I628" s="44" t="str">
        <f aca="false">'Cài đặt'!$B$32</f>
        <v>Carousel</v>
      </c>
      <c r="J628" s="44" t="str">
        <f aca="false">'Cài đặt'!$B$33</f>
        <v>A</v>
      </c>
      <c r="K628" s="41" t="s">
        <v>445</v>
      </c>
      <c r="L628" s="42" t="str">
        <f aca="false">C628&amp;"_"&amp;B628&amp;"_"&amp;IF(I628="Reel","R",IF(I628="Carousel","C","I"))&amp;"_"&amp;J628&amp;"_"&amp;IF(K628="AI tự động","AI","HU")&amp;"_"&amp;RIGHT(A628,3)</f>
        <v>P6_EXP3_C_A_AI_020</v>
      </c>
      <c r="M628" s="45"/>
      <c r="N628" s="45"/>
      <c r="O628" s="46"/>
      <c r="P628" s="46"/>
      <c r="Q628" s="46"/>
      <c r="R628" s="47"/>
      <c r="S628" s="45"/>
      <c r="T628" s="45"/>
      <c r="U628" s="48" t="str">
        <f aca="false">IF(O628&gt;0,P628/O628,"")</f>
        <v/>
      </c>
      <c r="V628" s="49" t="str">
        <f aca="false">IF(P628&gt;0,Q628/P628,"")</f>
        <v/>
      </c>
      <c r="W628" s="50" t="n">
        <f aca="false">IF(R628&lt;&gt;"",R628,Q628*'Cài đặt'!$B$12)</f>
        <v>0</v>
      </c>
      <c r="X628" s="50" t="str">
        <f aca="false">IF(O628&gt;0,W628/O628*1000,"")</f>
        <v/>
      </c>
      <c r="Y628" s="51" t="n">
        <f aca="false">IF(T628&lt;&gt;"",T628,INDEX('Cài đặt'!$B$20:$C$22,MATCH(I628,'Cài đặt'!$A$20:$A$22,0),IF(K628="AI tự động",1,2)))</f>
        <v>4</v>
      </c>
    </row>
    <row r="629" customFormat="false" ht="15" hidden="false" customHeight="false" outlineLevel="0" collapsed="false">
      <c r="A629" s="41" t="s">
        <v>1079</v>
      </c>
      <c r="B629" s="41" t="s">
        <v>958</v>
      </c>
      <c r="C629" s="41" t="s">
        <v>154</v>
      </c>
      <c r="D629" s="42" t="str">
        <f aca="false">INDEX('Page và Ngách'!$B$5:$B$10,MATCH(C629,'Page và Ngách'!$A$5:$A$10,0))</f>
        <v>Werewolf / Rejected mate</v>
      </c>
      <c r="E629" s="41" t="n">
        <v>11</v>
      </c>
      <c r="F629" s="43" t="n">
        <f aca="false">'Cài đặt'!$B$39+E629-1</f>
        <v>46387</v>
      </c>
      <c r="G629" s="41" t="s">
        <v>444</v>
      </c>
      <c r="H629" s="44" t="str">
        <f aca="false">IF(G629="S1",'Cài đặt'!$B$7,'Cài đặt'!$B$8)</f>
        <v>12:00</v>
      </c>
      <c r="I629" s="44" t="str">
        <f aca="false">'Cài đặt'!$B$32</f>
        <v>Carousel</v>
      </c>
      <c r="J629" s="44" t="str">
        <f aca="false">'Cài đặt'!$B$33</f>
        <v>A</v>
      </c>
      <c r="K629" s="41" t="s">
        <v>445</v>
      </c>
      <c r="L629" s="42" t="str">
        <f aca="false">C629&amp;"_"&amp;B629&amp;"_"&amp;IF(I629="Reel","R",IF(I629="Carousel","C","I"))&amp;"_"&amp;J629&amp;"_"&amp;IF(K629="AI tự động","AI","HU")&amp;"_"&amp;RIGHT(A629,3)</f>
        <v>P1_EXP3_C_A_AI_021</v>
      </c>
      <c r="M629" s="45"/>
      <c r="N629" s="45"/>
      <c r="O629" s="46"/>
      <c r="P629" s="46"/>
      <c r="Q629" s="46"/>
      <c r="R629" s="47"/>
      <c r="S629" s="45"/>
      <c r="T629" s="45"/>
      <c r="U629" s="48" t="str">
        <f aca="false">IF(O629&gt;0,P629/O629,"")</f>
        <v/>
      </c>
      <c r="V629" s="49" t="str">
        <f aca="false">IF(P629&gt;0,Q629/P629,"")</f>
        <v/>
      </c>
      <c r="W629" s="50" t="n">
        <f aca="false">IF(R629&lt;&gt;"",R629,Q629*'Cài đặt'!$B$12)</f>
        <v>0</v>
      </c>
      <c r="X629" s="50" t="str">
        <f aca="false">IF(O629&gt;0,W629/O629*1000,"")</f>
        <v/>
      </c>
      <c r="Y629" s="51" t="n">
        <f aca="false">IF(T629&lt;&gt;"",T629,INDEX('Cài đặt'!$B$20:$C$22,MATCH(I629,'Cài đặt'!$A$20:$A$22,0),IF(K629="AI tự động",1,2)))</f>
        <v>4</v>
      </c>
    </row>
    <row r="630" customFormat="false" ht="15" hidden="false" customHeight="false" outlineLevel="0" collapsed="false">
      <c r="A630" s="41" t="s">
        <v>1080</v>
      </c>
      <c r="B630" s="41" t="s">
        <v>958</v>
      </c>
      <c r="C630" s="41" t="s">
        <v>154</v>
      </c>
      <c r="D630" s="42" t="str">
        <f aca="false">INDEX('Page và Ngách'!$B$5:$B$10,MATCH(C630,'Page và Ngách'!$A$5:$A$10,0))</f>
        <v>Werewolf / Rejected mate</v>
      </c>
      <c r="E630" s="41" t="n">
        <v>11</v>
      </c>
      <c r="F630" s="43" t="n">
        <f aca="false">'Cài đặt'!$B$39+E630-1</f>
        <v>46387</v>
      </c>
      <c r="G630" s="41" t="s">
        <v>451</v>
      </c>
      <c r="H630" s="44" t="str">
        <f aca="false">IF(G630="S1",'Cài đặt'!$B$7,'Cài đặt'!$B$8)</f>
        <v>20:00</v>
      </c>
      <c r="I630" s="44" t="str">
        <f aca="false">'Cài đặt'!$B$32</f>
        <v>Carousel</v>
      </c>
      <c r="J630" s="44" t="str">
        <f aca="false">'Cài đặt'!$B$33</f>
        <v>A</v>
      </c>
      <c r="K630" s="41" t="s">
        <v>445</v>
      </c>
      <c r="L630" s="42" t="str">
        <f aca="false">C630&amp;"_"&amp;B630&amp;"_"&amp;IF(I630="Reel","R",IF(I630="Carousel","C","I"))&amp;"_"&amp;J630&amp;"_"&amp;IF(K630="AI tự động","AI","HU")&amp;"_"&amp;RIGHT(A630,3)</f>
        <v>P1_EXP3_C_A_AI_022</v>
      </c>
      <c r="M630" s="45"/>
      <c r="N630" s="45"/>
      <c r="O630" s="46"/>
      <c r="P630" s="46"/>
      <c r="Q630" s="46"/>
      <c r="R630" s="47"/>
      <c r="S630" s="45"/>
      <c r="T630" s="45"/>
      <c r="U630" s="48" t="str">
        <f aca="false">IF(O630&gt;0,P630/O630,"")</f>
        <v/>
      </c>
      <c r="V630" s="49" t="str">
        <f aca="false">IF(P630&gt;0,Q630/P630,"")</f>
        <v/>
      </c>
      <c r="W630" s="50" t="n">
        <f aca="false">IF(R630&lt;&gt;"",R630,Q630*'Cài đặt'!$B$12)</f>
        <v>0</v>
      </c>
      <c r="X630" s="50" t="str">
        <f aca="false">IF(O630&gt;0,W630/O630*1000,"")</f>
        <v/>
      </c>
      <c r="Y630" s="51" t="n">
        <f aca="false">IF(T630&lt;&gt;"",T630,INDEX('Cài đặt'!$B$20:$C$22,MATCH(I630,'Cài đặt'!$A$20:$A$22,0),IF(K630="AI tự động",1,2)))</f>
        <v>4</v>
      </c>
    </row>
    <row r="631" customFormat="false" ht="15" hidden="false" customHeight="false" outlineLevel="0" collapsed="false">
      <c r="A631" s="41" t="s">
        <v>1081</v>
      </c>
      <c r="B631" s="41" t="s">
        <v>958</v>
      </c>
      <c r="C631" s="41" t="s">
        <v>163</v>
      </c>
      <c r="D631" s="42" t="str">
        <f aca="false">INDEX('Page và Ngách'!$B$5:$B$10,MATCH(C631,'Page và Ngách'!$A$5:$A$10,0))</f>
        <v>Secret billionaire / CEO</v>
      </c>
      <c r="E631" s="41" t="n">
        <v>11</v>
      </c>
      <c r="F631" s="43" t="n">
        <f aca="false">'Cài đặt'!$B$39+E631-1</f>
        <v>46387</v>
      </c>
      <c r="G631" s="41" t="s">
        <v>444</v>
      </c>
      <c r="H631" s="44" t="str">
        <f aca="false">IF(G631="S1",'Cài đặt'!$B$7,'Cài đặt'!$B$8)</f>
        <v>12:00</v>
      </c>
      <c r="I631" s="44" t="str">
        <f aca="false">'Cài đặt'!$B$32</f>
        <v>Carousel</v>
      </c>
      <c r="J631" s="44" t="str">
        <f aca="false">'Cài đặt'!$B$33</f>
        <v>A</v>
      </c>
      <c r="K631" s="41" t="s">
        <v>961</v>
      </c>
      <c r="L631" s="42" t="str">
        <f aca="false">C631&amp;"_"&amp;B631&amp;"_"&amp;IF(I631="Reel","R",IF(I631="Carousel","C","I"))&amp;"_"&amp;J631&amp;"_"&amp;IF(K631="AI tự động","AI","HU")&amp;"_"&amp;RIGHT(A631,3)</f>
        <v>P2_EXP3_C_A_HU_021</v>
      </c>
      <c r="M631" s="45"/>
      <c r="N631" s="45"/>
      <c r="O631" s="46"/>
      <c r="P631" s="46"/>
      <c r="Q631" s="46"/>
      <c r="R631" s="47"/>
      <c r="S631" s="45"/>
      <c r="T631" s="45"/>
      <c r="U631" s="48" t="str">
        <f aca="false">IF(O631&gt;0,P631/O631,"")</f>
        <v/>
      </c>
      <c r="V631" s="49" t="str">
        <f aca="false">IF(P631&gt;0,Q631/P631,"")</f>
        <v/>
      </c>
      <c r="W631" s="50" t="n">
        <f aca="false">IF(R631&lt;&gt;"",R631,Q631*'Cài đặt'!$B$12)</f>
        <v>0</v>
      </c>
      <c r="X631" s="50" t="str">
        <f aca="false">IF(O631&gt;0,W631/O631*1000,"")</f>
        <v/>
      </c>
      <c r="Y631" s="51" t="n">
        <f aca="false">IF(T631&lt;&gt;"",T631,INDEX('Cài đặt'!$B$20:$C$22,MATCH(I631,'Cài đặt'!$A$20:$A$22,0),IF(K631="AI tự động",1,2)))</f>
        <v>25</v>
      </c>
    </row>
    <row r="632" customFormat="false" ht="15" hidden="false" customHeight="false" outlineLevel="0" collapsed="false">
      <c r="A632" s="41" t="s">
        <v>1082</v>
      </c>
      <c r="B632" s="41" t="s">
        <v>958</v>
      </c>
      <c r="C632" s="41" t="s">
        <v>163</v>
      </c>
      <c r="D632" s="42" t="str">
        <f aca="false">INDEX('Page và Ngách'!$B$5:$B$10,MATCH(C632,'Page và Ngách'!$A$5:$A$10,0))</f>
        <v>Secret billionaire / CEO</v>
      </c>
      <c r="E632" s="41" t="n">
        <v>11</v>
      </c>
      <c r="F632" s="43" t="n">
        <f aca="false">'Cài đặt'!$B$39+E632-1</f>
        <v>46387</v>
      </c>
      <c r="G632" s="41" t="s">
        <v>451</v>
      </c>
      <c r="H632" s="44" t="str">
        <f aca="false">IF(G632="S1",'Cài đặt'!$B$7,'Cài đặt'!$B$8)</f>
        <v>20:00</v>
      </c>
      <c r="I632" s="44" t="str">
        <f aca="false">'Cài đặt'!$B$32</f>
        <v>Carousel</v>
      </c>
      <c r="J632" s="44" t="str">
        <f aca="false">'Cài đặt'!$B$33</f>
        <v>A</v>
      </c>
      <c r="K632" s="41" t="s">
        <v>445</v>
      </c>
      <c r="L632" s="42" t="str">
        <f aca="false">C632&amp;"_"&amp;B632&amp;"_"&amp;IF(I632="Reel","R",IF(I632="Carousel","C","I"))&amp;"_"&amp;J632&amp;"_"&amp;IF(K632="AI tự động","AI","HU")&amp;"_"&amp;RIGHT(A632,3)</f>
        <v>P2_EXP3_C_A_AI_022</v>
      </c>
      <c r="M632" s="45"/>
      <c r="N632" s="45"/>
      <c r="O632" s="46"/>
      <c r="P632" s="46"/>
      <c r="Q632" s="46"/>
      <c r="R632" s="47"/>
      <c r="S632" s="45"/>
      <c r="T632" s="45"/>
      <c r="U632" s="48" t="str">
        <f aca="false">IF(O632&gt;0,P632/O632,"")</f>
        <v/>
      </c>
      <c r="V632" s="49" t="str">
        <f aca="false">IF(P632&gt;0,Q632/P632,"")</f>
        <v/>
      </c>
      <c r="W632" s="50" t="n">
        <f aca="false">IF(R632&lt;&gt;"",R632,Q632*'Cài đặt'!$B$12)</f>
        <v>0</v>
      </c>
      <c r="X632" s="50" t="str">
        <f aca="false">IF(O632&gt;0,W632/O632*1000,"")</f>
        <v/>
      </c>
      <c r="Y632" s="51" t="n">
        <f aca="false">IF(T632&lt;&gt;"",T632,INDEX('Cài đặt'!$B$20:$C$22,MATCH(I632,'Cài đặt'!$A$20:$A$22,0),IF(K632="AI tự động",1,2)))</f>
        <v>4</v>
      </c>
    </row>
    <row r="633" customFormat="false" ht="15" hidden="false" customHeight="false" outlineLevel="0" collapsed="false">
      <c r="A633" s="41" t="s">
        <v>1083</v>
      </c>
      <c r="B633" s="41" t="s">
        <v>958</v>
      </c>
      <c r="C633" s="41" t="s">
        <v>171</v>
      </c>
      <c r="D633" s="42" t="str">
        <f aca="false">INDEX('Page và Ngách'!$B$5:$B$10,MATCH(C633,'Page và Ngách'!$A$5:$A$10,0))</f>
        <v>Contract marriage / Fake relationship</v>
      </c>
      <c r="E633" s="41" t="n">
        <v>11</v>
      </c>
      <c r="F633" s="43" t="n">
        <f aca="false">'Cài đặt'!$B$39+E633-1</f>
        <v>46387</v>
      </c>
      <c r="G633" s="41" t="s">
        <v>444</v>
      </c>
      <c r="H633" s="44" t="str">
        <f aca="false">IF(G633="S1",'Cài đặt'!$B$7,'Cài đặt'!$B$8)</f>
        <v>12:00</v>
      </c>
      <c r="I633" s="44" t="str">
        <f aca="false">'Cài đặt'!$B$32</f>
        <v>Carousel</v>
      </c>
      <c r="J633" s="44" t="str">
        <f aca="false">'Cài đặt'!$B$33</f>
        <v>A</v>
      </c>
      <c r="K633" s="41" t="s">
        <v>445</v>
      </c>
      <c r="L633" s="42" t="str">
        <f aca="false">C633&amp;"_"&amp;B633&amp;"_"&amp;IF(I633="Reel","R",IF(I633="Carousel","C","I"))&amp;"_"&amp;J633&amp;"_"&amp;IF(K633="AI tự động","AI","HU")&amp;"_"&amp;RIGHT(A633,3)</f>
        <v>P3_EXP3_C_A_AI_021</v>
      </c>
      <c r="M633" s="45"/>
      <c r="N633" s="45"/>
      <c r="O633" s="46"/>
      <c r="P633" s="46"/>
      <c r="Q633" s="46"/>
      <c r="R633" s="47"/>
      <c r="S633" s="45"/>
      <c r="T633" s="45"/>
      <c r="U633" s="48" t="str">
        <f aca="false">IF(O633&gt;0,P633/O633,"")</f>
        <v/>
      </c>
      <c r="V633" s="49" t="str">
        <f aca="false">IF(P633&gt;0,Q633/P633,"")</f>
        <v/>
      </c>
      <c r="W633" s="50" t="n">
        <f aca="false">IF(R633&lt;&gt;"",R633,Q633*'Cài đặt'!$B$12)</f>
        <v>0</v>
      </c>
      <c r="X633" s="50" t="str">
        <f aca="false">IF(O633&gt;0,W633/O633*1000,"")</f>
        <v/>
      </c>
      <c r="Y633" s="51" t="n">
        <f aca="false">IF(T633&lt;&gt;"",T633,INDEX('Cài đặt'!$B$20:$C$22,MATCH(I633,'Cài đặt'!$A$20:$A$22,0),IF(K633="AI tự động",1,2)))</f>
        <v>4</v>
      </c>
    </row>
    <row r="634" customFormat="false" ht="15" hidden="false" customHeight="false" outlineLevel="0" collapsed="false">
      <c r="A634" s="41" t="s">
        <v>1084</v>
      </c>
      <c r="B634" s="41" t="s">
        <v>958</v>
      </c>
      <c r="C634" s="41" t="s">
        <v>171</v>
      </c>
      <c r="D634" s="42" t="str">
        <f aca="false">INDEX('Page và Ngách'!$B$5:$B$10,MATCH(C634,'Page và Ngách'!$A$5:$A$10,0))</f>
        <v>Contract marriage / Fake relationship</v>
      </c>
      <c r="E634" s="41" t="n">
        <v>11</v>
      </c>
      <c r="F634" s="43" t="n">
        <f aca="false">'Cài đặt'!$B$39+E634-1</f>
        <v>46387</v>
      </c>
      <c r="G634" s="41" t="s">
        <v>451</v>
      </c>
      <c r="H634" s="44" t="str">
        <f aca="false">IF(G634="S1",'Cài đặt'!$B$7,'Cài đặt'!$B$8)</f>
        <v>20:00</v>
      </c>
      <c r="I634" s="44" t="str">
        <f aca="false">'Cài đặt'!$B$32</f>
        <v>Carousel</v>
      </c>
      <c r="J634" s="44" t="str">
        <f aca="false">'Cài đặt'!$B$33</f>
        <v>A</v>
      </c>
      <c r="K634" s="41" t="s">
        <v>445</v>
      </c>
      <c r="L634" s="42" t="str">
        <f aca="false">C634&amp;"_"&amp;B634&amp;"_"&amp;IF(I634="Reel","R",IF(I634="Carousel","C","I"))&amp;"_"&amp;J634&amp;"_"&amp;IF(K634="AI tự động","AI","HU")&amp;"_"&amp;RIGHT(A634,3)</f>
        <v>P3_EXP3_C_A_AI_022</v>
      </c>
      <c r="M634" s="45"/>
      <c r="N634" s="45"/>
      <c r="O634" s="46"/>
      <c r="P634" s="46"/>
      <c r="Q634" s="46"/>
      <c r="R634" s="47"/>
      <c r="S634" s="45"/>
      <c r="T634" s="45"/>
      <c r="U634" s="48" t="str">
        <f aca="false">IF(O634&gt;0,P634/O634,"")</f>
        <v/>
      </c>
      <c r="V634" s="49" t="str">
        <f aca="false">IF(P634&gt;0,Q634/P634,"")</f>
        <v/>
      </c>
      <c r="W634" s="50" t="n">
        <f aca="false">IF(R634&lt;&gt;"",R634,Q634*'Cài đặt'!$B$12)</f>
        <v>0</v>
      </c>
      <c r="X634" s="50" t="str">
        <f aca="false">IF(O634&gt;0,W634/O634*1000,"")</f>
        <v/>
      </c>
      <c r="Y634" s="51" t="n">
        <f aca="false">IF(T634&lt;&gt;"",T634,INDEX('Cài đặt'!$B$20:$C$22,MATCH(I634,'Cài đặt'!$A$20:$A$22,0),IF(K634="AI tự động",1,2)))</f>
        <v>4</v>
      </c>
    </row>
    <row r="635" customFormat="false" ht="15" hidden="false" customHeight="false" outlineLevel="0" collapsed="false">
      <c r="A635" s="41" t="s">
        <v>1085</v>
      </c>
      <c r="B635" s="41" t="s">
        <v>958</v>
      </c>
      <c r="C635" s="41" t="s">
        <v>178</v>
      </c>
      <c r="D635" s="42" t="str">
        <f aca="false">INDEX('Page và Ngách'!$B$5:$B$10,MATCH(C635,'Page và Ngách'!$A$5:$A$10,0))</f>
        <v>Revenge / Betrayal ("you'll regret it")</v>
      </c>
      <c r="E635" s="41" t="n">
        <v>11</v>
      </c>
      <c r="F635" s="43" t="n">
        <f aca="false">'Cài đặt'!$B$39+E635-1</f>
        <v>46387</v>
      </c>
      <c r="G635" s="41" t="s">
        <v>444</v>
      </c>
      <c r="H635" s="44" t="str">
        <f aca="false">IF(G635="S1",'Cài đặt'!$B$7,'Cài đặt'!$B$8)</f>
        <v>12:00</v>
      </c>
      <c r="I635" s="44" t="str">
        <f aca="false">'Cài đặt'!$B$32</f>
        <v>Carousel</v>
      </c>
      <c r="J635" s="44" t="str">
        <f aca="false">'Cài đặt'!$B$33</f>
        <v>A</v>
      </c>
      <c r="K635" s="41" t="s">
        <v>445</v>
      </c>
      <c r="L635" s="42" t="str">
        <f aca="false">C635&amp;"_"&amp;B635&amp;"_"&amp;IF(I635="Reel","R",IF(I635="Carousel","C","I"))&amp;"_"&amp;J635&amp;"_"&amp;IF(K635="AI tự động","AI","HU")&amp;"_"&amp;RIGHT(A635,3)</f>
        <v>P4_EXP3_C_A_AI_021</v>
      </c>
      <c r="M635" s="45"/>
      <c r="N635" s="45"/>
      <c r="O635" s="46"/>
      <c r="P635" s="46"/>
      <c r="Q635" s="46"/>
      <c r="R635" s="47"/>
      <c r="S635" s="45"/>
      <c r="T635" s="45"/>
      <c r="U635" s="48" t="str">
        <f aca="false">IF(O635&gt;0,P635/O635,"")</f>
        <v/>
      </c>
      <c r="V635" s="49" t="str">
        <f aca="false">IF(P635&gt;0,Q635/P635,"")</f>
        <v/>
      </c>
      <c r="W635" s="50" t="n">
        <f aca="false">IF(R635&lt;&gt;"",R635,Q635*'Cài đặt'!$B$12)</f>
        <v>0</v>
      </c>
      <c r="X635" s="50" t="str">
        <f aca="false">IF(O635&gt;0,W635/O635*1000,"")</f>
        <v/>
      </c>
      <c r="Y635" s="51" t="n">
        <f aca="false">IF(T635&lt;&gt;"",T635,INDEX('Cài đặt'!$B$20:$C$22,MATCH(I635,'Cài đặt'!$A$20:$A$22,0),IF(K635="AI tự động",1,2)))</f>
        <v>4</v>
      </c>
    </row>
    <row r="636" customFormat="false" ht="15" hidden="false" customHeight="false" outlineLevel="0" collapsed="false">
      <c r="A636" s="41" t="s">
        <v>1086</v>
      </c>
      <c r="B636" s="41" t="s">
        <v>958</v>
      </c>
      <c r="C636" s="41" t="s">
        <v>178</v>
      </c>
      <c r="D636" s="42" t="str">
        <f aca="false">INDEX('Page và Ngách'!$B$5:$B$10,MATCH(C636,'Page và Ngách'!$A$5:$A$10,0))</f>
        <v>Revenge / Betrayal ("you'll regret it")</v>
      </c>
      <c r="E636" s="41" t="n">
        <v>11</v>
      </c>
      <c r="F636" s="43" t="n">
        <f aca="false">'Cài đặt'!$B$39+E636-1</f>
        <v>46387</v>
      </c>
      <c r="G636" s="41" t="s">
        <v>451</v>
      </c>
      <c r="H636" s="44" t="str">
        <f aca="false">IF(G636="S1",'Cài đặt'!$B$7,'Cài đặt'!$B$8)</f>
        <v>20:00</v>
      </c>
      <c r="I636" s="44" t="str">
        <f aca="false">'Cài đặt'!$B$32</f>
        <v>Carousel</v>
      </c>
      <c r="J636" s="44" t="str">
        <f aca="false">'Cài đặt'!$B$33</f>
        <v>A</v>
      </c>
      <c r="K636" s="41" t="s">
        <v>961</v>
      </c>
      <c r="L636" s="42" t="str">
        <f aca="false">C636&amp;"_"&amp;B636&amp;"_"&amp;IF(I636="Reel","R",IF(I636="Carousel","C","I"))&amp;"_"&amp;J636&amp;"_"&amp;IF(K636="AI tự động","AI","HU")&amp;"_"&amp;RIGHT(A636,3)</f>
        <v>P4_EXP3_C_A_HU_022</v>
      </c>
      <c r="M636" s="45"/>
      <c r="N636" s="45"/>
      <c r="O636" s="46"/>
      <c r="P636" s="46"/>
      <c r="Q636" s="46"/>
      <c r="R636" s="47"/>
      <c r="S636" s="45"/>
      <c r="T636" s="45"/>
      <c r="U636" s="48" t="str">
        <f aca="false">IF(O636&gt;0,P636/O636,"")</f>
        <v/>
      </c>
      <c r="V636" s="49" t="str">
        <f aca="false">IF(P636&gt;0,Q636/P636,"")</f>
        <v/>
      </c>
      <c r="W636" s="50" t="n">
        <f aca="false">IF(R636&lt;&gt;"",R636,Q636*'Cài đặt'!$B$12)</f>
        <v>0</v>
      </c>
      <c r="X636" s="50" t="str">
        <f aca="false">IF(O636&gt;0,W636/O636*1000,"")</f>
        <v/>
      </c>
      <c r="Y636" s="51" t="n">
        <f aca="false">IF(T636&lt;&gt;"",T636,INDEX('Cài đặt'!$B$20:$C$22,MATCH(I636,'Cài đặt'!$A$20:$A$22,0),IF(K636="AI tự động",1,2)))</f>
        <v>25</v>
      </c>
    </row>
    <row r="637" customFormat="false" ht="15" hidden="false" customHeight="false" outlineLevel="0" collapsed="false">
      <c r="A637" s="41" t="s">
        <v>1087</v>
      </c>
      <c r="B637" s="41" t="s">
        <v>958</v>
      </c>
      <c r="C637" s="41" t="s">
        <v>185</v>
      </c>
      <c r="D637" s="42" t="str">
        <f aca="false">INDEX('Page và Ngách'!$B$5:$B$10,MATCH(C637,'Page và Ngách'!$A$5:$A$10,0))</f>
        <v>Mafia / Dark romance (teaser PG-13)</v>
      </c>
      <c r="E637" s="41" t="n">
        <v>11</v>
      </c>
      <c r="F637" s="43" t="n">
        <f aca="false">'Cài đặt'!$B$39+E637-1</f>
        <v>46387</v>
      </c>
      <c r="G637" s="41" t="s">
        <v>444</v>
      </c>
      <c r="H637" s="44" t="str">
        <f aca="false">IF(G637="S1",'Cài đặt'!$B$7,'Cài đặt'!$B$8)</f>
        <v>12:00</v>
      </c>
      <c r="I637" s="44" t="str">
        <f aca="false">'Cài đặt'!$B$32</f>
        <v>Carousel</v>
      </c>
      <c r="J637" s="44" t="str">
        <f aca="false">'Cài đặt'!$B$33</f>
        <v>A</v>
      </c>
      <c r="K637" s="41" t="s">
        <v>445</v>
      </c>
      <c r="L637" s="42" t="str">
        <f aca="false">C637&amp;"_"&amp;B637&amp;"_"&amp;IF(I637="Reel","R",IF(I637="Carousel","C","I"))&amp;"_"&amp;J637&amp;"_"&amp;IF(K637="AI tự động","AI","HU")&amp;"_"&amp;RIGHT(A637,3)</f>
        <v>P5_EXP3_C_A_AI_021</v>
      </c>
      <c r="M637" s="45"/>
      <c r="N637" s="45"/>
      <c r="O637" s="46"/>
      <c r="P637" s="46"/>
      <c r="Q637" s="46"/>
      <c r="R637" s="47"/>
      <c r="S637" s="45"/>
      <c r="T637" s="45"/>
      <c r="U637" s="48" t="str">
        <f aca="false">IF(O637&gt;0,P637/O637,"")</f>
        <v/>
      </c>
      <c r="V637" s="49" t="str">
        <f aca="false">IF(P637&gt;0,Q637/P637,"")</f>
        <v/>
      </c>
      <c r="W637" s="50" t="n">
        <f aca="false">IF(R637&lt;&gt;"",R637,Q637*'Cài đặt'!$B$12)</f>
        <v>0</v>
      </c>
      <c r="X637" s="50" t="str">
        <f aca="false">IF(O637&gt;0,W637/O637*1000,"")</f>
        <v/>
      </c>
      <c r="Y637" s="51" t="n">
        <f aca="false">IF(T637&lt;&gt;"",T637,INDEX('Cài đặt'!$B$20:$C$22,MATCH(I637,'Cài đặt'!$A$20:$A$22,0),IF(K637="AI tự động",1,2)))</f>
        <v>4</v>
      </c>
    </row>
    <row r="638" customFormat="false" ht="15" hidden="false" customHeight="false" outlineLevel="0" collapsed="false">
      <c r="A638" s="41" t="s">
        <v>1088</v>
      </c>
      <c r="B638" s="41" t="s">
        <v>958</v>
      </c>
      <c r="C638" s="41" t="s">
        <v>185</v>
      </c>
      <c r="D638" s="42" t="str">
        <f aca="false">INDEX('Page và Ngách'!$B$5:$B$10,MATCH(C638,'Page và Ngách'!$A$5:$A$10,0))</f>
        <v>Mafia / Dark romance (teaser PG-13)</v>
      </c>
      <c r="E638" s="41" t="n">
        <v>11</v>
      </c>
      <c r="F638" s="43" t="n">
        <f aca="false">'Cài đặt'!$B$39+E638-1</f>
        <v>46387</v>
      </c>
      <c r="G638" s="41" t="s">
        <v>451</v>
      </c>
      <c r="H638" s="44" t="str">
        <f aca="false">IF(G638="S1",'Cài đặt'!$B$7,'Cài đặt'!$B$8)</f>
        <v>20:00</v>
      </c>
      <c r="I638" s="44" t="str">
        <f aca="false">'Cài đặt'!$B$32</f>
        <v>Carousel</v>
      </c>
      <c r="J638" s="44" t="str">
        <f aca="false">'Cài đặt'!$B$33</f>
        <v>A</v>
      </c>
      <c r="K638" s="41" t="s">
        <v>445</v>
      </c>
      <c r="L638" s="42" t="str">
        <f aca="false">C638&amp;"_"&amp;B638&amp;"_"&amp;IF(I638="Reel","R",IF(I638="Carousel","C","I"))&amp;"_"&amp;J638&amp;"_"&amp;IF(K638="AI tự động","AI","HU")&amp;"_"&amp;RIGHT(A638,3)</f>
        <v>P5_EXP3_C_A_AI_022</v>
      </c>
      <c r="M638" s="45"/>
      <c r="N638" s="45"/>
      <c r="O638" s="46"/>
      <c r="P638" s="46"/>
      <c r="Q638" s="46"/>
      <c r="R638" s="47"/>
      <c r="S638" s="45"/>
      <c r="T638" s="45"/>
      <c r="U638" s="48" t="str">
        <f aca="false">IF(O638&gt;0,P638/O638,"")</f>
        <v/>
      </c>
      <c r="V638" s="49" t="str">
        <f aca="false">IF(P638&gt;0,Q638/P638,"")</f>
        <v/>
      </c>
      <c r="W638" s="50" t="n">
        <f aca="false">IF(R638&lt;&gt;"",R638,Q638*'Cài đặt'!$B$12)</f>
        <v>0</v>
      </c>
      <c r="X638" s="50" t="str">
        <f aca="false">IF(O638&gt;0,W638/O638*1000,"")</f>
        <v/>
      </c>
      <c r="Y638" s="51" t="n">
        <f aca="false">IF(T638&lt;&gt;"",T638,INDEX('Cài đặt'!$B$20:$C$22,MATCH(I638,'Cài đặt'!$A$20:$A$22,0),IF(K638="AI tự động",1,2)))</f>
        <v>4</v>
      </c>
    </row>
    <row r="639" customFormat="false" ht="15" hidden="false" customHeight="false" outlineLevel="0" collapsed="false">
      <c r="A639" s="41" t="s">
        <v>1089</v>
      </c>
      <c r="B639" s="41" t="s">
        <v>958</v>
      </c>
      <c r="C639" s="41" t="s">
        <v>193</v>
      </c>
      <c r="D639" s="42" t="str">
        <f aca="false">INDEX('Page và Ngách'!$B$5:$B$10,MATCH(C639,'Page và Ngách'!$A$5:$A$10,0))</f>
        <v>Second chance / Secret baby</v>
      </c>
      <c r="E639" s="41" t="n">
        <v>11</v>
      </c>
      <c r="F639" s="43" t="n">
        <f aca="false">'Cài đặt'!$B$39+E639-1</f>
        <v>46387</v>
      </c>
      <c r="G639" s="41" t="s">
        <v>444</v>
      </c>
      <c r="H639" s="44" t="str">
        <f aca="false">IF(G639="S1",'Cài đặt'!$B$7,'Cài đặt'!$B$8)</f>
        <v>12:00</v>
      </c>
      <c r="I639" s="44" t="str">
        <f aca="false">'Cài đặt'!$B$32</f>
        <v>Carousel</v>
      </c>
      <c r="J639" s="44" t="str">
        <f aca="false">'Cài đặt'!$B$33</f>
        <v>A</v>
      </c>
      <c r="K639" s="41" t="s">
        <v>445</v>
      </c>
      <c r="L639" s="42" t="str">
        <f aca="false">C639&amp;"_"&amp;B639&amp;"_"&amp;IF(I639="Reel","R",IF(I639="Carousel","C","I"))&amp;"_"&amp;J639&amp;"_"&amp;IF(K639="AI tự động","AI","HU")&amp;"_"&amp;RIGHT(A639,3)</f>
        <v>P6_EXP3_C_A_AI_021</v>
      </c>
      <c r="M639" s="45"/>
      <c r="N639" s="45"/>
      <c r="O639" s="46"/>
      <c r="P639" s="46"/>
      <c r="Q639" s="46"/>
      <c r="R639" s="47"/>
      <c r="S639" s="45"/>
      <c r="T639" s="45"/>
      <c r="U639" s="48" t="str">
        <f aca="false">IF(O639&gt;0,P639/O639,"")</f>
        <v/>
      </c>
      <c r="V639" s="49" t="str">
        <f aca="false">IF(P639&gt;0,Q639/P639,"")</f>
        <v/>
      </c>
      <c r="W639" s="50" t="n">
        <f aca="false">IF(R639&lt;&gt;"",R639,Q639*'Cài đặt'!$B$12)</f>
        <v>0</v>
      </c>
      <c r="X639" s="50" t="str">
        <f aca="false">IF(O639&gt;0,W639/O639*1000,"")</f>
        <v/>
      </c>
      <c r="Y639" s="51" t="n">
        <f aca="false">IF(T639&lt;&gt;"",T639,INDEX('Cài đặt'!$B$20:$C$22,MATCH(I639,'Cài đặt'!$A$20:$A$22,0),IF(K639="AI tự động",1,2)))</f>
        <v>4</v>
      </c>
    </row>
    <row r="640" customFormat="false" ht="15" hidden="false" customHeight="false" outlineLevel="0" collapsed="false">
      <c r="A640" s="41" t="s">
        <v>1090</v>
      </c>
      <c r="B640" s="41" t="s">
        <v>958</v>
      </c>
      <c r="C640" s="41" t="s">
        <v>193</v>
      </c>
      <c r="D640" s="42" t="str">
        <f aca="false">INDEX('Page và Ngách'!$B$5:$B$10,MATCH(C640,'Page và Ngách'!$A$5:$A$10,0))</f>
        <v>Second chance / Secret baby</v>
      </c>
      <c r="E640" s="41" t="n">
        <v>11</v>
      </c>
      <c r="F640" s="43" t="n">
        <f aca="false">'Cài đặt'!$B$39+E640-1</f>
        <v>46387</v>
      </c>
      <c r="G640" s="41" t="s">
        <v>451</v>
      </c>
      <c r="H640" s="44" t="str">
        <f aca="false">IF(G640="S1",'Cài đặt'!$B$7,'Cài đặt'!$B$8)</f>
        <v>20:00</v>
      </c>
      <c r="I640" s="44" t="str">
        <f aca="false">'Cài đặt'!$B$32</f>
        <v>Carousel</v>
      </c>
      <c r="J640" s="44" t="str">
        <f aca="false">'Cài đặt'!$B$33</f>
        <v>A</v>
      </c>
      <c r="K640" s="41" t="s">
        <v>445</v>
      </c>
      <c r="L640" s="42" t="str">
        <f aca="false">C640&amp;"_"&amp;B640&amp;"_"&amp;IF(I640="Reel","R",IF(I640="Carousel","C","I"))&amp;"_"&amp;J640&amp;"_"&amp;IF(K640="AI tự động","AI","HU")&amp;"_"&amp;RIGHT(A640,3)</f>
        <v>P6_EXP3_C_A_AI_022</v>
      </c>
      <c r="M640" s="45"/>
      <c r="N640" s="45"/>
      <c r="O640" s="46"/>
      <c r="P640" s="46"/>
      <c r="Q640" s="46"/>
      <c r="R640" s="47"/>
      <c r="S640" s="45"/>
      <c r="T640" s="45"/>
      <c r="U640" s="48" t="str">
        <f aca="false">IF(O640&gt;0,P640/O640,"")</f>
        <v/>
      </c>
      <c r="V640" s="49" t="str">
        <f aca="false">IF(P640&gt;0,Q640/P640,"")</f>
        <v/>
      </c>
      <c r="W640" s="50" t="n">
        <f aca="false">IF(R640&lt;&gt;"",R640,Q640*'Cài đặt'!$B$12)</f>
        <v>0</v>
      </c>
      <c r="X640" s="50" t="str">
        <f aca="false">IF(O640&gt;0,W640/O640*1000,"")</f>
        <v/>
      </c>
      <c r="Y640" s="51" t="n">
        <f aca="false">IF(T640&lt;&gt;"",T640,INDEX('Cài đặt'!$B$20:$C$22,MATCH(I640,'Cài đặt'!$A$20:$A$22,0),IF(K640="AI tự động",1,2)))</f>
        <v>4</v>
      </c>
    </row>
    <row r="641" customFormat="false" ht="15" hidden="false" customHeight="false" outlineLevel="0" collapsed="false">
      <c r="A641" s="41" t="s">
        <v>1091</v>
      </c>
      <c r="B641" s="41" t="s">
        <v>958</v>
      </c>
      <c r="C641" s="41" t="s">
        <v>154</v>
      </c>
      <c r="D641" s="42" t="str">
        <f aca="false">INDEX('Page và Ngách'!$B$5:$B$10,MATCH(C641,'Page và Ngách'!$A$5:$A$10,0))</f>
        <v>Werewolf / Rejected mate</v>
      </c>
      <c r="E641" s="41" t="n">
        <v>12</v>
      </c>
      <c r="F641" s="43" t="n">
        <f aca="false">'Cài đặt'!$B$39+E641-1</f>
        <v>46388</v>
      </c>
      <c r="G641" s="41" t="s">
        <v>444</v>
      </c>
      <c r="H641" s="44" t="str">
        <f aca="false">IF(G641="S1",'Cài đặt'!$B$7,'Cài đặt'!$B$8)</f>
        <v>12:00</v>
      </c>
      <c r="I641" s="44" t="str">
        <f aca="false">'Cài đặt'!$B$32</f>
        <v>Carousel</v>
      </c>
      <c r="J641" s="44" t="str">
        <f aca="false">'Cài đặt'!$B$33</f>
        <v>A</v>
      </c>
      <c r="K641" s="41" t="s">
        <v>961</v>
      </c>
      <c r="L641" s="42" t="str">
        <f aca="false">C641&amp;"_"&amp;B641&amp;"_"&amp;IF(I641="Reel","R",IF(I641="Carousel","C","I"))&amp;"_"&amp;J641&amp;"_"&amp;IF(K641="AI tự động","AI","HU")&amp;"_"&amp;RIGHT(A641,3)</f>
        <v>P1_EXP3_C_A_HU_023</v>
      </c>
      <c r="M641" s="45"/>
      <c r="N641" s="45"/>
      <c r="O641" s="46"/>
      <c r="P641" s="46"/>
      <c r="Q641" s="46"/>
      <c r="R641" s="47"/>
      <c r="S641" s="45"/>
      <c r="T641" s="45"/>
      <c r="U641" s="48" t="str">
        <f aca="false">IF(O641&gt;0,P641/O641,"")</f>
        <v/>
      </c>
      <c r="V641" s="49" t="str">
        <f aca="false">IF(P641&gt;0,Q641/P641,"")</f>
        <v/>
      </c>
      <c r="W641" s="50" t="n">
        <f aca="false">IF(R641&lt;&gt;"",R641,Q641*'Cài đặt'!$B$12)</f>
        <v>0</v>
      </c>
      <c r="X641" s="50" t="str">
        <f aca="false">IF(O641&gt;0,W641/O641*1000,"")</f>
        <v/>
      </c>
      <c r="Y641" s="51" t="n">
        <f aca="false">IF(T641&lt;&gt;"",T641,INDEX('Cài đặt'!$B$20:$C$22,MATCH(I641,'Cài đặt'!$A$20:$A$22,0),IF(K641="AI tự động",1,2)))</f>
        <v>25</v>
      </c>
    </row>
    <row r="642" customFormat="false" ht="15" hidden="false" customHeight="false" outlineLevel="0" collapsed="false">
      <c r="A642" s="41" t="s">
        <v>1092</v>
      </c>
      <c r="B642" s="41" t="s">
        <v>958</v>
      </c>
      <c r="C642" s="41" t="s">
        <v>154</v>
      </c>
      <c r="D642" s="42" t="str">
        <f aca="false">INDEX('Page và Ngách'!$B$5:$B$10,MATCH(C642,'Page và Ngách'!$A$5:$A$10,0))</f>
        <v>Werewolf / Rejected mate</v>
      </c>
      <c r="E642" s="41" t="n">
        <v>12</v>
      </c>
      <c r="F642" s="43" t="n">
        <f aca="false">'Cài đặt'!$B$39+E642-1</f>
        <v>46388</v>
      </c>
      <c r="G642" s="41" t="s">
        <v>451</v>
      </c>
      <c r="H642" s="44" t="str">
        <f aca="false">IF(G642="S1",'Cài đặt'!$B$7,'Cài đặt'!$B$8)</f>
        <v>20:00</v>
      </c>
      <c r="I642" s="44" t="str">
        <f aca="false">'Cài đặt'!$B$32</f>
        <v>Carousel</v>
      </c>
      <c r="J642" s="44" t="str">
        <f aca="false">'Cài đặt'!$B$33</f>
        <v>A</v>
      </c>
      <c r="K642" s="41" t="s">
        <v>445</v>
      </c>
      <c r="L642" s="42" t="str">
        <f aca="false">C642&amp;"_"&amp;B642&amp;"_"&amp;IF(I642="Reel","R",IF(I642="Carousel","C","I"))&amp;"_"&amp;J642&amp;"_"&amp;IF(K642="AI tự động","AI","HU")&amp;"_"&amp;RIGHT(A642,3)</f>
        <v>P1_EXP3_C_A_AI_024</v>
      </c>
      <c r="M642" s="45"/>
      <c r="N642" s="45"/>
      <c r="O642" s="46"/>
      <c r="P642" s="46"/>
      <c r="Q642" s="46"/>
      <c r="R642" s="47"/>
      <c r="S642" s="45"/>
      <c r="T642" s="45"/>
      <c r="U642" s="48" t="str">
        <f aca="false">IF(O642&gt;0,P642/O642,"")</f>
        <v/>
      </c>
      <c r="V642" s="49" t="str">
        <f aca="false">IF(P642&gt;0,Q642/P642,"")</f>
        <v/>
      </c>
      <c r="W642" s="50" t="n">
        <f aca="false">IF(R642&lt;&gt;"",R642,Q642*'Cài đặt'!$B$12)</f>
        <v>0</v>
      </c>
      <c r="X642" s="50" t="str">
        <f aca="false">IF(O642&gt;0,W642/O642*1000,"")</f>
        <v/>
      </c>
      <c r="Y642" s="51" t="n">
        <f aca="false">IF(T642&lt;&gt;"",T642,INDEX('Cài đặt'!$B$20:$C$22,MATCH(I642,'Cài đặt'!$A$20:$A$22,0),IF(K642="AI tự động",1,2)))</f>
        <v>4</v>
      </c>
    </row>
    <row r="643" customFormat="false" ht="15" hidden="false" customHeight="false" outlineLevel="0" collapsed="false">
      <c r="A643" s="41" t="s">
        <v>1093</v>
      </c>
      <c r="B643" s="41" t="s">
        <v>958</v>
      </c>
      <c r="C643" s="41" t="s">
        <v>163</v>
      </c>
      <c r="D643" s="42" t="str">
        <f aca="false">INDEX('Page và Ngách'!$B$5:$B$10,MATCH(C643,'Page và Ngách'!$A$5:$A$10,0))</f>
        <v>Secret billionaire / CEO</v>
      </c>
      <c r="E643" s="41" t="n">
        <v>12</v>
      </c>
      <c r="F643" s="43" t="n">
        <f aca="false">'Cài đặt'!$B$39+E643-1</f>
        <v>46388</v>
      </c>
      <c r="G643" s="41" t="s">
        <v>444</v>
      </c>
      <c r="H643" s="44" t="str">
        <f aca="false">IF(G643="S1",'Cài đặt'!$B$7,'Cài đặt'!$B$8)</f>
        <v>12:00</v>
      </c>
      <c r="I643" s="44" t="str">
        <f aca="false">'Cài đặt'!$B$32</f>
        <v>Carousel</v>
      </c>
      <c r="J643" s="44" t="str">
        <f aca="false">'Cài đặt'!$B$33</f>
        <v>A</v>
      </c>
      <c r="K643" s="41" t="s">
        <v>445</v>
      </c>
      <c r="L643" s="42" t="str">
        <f aca="false">C643&amp;"_"&amp;B643&amp;"_"&amp;IF(I643="Reel","R",IF(I643="Carousel","C","I"))&amp;"_"&amp;J643&amp;"_"&amp;IF(K643="AI tự động","AI","HU")&amp;"_"&amp;RIGHT(A643,3)</f>
        <v>P2_EXP3_C_A_AI_023</v>
      </c>
      <c r="M643" s="45"/>
      <c r="N643" s="45"/>
      <c r="O643" s="46"/>
      <c r="P643" s="46"/>
      <c r="Q643" s="46"/>
      <c r="R643" s="47"/>
      <c r="S643" s="45"/>
      <c r="T643" s="45"/>
      <c r="U643" s="48" t="str">
        <f aca="false">IF(O643&gt;0,P643/O643,"")</f>
        <v/>
      </c>
      <c r="V643" s="49" t="str">
        <f aca="false">IF(P643&gt;0,Q643/P643,"")</f>
        <v/>
      </c>
      <c r="W643" s="50" t="n">
        <f aca="false">IF(R643&lt;&gt;"",R643,Q643*'Cài đặt'!$B$12)</f>
        <v>0</v>
      </c>
      <c r="X643" s="50" t="str">
        <f aca="false">IF(O643&gt;0,W643/O643*1000,"")</f>
        <v/>
      </c>
      <c r="Y643" s="51" t="n">
        <f aca="false">IF(T643&lt;&gt;"",T643,INDEX('Cài đặt'!$B$20:$C$22,MATCH(I643,'Cài đặt'!$A$20:$A$22,0),IF(K643="AI tự động",1,2)))</f>
        <v>4</v>
      </c>
    </row>
    <row r="644" customFormat="false" ht="15" hidden="false" customHeight="false" outlineLevel="0" collapsed="false">
      <c r="A644" s="41" t="s">
        <v>1094</v>
      </c>
      <c r="B644" s="41" t="s">
        <v>958</v>
      </c>
      <c r="C644" s="41" t="s">
        <v>163</v>
      </c>
      <c r="D644" s="42" t="str">
        <f aca="false">INDEX('Page và Ngách'!$B$5:$B$10,MATCH(C644,'Page và Ngách'!$A$5:$A$10,0))</f>
        <v>Secret billionaire / CEO</v>
      </c>
      <c r="E644" s="41" t="n">
        <v>12</v>
      </c>
      <c r="F644" s="43" t="n">
        <f aca="false">'Cài đặt'!$B$39+E644-1</f>
        <v>46388</v>
      </c>
      <c r="G644" s="41" t="s">
        <v>451</v>
      </c>
      <c r="H644" s="44" t="str">
        <f aca="false">IF(G644="S1",'Cài đặt'!$B$7,'Cài đặt'!$B$8)</f>
        <v>20:00</v>
      </c>
      <c r="I644" s="44" t="str">
        <f aca="false">'Cài đặt'!$B$32</f>
        <v>Carousel</v>
      </c>
      <c r="J644" s="44" t="str">
        <f aca="false">'Cài đặt'!$B$33</f>
        <v>A</v>
      </c>
      <c r="K644" s="41" t="s">
        <v>445</v>
      </c>
      <c r="L644" s="42" t="str">
        <f aca="false">C644&amp;"_"&amp;B644&amp;"_"&amp;IF(I644="Reel","R",IF(I644="Carousel","C","I"))&amp;"_"&amp;J644&amp;"_"&amp;IF(K644="AI tự động","AI","HU")&amp;"_"&amp;RIGHT(A644,3)</f>
        <v>P2_EXP3_C_A_AI_024</v>
      </c>
      <c r="M644" s="45"/>
      <c r="N644" s="45"/>
      <c r="O644" s="46"/>
      <c r="P644" s="46"/>
      <c r="Q644" s="46"/>
      <c r="R644" s="47"/>
      <c r="S644" s="45"/>
      <c r="T644" s="45"/>
      <c r="U644" s="48" t="str">
        <f aca="false">IF(O644&gt;0,P644/O644,"")</f>
        <v/>
      </c>
      <c r="V644" s="49" t="str">
        <f aca="false">IF(P644&gt;0,Q644/P644,"")</f>
        <v/>
      </c>
      <c r="W644" s="50" t="n">
        <f aca="false">IF(R644&lt;&gt;"",R644,Q644*'Cài đặt'!$B$12)</f>
        <v>0</v>
      </c>
      <c r="X644" s="50" t="str">
        <f aca="false">IF(O644&gt;0,W644/O644*1000,"")</f>
        <v/>
      </c>
      <c r="Y644" s="51" t="n">
        <f aca="false">IF(T644&lt;&gt;"",T644,INDEX('Cài đặt'!$B$20:$C$22,MATCH(I644,'Cài đặt'!$A$20:$A$22,0),IF(K644="AI tự động",1,2)))</f>
        <v>4</v>
      </c>
    </row>
    <row r="645" customFormat="false" ht="15" hidden="false" customHeight="false" outlineLevel="0" collapsed="false">
      <c r="A645" s="41" t="s">
        <v>1095</v>
      </c>
      <c r="B645" s="41" t="s">
        <v>958</v>
      </c>
      <c r="C645" s="41" t="s">
        <v>171</v>
      </c>
      <c r="D645" s="42" t="str">
        <f aca="false">INDEX('Page và Ngách'!$B$5:$B$10,MATCH(C645,'Page và Ngách'!$A$5:$A$10,0))</f>
        <v>Contract marriage / Fake relationship</v>
      </c>
      <c r="E645" s="41" t="n">
        <v>12</v>
      </c>
      <c r="F645" s="43" t="n">
        <f aca="false">'Cài đặt'!$B$39+E645-1</f>
        <v>46388</v>
      </c>
      <c r="G645" s="41" t="s">
        <v>444</v>
      </c>
      <c r="H645" s="44" t="str">
        <f aca="false">IF(G645="S1",'Cài đặt'!$B$7,'Cài đặt'!$B$8)</f>
        <v>12:00</v>
      </c>
      <c r="I645" s="44" t="str">
        <f aca="false">'Cài đặt'!$B$32</f>
        <v>Carousel</v>
      </c>
      <c r="J645" s="44" t="str">
        <f aca="false">'Cài đặt'!$B$33</f>
        <v>A</v>
      </c>
      <c r="K645" s="41" t="s">
        <v>445</v>
      </c>
      <c r="L645" s="42" t="str">
        <f aca="false">C645&amp;"_"&amp;B645&amp;"_"&amp;IF(I645="Reel","R",IF(I645="Carousel","C","I"))&amp;"_"&amp;J645&amp;"_"&amp;IF(K645="AI tự động","AI","HU")&amp;"_"&amp;RIGHT(A645,3)</f>
        <v>P3_EXP3_C_A_AI_023</v>
      </c>
      <c r="M645" s="45"/>
      <c r="N645" s="45"/>
      <c r="O645" s="46"/>
      <c r="P645" s="46"/>
      <c r="Q645" s="46"/>
      <c r="R645" s="47"/>
      <c r="S645" s="45"/>
      <c r="T645" s="45"/>
      <c r="U645" s="48" t="str">
        <f aca="false">IF(O645&gt;0,P645/O645,"")</f>
        <v/>
      </c>
      <c r="V645" s="49" t="str">
        <f aca="false">IF(P645&gt;0,Q645/P645,"")</f>
        <v/>
      </c>
      <c r="W645" s="50" t="n">
        <f aca="false">IF(R645&lt;&gt;"",R645,Q645*'Cài đặt'!$B$12)</f>
        <v>0</v>
      </c>
      <c r="X645" s="50" t="str">
        <f aca="false">IF(O645&gt;0,W645/O645*1000,"")</f>
        <v/>
      </c>
      <c r="Y645" s="51" t="n">
        <f aca="false">IF(T645&lt;&gt;"",T645,INDEX('Cài đặt'!$B$20:$C$22,MATCH(I645,'Cài đặt'!$A$20:$A$22,0),IF(K645="AI tự động",1,2)))</f>
        <v>4</v>
      </c>
    </row>
    <row r="646" customFormat="false" ht="15" hidden="false" customHeight="false" outlineLevel="0" collapsed="false">
      <c r="A646" s="41" t="s">
        <v>1096</v>
      </c>
      <c r="B646" s="41" t="s">
        <v>958</v>
      </c>
      <c r="C646" s="41" t="s">
        <v>171</v>
      </c>
      <c r="D646" s="42" t="str">
        <f aca="false">INDEX('Page và Ngách'!$B$5:$B$10,MATCH(C646,'Page và Ngách'!$A$5:$A$10,0))</f>
        <v>Contract marriage / Fake relationship</v>
      </c>
      <c r="E646" s="41" t="n">
        <v>12</v>
      </c>
      <c r="F646" s="43" t="n">
        <f aca="false">'Cài đặt'!$B$39+E646-1</f>
        <v>46388</v>
      </c>
      <c r="G646" s="41" t="s">
        <v>451</v>
      </c>
      <c r="H646" s="44" t="str">
        <f aca="false">IF(G646="S1",'Cài đặt'!$B$7,'Cài đặt'!$B$8)</f>
        <v>20:00</v>
      </c>
      <c r="I646" s="44" t="str">
        <f aca="false">'Cài đặt'!$B$32</f>
        <v>Carousel</v>
      </c>
      <c r="J646" s="44" t="str">
        <f aca="false">'Cài đặt'!$B$33</f>
        <v>A</v>
      </c>
      <c r="K646" s="41" t="s">
        <v>961</v>
      </c>
      <c r="L646" s="42" t="str">
        <f aca="false">C646&amp;"_"&amp;B646&amp;"_"&amp;IF(I646="Reel","R",IF(I646="Carousel","C","I"))&amp;"_"&amp;J646&amp;"_"&amp;IF(K646="AI tự động","AI","HU")&amp;"_"&amp;RIGHT(A646,3)</f>
        <v>P3_EXP3_C_A_HU_024</v>
      </c>
      <c r="M646" s="45"/>
      <c r="N646" s="45"/>
      <c r="O646" s="46"/>
      <c r="P646" s="46"/>
      <c r="Q646" s="46"/>
      <c r="R646" s="47"/>
      <c r="S646" s="45"/>
      <c r="T646" s="45"/>
      <c r="U646" s="48" t="str">
        <f aca="false">IF(O646&gt;0,P646/O646,"")</f>
        <v/>
      </c>
      <c r="V646" s="49" t="str">
        <f aca="false">IF(P646&gt;0,Q646/P646,"")</f>
        <v/>
      </c>
      <c r="W646" s="50" t="n">
        <f aca="false">IF(R646&lt;&gt;"",R646,Q646*'Cài đặt'!$B$12)</f>
        <v>0</v>
      </c>
      <c r="X646" s="50" t="str">
        <f aca="false">IF(O646&gt;0,W646/O646*1000,"")</f>
        <v/>
      </c>
      <c r="Y646" s="51" t="n">
        <f aca="false">IF(T646&lt;&gt;"",T646,INDEX('Cài đặt'!$B$20:$C$22,MATCH(I646,'Cài đặt'!$A$20:$A$22,0),IF(K646="AI tự động",1,2)))</f>
        <v>25</v>
      </c>
    </row>
    <row r="647" customFormat="false" ht="15" hidden="false" customHeight="false" outlineLevel="0" collapsed="false">
      <c r="A647" s="41" t="s">
        <v>1097</v>
      </c>
      <c r="B647" s="41" t="s">
        <v>958</v>
      </c>
      <c r="C647" s="41" t="s">
        <v>178</v>
      </c>
      <c r="D647" s="42" t="str">
        <f aca="false">INDEX('Page và Ngách'!$B$5:$B$10,MATCH(C647,'Page và Ngách'!$A$5:$A$10,0))</f>
        <v>Revenge / Betrayal ("you'll regret it")</v>
      </c>
      <c r="E647" s="41" t="n">
        <v>12</v>
      </c>
      <c r="F647" s="43" t="n">
        <f aca="false">'Cài đặt'!$B$39+E647-1</f>
        <v>46388</v>
      </c>
      <c r="G647" s="41" t="s">
        <v>444</v>
      </c>
      <c r="H647" s="44" t="str">
        <f aca="false">IF(G647="S1",'Cài đặt'!$B$7,'Cài đặt'!$B$8)</f>
        <v>12:00</v>
      </c>
      <c r="I647" s="44" t="str">
        <f aca="false">'Cài đặt'!$B$32</f>
        <v>Carousel</v>
      </c>
      <c r="J647" s="44" t="str">
        <f aca="false">'Cài đặt'!$B$33</f>
        <v>A</v>
      </c>
      <c r="K647" s="41" t="s">
        <v>445</v>
      </c>
      <c r="L647" s="42" t="str">
        <f aca="false">C647&amp;"_"&amp;B647&amp;"_"&amp;IF(I647="Reel","R",IF(I647="Carousel","C","I"))&amp;"_"&amp;J647&amp;"_"&amp;IF(K647="AI tự động","AI","HU")&amp;"_"&amp;RIGHT(A647,3)</f>
        <v>P4_EXP3_C_A_AI_023</v>
      </c>
      <c r="M647" s="45"/>
      <c r="N647" s="45"/>
      <c r="O647" s="46"/>
      <c r="P647" s="46"/>
      <c r="Q647" s="46"/>
      <c r="R647" s="47"/>
      <c r="S647" s="45"/>
      <c r="T647" s="45"/>
      <c r="U647" s="48" t="str">
        <f aca="false">IF(O647&gt;0,P647/O647,"")</f>
        <v/>
      </c>
      <c r="V647" s="49" t="str">
        <f aca="false">IF(P647&gt;0,Q647/P647,"")</f>
        <v/>
      </c>
      <c r="W647" s="50" t="n">
        <f aca="false">IF(R647&lt;&gt;"",R647,Q647*'Cài đặt'!$B$12)</f>
        <v>0</v>
      </c>
      <c r="X647" s="50" t="str">
        <f aca="false">IF(O647&gt;0,W647/O647*1000,"")</f>
        <v/>
      </c>
      <c r="Y647" s="51" t="n">
        <f aca="false">IF(T647&lt;&gt;"",T647,INDEX('Cài đặt'!$B$20:$C$22,MATCH(I647,'Cài đặt'!$A$20:$A$22,0),IF(K647="AI tự động",1,2)))</f>
        <v>4</v>
      </c>
    </row>
    <row r="648" customFormat="false" ht="15" hidden="false" customHeight="false" outlineLevel="0" collapsed="false">
      <c r="A648" s="41" t="s">
        <v>1098</v>
      </c>
      <c r="B648" s="41" t="s">
        <v>958</v>
      </c>
      <c r="C648" s="41" t="s">
        <v>178</v>
      </c>
      <c r="D648" s="42" t="str">
        <f aca="false">INDEX('Page và Ngách'!$B$5:$B$10,MATCH(C648,'Page và Ngách'!$A$5:$A$10,0))</f>
        <v>Revenge / Betrayal ("you'll regret it")</v>
      </c>
      <c r="E648" s="41" t="n">
        <v>12</v>
      </c>
      <c r="F648" s="43" t="n">
        <f aca="false">'Cài đặt'!$B$39+E648-1</f>
        <v>46388</v>
      </c>
      <c r="G648" s="41" t="s">
        <v>451</v>
      </c>
      <c r="H648" s="44" t="str">
        <f aca="false">IF(G648="S1",'Cài đặt'!$B$7,'Cài đặt'!$B$8)</f>
        <v>20:00</v>
      </c>
      <c r="I648" s="44" t="str">
        <f aca="false">'Cài đặt'!$B$32</f>
        <v>Carousel</v>
      </c>
      <c r="J648" s="44" t="str">
        <f aca="false">'Cài đặt'!$B$33</f>
        <v>A</v>
      </c>
      <c r="K648" s="41" t="s">
        <v>445</v>
      </c>
      <c r="L648" s="42" t="str">
        <f aca="false">C648&amp;"_"&amp;B648&amp;"_"&amp;IF(I648="Reel","R",IF(I648="Carousel","C","I"))&amp;"_"&amp;J648&amp;"_"&amp;IF(K648="AI tự động","AI","HU")&amp;"_"&amp;RIGHT(A648,3)</f>
        <v>P4_EXP3_C_A_AI_024</v>
      </c>
      <c r="M648" s="45"/>
      <c r="N648" s="45"/>
      <c r="O648" s="46"/>
      <c r="P648" s="46"/>
      <c r="Q648" s="46"/>
      <c r="R648" s="47"/>
      <c r="S648" s="45"/>
      <c r="T648" s="45"/>
      <c r="U648" s="48" t="str">
        <f aca="false">IF(O648&gt;0,P648/O648,"")</f>
        <v/>
      </c>
      <c r="V648" s="49" t="str">
        <f aca="false">IF(P648&gt;0,Q648/P648,"")</f>
        <v/>
      </c>
      <c r="W648" s="50" t="n">
        <f aca="false">IF(R648&lt;&gt;"",R648,Q648*'Cài đặt'!$B$12)</f>
        <v>0</v>
      </c>
      <c r="X648" s="50" t="str">
        <f aca="false">IF(O648&gt;0,W648/O648*1000,"")</f>
        <v/>
      </c>
      <c r="Y648" s="51" t="n">
        <f aca="false">IF(T648&lt;&gt;"",T648,INDEX('Cài đặt'!$B$20:$C$22,MATCH(I648,'Cài đặt'!$A$20:$A$22,0),IF(K648="AI tự động",1,2)))</f>
        <v>4</v>
      </c>
    </row>
    <row r="649" customFormat="false" ht="15" hidden="false" customHeight="false" outlineLevel="0" collapsed="false">
      <c r="A649" s="41" t="s">
        <v>1099</v>
      </c>
      <c r="B649" s="41" t="s">
        <v>958</v>
      </c>
      <c r="C649" s="41" t="s">
        <v>185</v>
      </c>
      <c r="D649" s="42" t="str">
        <f aca="false">INDEX('Page và Ngách'!$B$5:$B$10,MATCH(C649,'Page và Ngách'!$A$5:$A$10,0))</f>
        <v>Mafia / Dark romance (teaser PG-13)</v>
      </c>
      <c r="E649" s="41" t="n">
        <v>12</v>
      </c>
      <c r="F649" s="43" t="n">
        <f aca="false">'Cài đặt'!$B$39+E649-1</f>
        <v>46388</v>
      </c>
      <c r="G649" s="41" t="s">
        <v>444</v>
      </c>
      <c r="H649" s="44" t="str">
        <f aca="false">IF(G649="S1",'Cài đặt'!$B$7,'Cài đặt'!$B$8)</f>
        <v>12:00</v>
      </c>
      <c r="I649" s="44" t="str">
        <f aca="false">'Cài đặt'!$B$32</f>
        <v>Carousel</v>
      </c>
      <c r="J649" s="44" t="str">
        <f aca="false">'Cài đặt'!$B$33</f>
        <v>A</v>
      </c>
      <c r="K649" s="41" t="s">
        <v>445</v>
      </c>
      <c r="L649" s="42" t="str">
        <f aca="false">C649&amp;"_"&amp;B649&amp;"_"&amp;IF(I649="Reel","R",IF(I649="Carousel","C","I"))&amp;"_"&amp;J649&amp;"_"&amp;IF(K649="AI tự động","AI","HU")&amp;"_"&amp;RIGHT(A649,3)</f>
        <v>P5_EXP3_C_A_AI_023</v>
      </c>
      <c r="M649" s="45"/>
      <c r="N649" s="45"/>
      <c r="O649" s="46"/>
      <c r="P649" s="46"/>
      <c r="Q649" s="46"/>
      <c r="R649" s="47"/>
      <c r="S649" s="45"/>
      <c r="T649" s="45"/>
      <c r="U649" s="48" t="str">
        <f aca="false">IF(O649&gt;0,P649/O649,"")</f>
        <v/>
      </c>
      <c r="V649" s="49" t="str">
        <f aca="false">IF(P649&gt;0,Q649/P649,"")</f>
        <v/>
      </c>
      <c r="W649" s="50" t="n">
        <f aca="false">IF(R649&lt;&gt;"",R649,Q649*'Cài đặt'!$B$12)</f>
        <v>0</v>
      </c>
      <c r="X649" s="50" t="str">
        <f aca="false">IF(O649&gt;0,W649/O649*1000,"")</f>
        <v/>
      </c>
      <c r="Y649" s="51" t="n">
        <f aca="false">IF(T649&lt;&gt;"",T649,INDEX('Cài đặt'!$B$20:$C$22,MATCH(I649,'Cài đặt'!$A$20:$A$22,0),IF(K649="AI tự động",1,2)))</f>
        <v>4</v>
      </c>
    </row>
    <row r="650" customFormat="false" ht="15" hidden="false" customHeight="false" outlineLevel="0" collapsed="false">
      <c r="A650" s="41" t="s">
        <v>1100</v>
      </c>
      <c r="B650" s="41" t="s">
        <v>958</v>
      </c>
      <c r="C650" s="41" t="s">
        <v>185</v>
      </c>
      <c r="D650" s="42" t="str">
        <f aca="false">INDEX('Page và Ngách'!$B$5:$B$10,MATCH(C650,'Page và Ngách'!$A$5:$A$10,0))</f>
        <v>Mafia / Dark romance (teaser PG-13)</v>
      </c>
      <c r="E650" s="41" t="n">
        <v>12</v>
      </c>
      <c r="F650" s="43" t="n">
        <f aca="false">'Cài đặt'!$B$39+E650-1</f>
        <v>46388</v>
      </c>
      <c r="G650" s="41" t="s">
        <v>451</v>
      </c>
      <c r="H650" s="44" t="str">
        <f aca="false">IF(G650="S1",'Cài đặt'!$B$7,'Cài đặt'!$B$8)</f>
        <v>20:00</v>
      </c>
      <c r="I650" s="44" t="str">
        <f aca="false">'Cài đặt'!$B$32</f>
        <v>Carousel</v>
      </c>
      <c r="J650" s="44" t="str">
        <f aca="false">'Cài đặt'!$B$33</f>
        <v>A</v>
      </c>
      <c r="K650" s="41" t="s">
        <v>445</v>
      </c>
      <c r="L650" s="42" t="str">
        <f aca="false">C650&amp;"_"&amp;B650&amp;"_"&amp;IF(I650="Reel","R",IF(I650="Carousel","C","I"))&amp;"_"&amp;J650&amp;"_"&amp;IF(K650="AI tự động","AI","HU")&amp;"_"&amp;RIGHT(A650,3)</f>
        <v>P5_EXP3_C_A_AI_024</v>
      </c>
      <c r="M650" s="45"/>
      <c r="N650" s="45"/>
      <c r="O650" s="46"/>
      <c r="P650" s="46"/>
      <c r="Q650" s="46"/>
      <c r="R650" s="47"/>
      <c r="S650" s="45"/>
      <c r="T650" s="45"/>
      <c r="U650" s="48" t="str">
        <f aca="false">IF(O650&gt;0,P650/O650,"")</f>
        <v/>
      </c>
      <c r="V650" s="49" t="str">
        <f aca="false">IF(P650&gt;0,Q650/P650,"")</f>
        <v/>
      </c>
      <c r="W650" s="50" t="n">
        <f aca="false">IF(R650&lt;&gt;"",R650,Q650*'Cài đặt'!$B$12)</f>
        <v>0</v>
      </c>
      <c r="X650" s="50" t="str">
        <f aca="false">IF(O650&gt;0,W650/O650*1000,"")</f>
        <v/>
      </c>
      <c r="Y650" s="51" t="n">
        <f aca="false">IF(T650&lt;&gt;"",T650,INDEX('Cài đặt'!$B$20:$C$22,MATCH(I650,'Cài đặt'!$A$20:$A$22,0),IF(K650="AI tự động",1,2)))</f>
        <v>4</v>
      </c>
    </row>
    <row r="651" customFormat="false" ht="15" hidden="false" customHeight="false" outlineLevel="0" collapsed="false">
      <c r="A651" s="41" t="s">
        <v>1101</v>
      </c>
      <c r="B651" s="41" t="s">
        <v>958</v>
      </c>
      <c r="C651" s="41" t="s">
        <v>193</v>
      </c>
      <c r="D651" s="42" t="str">
        <f aca="false">INDEX('Page và Ngách'!$B$5:$B$10,MATCH(C651,'Page và Ngách'!$A$5:$A$10,0))</f>
        <v>Second chance / Secret baby</v>
      </c>
      <c r="E651" s="41" t="n">
        <v>12</v>
      </c>
      <c r="F651" s="43" t="n">
        <f aca="false">'Cài đặt'!$B$39+E651-1</f>
        <v>46388</v>
      </c>
      <c r="G651" s="41" t="s">
        <v>444</v>
      </c>
      <c r="H651" s="44" t="str">
        <f aca="false">IF(G651="S1",'Cài đặt'!$B$7,'Cài đặt'!$B$8)</f>
        <v>12:00</v>
      </c>
      <c r="I651" s="44" t="str">
        <f aca="false">'Cài đặt'!$B$32</f>
        <v>Carousel</v>
      </c>
      <c r="J651" s="44" t="str">
        <f aca="false">'Cài đặt'!$B$33</f>
        <v>A</v>
      </c>
      <c r="K651" s="41" t="s">
        <v>961</v>
      </c>
      <c r="L651" s="42" t="str">
        <f aca="false">C651&amp;"_"&amp;B651&amp;"_"&amp;IF(I651="Reel","R",IF(I651="Carousel","C","I"))&amp;"_"&amp;J651&amp;"_"&amp;IF(K651="AI tự động","AI","HU")&amp;"_"&amp;RIGHT(A651,3)</f>
        <v>P6_EXP3_C_A_HU_023</v>
      </c>
      <c r="M651" s="45"/>
      <c r="N651" s="45"/>
      <c r="O651" s="46"/>
      <c r="P651" s="46"/>
      <c r="Q651" s="46"/>
      <c r="R651" s="47"/>
      <c r="S651" s="45"/>
      <c r="T651" s="45"/>
      <c r="U651" s="48" t="str">
        <f aca="false">IF(O651&gt;0,P651/O651,"")</f>
        <v/>
      </c>
      <c r="V651" s="49" t="str">
        <f aca="false">IF(P651&gt;0,Q651/P651,"")</f>
        <v/>
      </c>
      <c r="W651" s="50" t="n">
        <f aca="false">IF(R651&lt;&gt;"",R651,Q651*'Cài đặt'!$B$12)</f>
        <v>0</v>
      </c>
      <c r="X651" s="50" t="str">
        <f aca="false">IF(O651&gt;0,W651/O651*1000,"")</f>
        <v/>
      </c>
      <c r="Y651" s="51" t="n">
        <f aca="false">IF(T651&lt;&gt;"",T651,INDEX('Cài đặt'!$B$20:$C$22,MATCH(I651,'Cài đặt'!$A$20:$A$22,0),IF(K651="AI tự động",1,2)))</f>
        <v>25</v>
      </c>
    </row>
    <row r="652" customFormat="false" ht="15" hidden="false" customHeight="false" outlineLevel="0" collapsed="false">
      <c r="A652" s="41" t="s">
        <v>1102</v>
      </c>
      <c r="B652" s="41" t="s">
        <v>958</v>
      </c>
      <c r="C652" s="41" t="s">
        <v>193</v>
      </c>
      <c r="D652" s="42" t="str">
        <f aca="false">INDEX('Page và Ngách'!$B$5:$B$10,MATCH(C652,'Page và Ngách'!$A$5:$A$10,0))</f>
        <v>Second chance / Secret baby</v>
      </c>
      <c r="E652" s="41" t="n">
        <v>12</v>
      </c>
      <c r="F652" s="43" t="n">
        <f aca="false">'Cài đặt'!$B$39+E652-1</f>
        <v>46388</v>
      </c>
      <c r="G652" s="41" t="s">
        <v>451</v>
      </c>
      <c r="H652" s="44" t="str">
        <f aca="false">IF(G652="S1",'Cài đặt'!$B$7,'Cài đặt'!$B$8)</f>
        <v>20:00</v>
      </c>
      <c r="I652" s="44" t="str">
        <f aca="false">'Cài đặt'!$B$32</f>
        <v>Carousel</v>
      </c>
      <c r="J652" s="44" t="str">
        <f aca="false">'Cài đặt'!$B$33</f>
        <v>A</v>
      </c>
      <c r="K652" s="41" t="s">
        <v>445</v>
      </c>
      <c r="L652" s="42" t="str">
        <f aca="false">C652&amp;"_"&amp;B652&amp;"_"&amp;IF(I652="Reel","R",IF(I652="Carousel","C","I"))&amp;"_"&amp;J652&amp;"_"&amp;IF(K652="AI tự động","AI","HU")&amp;"_"&amp;RIGHT(A652,3)</f>
        <v>P6_EXP3_C_A_AI_024</v>
      </c>
      <c r="M652" s="45"/>
      <c r="N652" s="45"/>
      <c r="O652" s="46"/>
      <c r="P652" s="46"/>
      <c r="Q652" s="46"/>
      <c r="R652" s="47"/>
      <c r="S652" s="45"/>
      <c r="T652" s="45"/>
      <c r="U652" s="48" t="str">
        <f aca="false">IF(O652&gt;0,P652/O652,"")</f>
        <v/>
      </c>
      <c r="V652" s="49" t="str">
        <f aca="false">IF(P652&gt;0,Q652/P652,"")</f>
        <v/>
      </c>
      <c r="W652" s="50" t="n">
        <f aca="false">IF(R652&lt;&gt;"",R652,Q652*'Cài đặt'!$B$12)</f>
        <v>0</v>
      </c>
      <c r="X652" s="50" t="str">
        <f aca="false">IF(O652&gt;0,W652/O652*1000,"")</f>
        <v/>
      </c>
      <c r="Y652" s="51" t="n">
        <f aca="false">IF(T652&lt;&gt;"",T652,INDEX('Cài đặt'!$B$20:$C$22,MATCH(I652,'Cài đặt'!$A$20:$A$22,0),IF(K652="AI tự động",1,2)))</f>
        <v>4</v>
      </c>
    </row>
    <row r="653" customFormat="false" ht="15" hidden="false" customHeight="false" outlineLevel="0" collapsed="false">
      <c r="A653" s="41" t="s">
        <v>1103</v>
      </c>
      <c r="B653" s="41" t="s">
        <v>958</v>
      </c>
      <c r="C653" s="41" t="s">
        <v>154</v>
      </c>
      <c r="D653" s="42" t="str">
        <f aca="false">INDEX('Page và Ngách'!$B$5:$B$10,MATCH(C653,'Page và Ngách'!$A$5:$A$10,0))</f>
        <v>Werewolf / Rejected mate</v>
      </c>
      <c r="E653" s="41" t="n">
        <v>13</v>
      </c>
      <c r="F653" s="43" t="n">
        <f aca="false">'Cài đặt'!$B$39+E653-1</f>
        <v>46389</v>
      </c>
      <c r="G653" s="41" t="s">
        <v>444</v>
      </c>
      <c r="H653" s="44" t="str">
        <f aca="false">IF(G653="S1",'Cài đặt'!$B$7,'Cài đặt'!$B$8)</f>
        <v>12:00</v>
      </c>
      <c r="I653" s="44" t="str">
        <f aca="false">'Cài đặt'!$B$32</f>
        <v>Carousel</v>
      </c>
      <c r="J653" s="44" t="str">
        <f aca="false">'Cài đặt'!$B$33</f>
        <v>A</v>
      </c>
      <c r="K653" s="41" t="s">
        <v>445</v>
      </c>
      <c r="L653" s="42" t="str">
        <f aca="false">C653&amp;"_"&amp;B653&amp;"_"&amp;IF(I653="Reel","R",IF(I653="Carousel","C","I"))&amp;"_"&amp;J653&amp;"_"&amp;IF(K653="AI tự động","AI","HU")&amp;"_"&amp;RIGHT(A653,3)</f>
        <v>P1_EXP3_C_A_AI_025</v>
      </c>
      <c r="M653" s="45"/>
      <c r="N653" s="45"/>
      <c r="O653" s="46"/>
      <c r="P653" s="46"/>
      <c r="Q653" s="46"/>
      <c r="R653" s="47"/>
      <c r="S653" s="45"/>
      <c r="T653" s="45"/>
      <c r="U653" s="48" t="str">
        <f aca="false">IF(O653&gt;0,P653/O653,"")</f>
        <v/>
      </c>
      <c r="V653" s="49" t="str">
        <f aca="false">IF(P653&gt;0,Q653/P653,"")</f>
        <v/>
      </c>
      <c r="W653" s="50" t="n">
        <f aca="false">IF(R653&lt;&gt;"",R653,Q653*'Cài đặt'!$B$12)</f>
        <v>0</v>
      </c>
      <c r="X653" s="50" t="str">
        <f aca="false">IF(O653&gt;0,W653/O653*1000,"")</f>
        <v/>
      </c>
      <c r="Y653" s="51" t="n">
        <f aca="false">IF(T653&lt;&gt;"",T653,INDEX('Cài đặt'!$B$20:$C$22,MATCH(I653,'Cài đặt'!$A$20:$A$22,0),IF(K653="AI tự động",1,2)))</f>
        <v>4</v>
      </c>
    </row>
    <row r="654" customFormat="false" ht="15" hidden="false" customHeight="false" outlineLevel="0" collapsed="false">
      <c r="A654" s="41" t="s">
        <v>1104</v>
      </c>
      <c r="B654" s="41" t="s">
        <v>958</v>
      </c>
      <c r="C654" s="41" t="s">
        <v>154</v>
      </c>
      <c r="D654" s="42" t="str">
        <f aca="false">INDEX('Page và Ngách'!$B$5:$B$10,MATCH(C654,'Page và Ngách'!$A$5:$A$10,0))</f>
        <v>Werewolf / Rejected mate</v>
      </c>
      <c r="E654" s="41" t="n">
        <v>13</v>
      </c>
      <c r="F654" s="43" t="n">
        <f aca="false">'Cài đặt'!$B$39+E654-1</f>
        <v>46389</v>
      </c>
      <c r="G654" s="41" t="s">
        <v>451</v>
      </c>
      <c r="H654" s="44" t="str">
        <f aca="false">IF(G654="S1",'Cài đặt'!$B$7,'Cài đặt'!$B$8)</f>
        <v>20:00</v>
      </c>
      <c r="I654" s="44" t="str">
        <f aca="false">'Cài đặt'!$B$32</f>
        <v>Carousel</v>
      </c>
      <c r="J654" s="44" t="str">
        <f aca="false">'Cài đặt'!$B$33</f>
        <v>A</v>
      </c>
      <c r="K654" s="41" t="s">
        <v>445</v>
      </c>
      <c r="L654" s="42" t="str">
        <f aca="false">C654&amp;"_"&amp;B654&amp;"_"&amp;IF(I654="Reel","R",IF(I654="Carousel","C","I"))&amp;"_"&amp;J654&amp;"_"&amp;IF(K654="AI tự động","AI","HU")&amp;"_"&amp;RIGHT(A654,3)</f>
        <v>P1_EXP3_C_A_AI_026</v>
      </c>
      <c r="M654" s="45"/>
      <c r="N654" s="45"/>
      <c r="O654" s="46"/>
      <c r="P654" s="46"/>
      <c r="Q654" s="46"/>
      <c r="R654" s="47"/>
      <c r="S654" s="45"/>
      <c r="T654" s="45"/>
      <c r="U654" s="48" t="str">
        <f aca="false">IF(O654&gt;0,P654/O654,"")</f>
        <v/>
      </c>
      <c r="V654" s="49" t="str">
        <f aca="false">IF(P654&gt;0,Q654/P654,"")</f>
        <v/>
      </c>
      <c r="W654" s="50" t="n">
        <f aca="false">IF(R654&lt;&gt;"",R654,Q654*'Cài đặt'!$B$12)</f>
        <v>0</v>
      </c>
      <c r="X654" s="50" t="str">
        <f aca="false">IF(O654&gt;0,W654/O654*1000,"")</f>
        <v/>
      </c>
      <c r="Y654" s="51" t="n">
        <f aca="false">IF(T654&lt;&gt;"",T654,INDEX('Cài đặt'!$B$20:$C$22,MATCH(I654,'Cài đặt'!$A$20:$A$22,0),IF(K654="AI tự động",1,2)))</f>
        <v>4</v>
      </c>
    </row>
    <row r="655" customFormat="false" ht="15" hidden="false" customHeight="false" outlineLevel="0" collapsed="false">
      <c r="A655" s="41" t="s">
        <v>1105</v>
      </c>
      <c r="B655" s="41" t="s">
        <v>958</v>
      </c>
      <c r="C655" s="41" t="s">
        <v>163</v>
      </c>
      <c r="D655" s="42" t="str">
        <f aca="false">INDEX('Page và Ngách'!$B$5:$B$10,MATCH(C655,'Page và Ngách'!$A$5:$A$10,0))</f>
        <v>Secret billionaire / CEO</v>
      </c>
      <c r="E655" s="41" t="n">
        <v>13</v>
      </c>
      <c r="F655" s="43" t="n">
        <f aca="false">'Cài đặt'!$B$39+E655-1</f>
        <v>46389</v>
      </c>
      <c r="G655" s="41" t="s">
        <v>444</v>
      </c>
      <c r="H655" s="44" t="str">
        <f aca="false">IF(G655="S1",'Cài đặt'!$B$7,'Cài đặt'!$B$8)</f>
        <v>12:00</v>
      </c>
      <c r="I655" s="44" t="str">
        <f aca="false">'Cài đặt'!$B$32</f>
        <v>Carousel</v>
      </c>
      <c r="J655" s="44" t="str">
        <f aca="false">'Cài đặt'!$B$33</f>
        <v>A</v>
      </c>
      <c r="K655" s="41" t="s">
        <v>445</v>
      </c>
      <c r="L655" s="42" t="str">
        <f aca="false">C655&amp;"_"&amp;B655&amp;"_"&amp;IF(I655="Reel","R",IF(I655="Carousel","C","I"))&amp;"_"&amp;J655&amp;"_"&amp;IF(K655="AI tự động","AI","HU")&amp;"_"&amp;RIGHT(A655,3)</f>
        <v>P2_EXP3_C_A_AI_025</v>
      </c>
      <c r="M655" s="45"/>
      <c r="N655" s="45"/>
      <c r="O655" s="46"/>
      <c r="P655" s="46"/>
      <c r="Q655" s="46"/>
      <c r="R655" s="47"/>
      <c r="S655" s="45"/>
      <c r="T655" s="45"/>
      <c r="U655" s="48" t="str">
        <f aca="false">IF(O655&gt;0,P655/O655,"")</f>
        <v/>
      </c>
      <c r="V655" s="49" t="str">
        <f aca="false">IF(P655&gt;0,Q655/P655,"")</f>
        <v/>
      </c>
      <c r="W655" s="50" t="n">
        <f aca="false">IF(R655&lt;&gt;"",R655,Q655*'Cài đặt'!$B$12)</f>
        <v>0</v>
      </c>
      <c r="X655" s="50" t="str">
        <f aca="false">IF(O655&gt;0,W655/O655*1000,"")</f>
        <v/>
      </c>
      <c r="Y655" s="51" t="n">
        <f aca="false">IF(T655&lt;&gt;"",T655,INDEX('Cài đặt'!$B$20:$C$22,MATCH(I655,'Cài đặt'!$A$20:$A$22,0),IF(K655="AI tự động",1,2)))</f>
        <v>4</v>
      </c>
    </row>
    <row r="656" customFormat="false" ht="15" hidden="false" customHeight="false" outlineLevel="0" collapsed="false">
      <c r="A656" s="41" t="s">
        <v>1106</v>
      </c>
      <c r="B656" s="41" t="s">
        <v>958</v>
      </c>
      <c r="C656" s="41" t="s">
        <v>163</v>
      </c>
      <c r="D656" s="42" t="str">
        <f aca="false">INDEX('Page và Ngách'!$B$5:$B$10,MATCH(C656,'Page và Ngách'!$A$5:$A$10,0))</f>
        <v>Secret billionaire / CEO</v>
      </c>
      <c r="E656" s="41" t="n">
        <v>13</v>
      </c>
      <c r="F656" s="43" t="n">
        <f aca="false">'Cài đặt'!$B$39+E656-1</f>
        <v>46389</v>
      </c>
      <c r="G656" s="41" t="s">
        <v>451</v>
      </c>
      <c r="H656" s="44" t="str">
        <f aca="false">IF(G656="S1",'Cài đặt'!$B$7,'Cài đặt'!$B$8)</f>
        <v>20:00</v>
      </c>
      <c r="I656" s="44" t="str">
        <f aca="false">'Cài đặt'!$B$32</f>
        <v>Carousel</v>
      </c>
      <c r="J656" s="44" t="str">
        <f aca="false">'Cài đặt'!$B$33</f>
        <v>A</v>
      </c>
      <c r="K656" s="41" t="s">
        <v>961</v>
      </c>
      <c r="L656" s="42" t="str">
        <f aca="false">C656&amp;"_"&amp;B656&amp;"_"&amp;IF(I656="Reel","R",IF(I656="Carousel","C","I"))&amp;"_"&amp;J656&amp;"_"&amp;IF(K656="AI tự động","AI","HU")&amp;"_"&amp;RIGHT(A656,3)</f>
        <v>P2_EXP3_C_A_HU_026</v>
      </c>
      <c r="M656" s="45"/>
      <c r="N656" s="45"/>
      <c r="O656" s="46"/>
      <c r="P656" s="46"/>
      <c r="Q656" s="46"/>
      <c r="R656" s="47"/>
      <c r="S656" s="45"/>
      <c r="T656" s="45"/>
      <c r="U656" s="48" t="str">
        <f aca="false">IF(O656&gt;0,P656/O656,"")</f>
        <v/>
      </c>
      <c r="V656" s="49" t="str">
        <f aca="false">IF(P656&gt;0,Q656/P656,"")</f>
        <v/>
      </c>
      <c r="W656" s="50" t="n">
        <f aca="false">IF(R656&lt;&gt;"",R656,Q656*'Cài đặt'!$B$12)</f>
        <v>0</v>
      </c>
      <c r="X656" s="50" t="str">
        <f aca="false">IF(O656&gt;0,W656/O656*1000,"")</f>
        <v/>
      </c>
      <c r="Y656" s="51" t="n">
        <f aca="false">IF(T656&lt;&gt;"",T656,INDEX('Cài đặt'!$B$20:$C$22,MATCH(I656,'Cài đặt'!$A$20:$A$22,0),IF(K656="AI tự động",1,2)))</f>
        <v>25</v>
      </c>
    </row>
    <row r="657" customFormat="false" ht="15" hidden="false" customHeight="false" outlineLevel="0" collapsed="false">
      <c r="A657" s="41" t="s">
        <v>1107</v>
      </c>
      <c r="B657" s="41" t="s">
        <v>958</v>
      </c>
      <c r="C657" s="41" t="s">
        <v>171</v>
      </c>
      <c r="D657" s="42" t="str">
        <f aca="false">INDEX('Page và Ngách'!$B$5:$B$10,MATCH(C657,'Page và Ngách'!$A$5:$A$10,0))</f>
        <v>Contract marriage / Fake relationship</v>
      </c>
      <c r="E657" s="41" t="n">
        <v>13</v>
      </c>
      <c r="F657" s="43" t="n">
        <f aca="false">'Cài đặt'!$B$39+E657-1</f>
        <v>46389</v>
      </c>
      <c r="G657" s="41" t="s">
        <v>444</v>
      </c>
      <c r="H657" s="44" t="str">
        <f aca="false">IF(G657="S1",'Cài đặt'!$B$7,'Cài đặt'!$B$8)</f>
        <v>12:00</v>
      </c>
      <c r="I657" s="44" t="str">
        <f aca="false">'Cài đặt'!$B$32</f>
        <v>Carousel</v>
      </c>
      <c r="J657" s="44" t="str">
        <f aca="false">'Cài đặt'!$B$33</f>
        <v>A</v>
      </c>
      <c r="K657" s="41" t="s">
        <v>445</v>
      </c>
      <c r="L657" s="42" t="str">
        <f aca="false">C657&amp;"_"&amp;B657&amp;"_"&amp;IF(I657="Reel","R",IF(I657="Carousel","C","I"))&amp;"_"&amp;J657&amp;"_"&amp;IF(K657="AI tự động","AI","HU")&amp;"_"&amp;RIGHT(A657,3)</f>
        <v>P3_EXP3_C_A_AI_025</v>
      </c>
      <c r="M657" s="45"/>
      <c r="N657" s="45"/>
      <c r="O657" s="46"/>
      <c r="P657" s="46"/>
      <c r="Q657" s="46"/>
      <c r="R657" s="47"/>
      <c r="S657" s="45"/>
      <c r="T657" s="45"/>
      <c r="U657" s="48" t="str">
        <f aca="false">IF(O657&gt;0,P657/O657,"")</f>
        <v/>
      </c>
      <c r="V657" s="49" t="str">
        <f aca="false">IF(P657&gt;0,Q657/P657,"")</f>
        <v/>
      </c>
      <c r="W657" s="50" t="n">
        <f aca="false">IF(R657&lt;&gt;"",R657,Q657*'Cài đặt'!$B$12)</f>
        <v>0</v>
      </c>
      <c r="X657" s="50" t="str">
        <f aca="false">IF(O657&gt;0,W657/O657*1000,"")</f>
        <v/>
      </c>
      <c r="Y657" s="51" t="n">
        <f aca="false">IF(T657&lt;&gt;"",T657,INDEX('Cài đặt'!$B$20:$C$22,MATCH(I657,'Cài đặt'!$A$20:$A$22,0),IF(K657="AI tự động",1,2)))</f>
        <v>4</v>
      </c>
    </row>
    <row r="658" customFormat="false" ht="15" hidden="false" customHeight="false" outlineLevel="0" collapsed="false">
      <c r="A658" s="41" t="s">
        <v>1108</v>
      </c>
      <c r="B658" s="41" t="s">
        <v>958</v>
      </c>
      <c r="C658" s="41" t="s">
        <v>171</v>
      </c>
      <c r="D658" s="42" t="str">
        <f aca="false">INDEX('Page và Ngách'!$B$5:$B$10,MATCH(C658,'Page và Ngách'!$A$5:$A$10,0))</f>
        <v>Contract marriage / Fake relationship</v>
      </c>
      <c r="E658" s="41" t="n">
        <v>13</v>
      </c>
      <c r="F658" s="43" t="n">
        <f aca="false">'Cài đặt'!$B$39+E658-1</f>
        <v>46389</v>
      </c>
      <c r="G658" s="41" t="s">
        <v>451</v>
      </c>
      <c r="H658" s="44" t="str">
        <f aca="false">IF(G658="S1",'Cài đặt'!$B$7,'Cài đặt'!$B$8)</f>
        <v>20:00</v>
      </c>
      <c r="I658" s="44" t="str">
        <f aca="false">'Cài đặt'!$B$32</f>
        <v>Carousel</v>
      </c>
      <c r="J658" s="44" t="str">
        <f aca="false">'Cài đặt'!$B$33</f>
        <v>A</v>
      </c>
      <c r="K658" s="41" t="s">
        <v>445</v>
      </c>
      <c r="L658" s="42" t="str">
        <f aca="false">C658&amp;"_"&amp;B658&amp;"_"&amp;IF(I658="Reel","R",IF(I658="Carousel","C","I"))&amp;"_"&amp;J658&amp;"_"&amp;IF(K658="AI tự động","AI","HU")&amp;"_"&amp;RIGHT(A658,3)</f>
        <v>P3_EXP3_C_A_AI_026</v>
      </c>
      <c r="M658" s="45"/>
      <c r="N658" s="45"/>
      <c r="O658" s="46"/>
      <c r="P658" s="46"/>
      <c r="Q658" s="46"/>
      <c r="R658" s="47"/>
      <c r="S658" s="45"/>
      <c r="T658" s="45"/>
      <c r="U658" s="48" t="str">
        <f aca="false">IF(O658&gt;0,P658/O658,"")</f>
        <v/>
      </c>
      <c r="V658" s="49" t="str">
        <f aca="false">IF(P658&gt;0,Q658/P658,"")</f>
        <v/>
      </c>
      <c r="W658" s="50" t="n">
        <f aca="false">IF(R658&lt;&gt;"",R658,Q658*'Cài đặt'!$B$12)</f>
        <v>0</v>
      </c>
      <c r="X658" s="50" t="str">
        <f aca="false">IF(O658&gt;0,W658/O658*1000,"")</f>
        <v/>
      </c>
      <c r="Y658" s="51" t="n">
        <f aca="false">IF(T658&lt;&gt;"",T658,INDEX('Cài đặt'!$B$20:$C$22,MATCH(I658,'Cài đặt'!$A$20:$A$22,0),IF(K658="AI tự động",1,2)))</f>
        <v>4</v>
      </c>
    </row>
    <row r="659" customFormat="false" ht="15" hidden="false" customHeight="false" outlineLevel="0" collapsed="false">
      <c r="A659" s="41" t="s">
        <v>1109</v>
      </c>
      <c r="B659" s="41" t="s">
        <v>958</v>
      </c>
      <c r="C659" s="41" t="s">
        <v>178</v>
      </c>
      <c r="D659" s="42" t="str">
        <f aca="false">INDEX('Page và Ngách'!$B$5:$B$10,MATCH(C659,'Page và Ngách'!$A$5:$A$10,0))</f>
        <v>Revenge / Betrayal ("you'll regret it")</v>
      </c>
      <c r="E659" s="41" t="n">
        <v>13</v>
      </c>
      <c r="F659" s="43" t="n">
        <f aca="false">'Cài đặt'!$B$39+E659-1</f>
        <v>46389</v>
      </c>
      <c r="G659" s="41" t="s">
        <v>444</v>
      </c>
      <c r="H659" s="44" t="str">
        <f aca="false">IF(G659="S1",'Cài đặt'!$B$7,'Cài đặt'!$B$8)</f>
        <v>12:00</v>
      </c>
      <c r="I659" s="44" t="str">
        <f aca="false">'Cài đặt'!$B$32</f>
        <v>Carousel</v>
      </c>
      <c r="J659" s="44" t="str">
        <f aca="false">'Cài đặt'!$B$33</f>
        <v>A</v>
      </c>
      <c r="K659" s="41" t="s">
        <v>445</v>
      </c>
      <c r="L659" s="42" t="str">
        <f aca="false">C659&amp;"_"&amp;B659&amp;"_"&amp;IF(I659="Reel","R",IF(I659="Carousel","C","I"))&amp;"_"&amp;J659&amp;"_"&amp;IF(K659="AI tự động","AI","HU")&amp;"_"&amp;RIGHT(A659,3)</f>
        <v>P4_EXP3_C_A_AI_025</v>
      </c>
      <c r="M659" s="45"/>
      <c r="N659" s="45"/>
      <c r="O659" s="46"/>
      <c r="P659" s="46"/>
      <c r="Q659" s="46"/>
      <c r="R659" s="47"/>
      <c r="S659" s="45"/>
      <c r="T659" s="45"/>
      <c r="U659" s="48" t="str">
        <f aca="false">IF(O659&gt;0,P659/O659,"")</f>
        <v/>
      </c>
      <c r="V659" s="49" t="str">
        <f aca="false">IF(P659&gt;0,Q659/P659,"")</f>
        <v/>
      </c>
      <c r="W659" s="50" t="n">
        <f aca="false">IF(R659&lt;&gt;"",R659,Q659*'Cài đặt'!$B$12)</f>
        <v>0</v>
      </c>
      <c r="X659" s="50" t="str">
        <f aca="false">IF(O659&gt;0,W659/O659*1000,"")</f>
        <v/>
      </c>
      <c r="Y659" s="51" t="n">
        <f aca="false">IF(T659&lt;&gt;"",T659,INDEX('Cài đặt'!$B$20:$C$22,MATCH(I659,'Cài đặt'!$A$20:$A$22,0),IF(K659="AI tự động",1,2)))</f>
        <v>4</v>
      </c>
    </row>
    <row r="660" customFormat="false" ht="15" hidden="false" customHeight="false" outlineLevel="0" collapsed="false">
      <c r="A660" s="41" t="s">
        <v>1110</v>
      </c>
      <c r="B660" s="41" t="s">
        <v>958</v>
      </c>
      <c r="C660" s="41" t="s">
        <v>178</v>
      </c>
      <c r="D660" s="42" t="str">
        <f aca="false">INDEX('Page và Ngách'!$B$5:$B$10,MATCH(C660,'Page và Ngách'!$A$5:$A$10,0))</f>
        <v>Revenge / Betrayal ("you'll regret it")</v>
      </c>
      <c r="E660" s="41" t="n">
        <v>13</v>
      </c>
      <c r="F660" s="43" t="n">
        <f aca="false">'Cài đặt'!$B$39+E660-1</f>
        <v>46389</v>
      </c>
      <c r="G660" s="41" t="s">
        <v>451</v>
      </c>
      <c r="H660" s="44" t="str">
        <f aca="false">IF(G660="S1",'Cài đặt'!$B$7,'Cài đặt'!$B$8)</f>
        <v>20:00</v>
      </c>
      <c r="I660" s="44" t="str">
        <f aca="false">'Cài đặt'!$B$32</f>
        <v>Carousel</v>
      </c>
      <c r="J660" s="44" t="str">
        <f aca="false">'Cài đặt'!$B$33</f>
        <v>A</v>
      </c>
      <c r="K660" s="41" t="s">
        <v>445</v>
      </c>
      <c r="L660" s="42" t="str">
        <f aca="false">C660&amp;"_"&amp;B660&amp;"_"&amp;IF(I660="Reel","R",IF(I660="Carousel","C","I"))&amp;"_"&amp;J660&amp;"_"&amp;IF(K660="AI tự động","AI","HU")&amp;"_"&amp;RIGHT(A660,3)</f>
        <v>P4_EXP3_C_A_AI_026</v>
      </c>
      <c r="M660" s="45"/>
      <c r="N660" s="45"/>
      <c r="O660" s="46"/>
      <c r="P660" s="46"/>
      <c r="Q660" s="46"/>
      <c r="R660" s="47"/>
      <c r="S660" s="45"/>
      <c r="T660" s="45"/>
      <c r="U660" s="48" t="str">
        <f aca="false">IF(O660&gt;0,P660/O660,"")</f>
        <v/>
      </c>
      <c r="V660" s="49" t="str">
        <f aca="false">IF(P660&gt;0,Q660/P660,"")</f>
        <v/>
      </c>
      <c r="W660" s="50" t="n">
        <f aca="false">IF(R660&lt;&gt;"",R660,Q660*'Cài đặt'!$B$12)</f>
        <v>0</v>
      </c>
      <c r="X660" s="50" t="str">
        <f aca="false">IF(O660&gt;0,W660/O660*1000,"")</f>
        <v/>
      </c>
      <c r="Y660" s="51" t="n">
        <f aca="false">IF(T660&lt;&gt;"",T660,INDEX('Cài đặt'!$B$20:$C$22,MATCH(I660,'Cài đặt'!$A$20:$A$22,0),IF(K660="AI tự động",1,2)))</f>
        <v>4</v>
      </c>
    </row>
    <row r="661" customFormat="false" ht="15" hidden="false" customHeight="false" outlineLevel="0" collapsed="false">
      <c r="A661" s="41" t="s">
        <v>1111</v>
      </c>
      <c r="B661" s="41" t="s">
        <v>958</v>
      </c>
      <c r="C661" s="41" t="s">
        <v>185</v>
      </c>
      <c r="D661" s="42" t="str">
        <f aca="false">INDEX('Page và Ngách'!$B$5:$B$10,MATCH(C661,'Page và Ngách'!$A$5:$A$10,0))</f>
        <v>Mafia / Dark romance (teaser PG-13)</v>
      </c>
      <c r="E661" s="41" t="n">
        <v>13</v>
      </c>
      <c r="F661" s="43" t="n">
        <f aca="false">'Cài đặt'!$B$39+E661-1</f>
        <v>46389</v>
      </c>
      <c r="G661" s="41" t="s">
        <v>444</v>
      </c>
      <c r="H661" s="44" t="str">
        <f aca="false">IF(G661="S1",'Cài đặt'!$B$7,'Cài đặt'!$B$8)</f>
        <v>12:00</v>
      </c>
      <c r="I661" s="44" t="str">
        <f aca="false">'Cài đặt'!$B$32</f>
        <v>Carousel</v>
      </c>
      <c r="J661" s="44" t="str">
        <f aca="false">'Cài đặt'!$B$33</f>
        <v>A</v>
      </c>
      <c r="K661" s="41" t="s">
        <v>961</v>
      </c>
      <c r="L661" s="42" t="str">
        <f aca="false">C661&amp;"_"&amp;B661&amp;"_"&amp;IF(I661="Reel","R",IF(I661="Carousel","C","I"))&amp;"_"&amp;J661&amp;"_"&amp;IF(K661="AI tự động","AI","HU")&amp;"_"&amp;RIGHT(A661,3)</f>
        <v>P5_EXP3_C_A_HU_025</v>
      </c>
      <c r="M661" s="45"/>
      <c r="N661" s="45"/>
      <c r="O661" s="46"/>
      <c r="P661" s="46"/>
      <c r="Q661" s="46"/>
      <c r="R661" s="47"/>
      <c r="S661" s="45"/>
      <c r="T661" s="45"/>
      <c r="U661" s="48" t="str">
        <f aca="false">IF(O661&gt;0,P661/O661,"")</f>
        <v/>
      </c>
      <c r="V661" s="49" t="str">
        <f aca="false">IF(P661&gt;0,Q661/P661,"")</f>
        <v/>
      </c>
      <c r="W661" s="50" t="n">
        <f aca="false">IF(R661&lt;&gt;"",R661,Q661*'Cài đặt'!$B$12)</f>
        <v>0</v>
      </c>
      <c r="X661" s="50" t="str">
        <f aca="false">IF(O661&gt;0,W661/O661*1000,"")</f>
        <v/>
      </c>
      <c r="Y661" s="51" t="n">
        <f aca="false">IF(T661&lt;&gt;"",T661,INDEX('Cài đặt'!$B$20:$C$22,MATCH(I661,'Cài đặt'!$A$20:$A$22,0),IF(K661="AI tự động",1,2)))</f>
        <v>25</v>
      </c>
    </row>
    <row r="662" customFormat="false" ht="15" hidden="false" customHeight="false" outlineLevel="0" collapsed="false">
      <c r="A662" s="41" t="s">
        <v>1112</v>
      </c>
      <c r="B662" s="41" t="s">
        <v>958</v>
      </c>
      <c r="C662" s="41" t="s">
        <v>185</v>
      </c>
      <c r="D662" s="42" t="str">
        <f aca="false">INDEX('Page và Ngách'!$B$5:$B$10,MATCH(C662,'Page và Ngách'!$A$5:$A$10,0))</f>
        <v>Mafia / Dark romance (teaser PG-13)</v>
      </c>
      <c r="E662" s="41" t="n">
        <v>13</v>
      </c>
      <c r="F662" s="43" t="n">
        <f aca="false">'Cài đặt'!$B$39+E662-1</f>
        <v>46389</v>
      </c>
      <c r="G662" s="41" t="s">
        <v>451</v>
      </c>
      <c r="H662" s="44" t="str">
        <f aca="false">IF(G662="S1",'Cài đặt'!$B$7,'Cài đặt'!$B$8)</f>
        <v>20:00</v>
      </c>
      <c r="I662" s="44" t="str">
        <f aca="false">'Cài đặt'!$B$32</f>
        <v>Carousel</v>
      </c>
      <c r="J662" s="44" t="str">
        <f aca="false">'Cài đặt'!$B$33</f>
        <v>A</v>
      </c>
      <c r="K662" s="41" t="s">
        <v>445</v>
      </c>
      <c r="L662" s="42" t="str">
        <f aca="false">C662&amp;"_"&amp;B662&amp;"_"&amp;IF(I662="Reel","R",IF(I662="Carousel","C","I"))&amp;"_"&amp;J662&amp;"_"&amp;IF(K662="AI tự động","AI","HU")&amp;"_"&amp;RIGHT(A662,3)</f>
        <v>P5_EXP3_C_A_AI_026</v>
      </c>
      <c r="M662" s="45"/>
      <c r="N662" s="45"/>
      <c r="O662" s="46"/>
      <c r="P662" s="46"/>
      <c r="Q662" s="46"/>
      <c r="R662" s="47"/>
      <c r="S662" s="45"/>
      <c r="T662" s="45"/>
      <c r="U662" s="48" t="str">
        <f aca="false">IF(O662&gt;0,P662/O662,"")</f>
        <v/>
      </c>
      <c r="V662" s="49" t="str">
        <f aca="false">IF(P662&gt;0,Q662/P662,"")</f>
        <v/>
      </c>
      <c r="W662" s="50" t="n">
        <f aca="false">IF(R662&lt;&gt;"",R662,Q662*'Cài đặt'!$B$12)</f>
        <v>0</v>
      </c>
      <c r="X662" s="50" t="str">
        <f aca="false">IF(O662&gt;0,W662/O662*1000,"")</f>
        <v/>
      </c>
      <c r="Y662" s="51" t="n">
        <f aca="false">IF(T662&lt;&gt;"",T662,INDEX('Cài đặt'!$B$20:$C$22,MATCH(I662,'Cài đặt'!$A$20:$A$22,0),IF(K662="AI tự động",1,2)))</f>
        <v>4</v>
      </c>
    </row>
    <row r="663" customFormat="false" ht="15" hidden="false" customHeight="false" outlineLevel="0" collapsed="false">
      <c r="A663" s="41" t="s">
        <v>1113</v>
      </c>
      <c r="B663" s="41" t="s">
        <v>958</v>
      </c>
      <c r="C663" s="41" t="s">
        <v>193</v>
      </c>
      <c r="D663" s="42" t="str">
        <f aca="false">INDEX('Page và Ngách'!$B$5:$B$10,MATCH(C663,'Page và Ngách'!$A$5:$A$10,0))</f>
        <v>Second chance / Secret baby</v>
      </c>
      <c r="E663" s="41" t="n">
        <v>13</v>
      </c>
      <c r="F663" s="43" t="n">
        <f aca="false">'Cài đặt'!$B$39+E663-1</f>
        <v>46389</v>
      </c>
      <c r="G663" s="41" t="s">
        <v>444</v>
      </c>
      <c r="H663" s="44" t="str">
        <f aca="false">IF(G663="S1",'Cài đặt'!$B$7,'Cài đặt'!$B$8)</f>
        <v>12:00</v>
      </c>
      <c r="I663" s="44" t="str">
        <f aca="false">'Cài đặt'!$B$32</f>
        <v>Carousel</v>
      </c>
      <c r="J663" s="44" t="str">
        <f aca="false">'Cài đặt'!$B$33</f>
        <v>A</v>
      </c>
      <c r="K663" s="41" t="s">
        <v>445</v>
      </c>
      <c r="L663" s="42" t="str">
        <f aca="false">C663&amp;"_"&amp;B663&amp;"_"&amp;IF(I663="Reel","R",IF(I663="Carousel","C","I"))&amp;"_"&amp;J663&amp;"_"&amp;IF(K663="AI tự động","AI","HU")&amp;"_"&amp;RIGHT(A663,3)</f>
        <v>P6_EXP3_C_A_AI_025</v>
      </c>
      <c r="M663" s="45"/>
      <c r="N663" s="45"/>
      <c r="O663" s="46"/>
      <c r="P663" s="46"/>
      <c r="Q663" s="46"/>
      <c r="R663" s="47"/>
      <c r="S663" s="45"/>
      <c r="T663" s="45"/>
      <c r="U663" s="48" t="str">
        <f aca="false">IF(O663&gt;0,P663/O663,"")</f>
        <v/>
      </c>
      <c r="V663" s="49" t="str">
        <f aca="false">IF(P663&gt;0,Q663/P663,"")</f>
        <v/>
      </c>
      <c r="W663" s="50" t="n">
        <f aca="false">IF(R663&lt;&gt;"",R663,Q663*'Cài đặt'!$B$12)</f>
        <v>0</v>
      </c>
      <c r="X663" s="50" t="str">
        <f aca="false">IF(O663&gt;0,W663/O663*1000,"")</f>
        <v/>
      </c>
      <c r="Y663" s="51" t="n">
        <f aca="false">IF(T663&lt;&gt;"",T663,INDEX('Cài đặt'!$B$20:$C$22,MATCH(I663,'Cài đặt'!$A$20:$A$22,0),IF(K663="AI tự động",1,2)))</f>
        <v>4</v>
      </c>
    </row>
    <row r="664" customFormat="false" ht="15" hidden="false" customHeight="false" outlineLevel="0" collapsed="false">
      <c r="A664" s="41" t="s">
        <v>1114</v>
      </c>
      <c r="B664" s="41" t="s">
        <v>958</v>
      </c>
      <c r="C664" s="41" t="s">
        <v>193</v>
      </c>
      <c r="D664" s="42" t="str">
        <f aca="false">INDEX('Page và Ngách'!$B$5:$B$10,MATCH(C664,'Page và Ngách'!$A$5:$A$10,0))</f>
        <v>Second chance / Secret baby</v>
      </c>
      <c r="E664" s="41" t="n">
        <v>13</v>
      </c>
      <c r="F664" s="43" t="n">
        <f aca="false">'Cài đặt'!$B$39+E664-1</f>
        <v>46389</v>
      </c>
      <c r="G664" s="41" t="s">
        <v>451</v>
      </c>
      <c r="H664" s="44" t="str">
        <f aca="false">IF(G664="S1",'Cài đặt'!$B$7,'Cài đặt'!$B$8)</f>
        <v>20:00</v>
      </c>
      <c r="I664" s="44" t="str">
        <f aca="false">'Cài đặt'!$B$32</f>
        <v>Carousel</v>
      </c>
      <c r="J664" s="44" t="str">
        <f aca="false">'Cài đặt'!$B$33</f>
        <v>A</v>
      </c>
      <c r="K664" s="41" t="s">
        <v>445</v>
      </c>
      <c r="L664" s="42" t="str">
        <f aca="false">C664&amp;"_"&amp;B664&amp;"_"&amp;IF(I664="Reel","R",IF(I664="Carousel","C","I"))&amp;"_"&amp;J664&amp;"_"&amp;IF(K664="AI tự động","AI","HU")&amp;"_"&amp;RIGHT(A664,3)</f>
        <v>P6_EXP3_C_A_AI_026</v>
      </c>
      <c r="M664" s="45"/>
      <c r="N664" s="45"/>
      <c r="O664" s="46"/>
      <c r="P664" s="46"/>
      <c r="Q664" s="46"/>
      <c r="R664" s="47"/>
      <c r="S664" s="45"/>
      <c r="T664" s="45"/>
      <c r="U664" s="48" t="str">
        <f aca="false">IF(O664&gt;0,P664/O664,"")</f>
        <v/>
      </c>
      <c r="V664" s="49" t="str">
        <f aca="false">IF(P664&gt;0,Q664/P664,"")</f>
        <v/>
      </c>
      <c r="W664" s="50" t="n">
        <f aca="false">IF(R664&lt;&gt;"",R664,Q664*'Cài đặt'!$B$12)</f>
        <v>0</v>
      </c>
      <c r="X664" s="50" t="str">
        <f aca="false">IF(O664&gt;0,W664/O664*1000,"")</f>
        <v/>
      </c>
      <c r="Y664" s="51" t="n">
        <f aca="false">IF(T664&lt;&gt;"",T664,INDEX('Cài đặt'!$B$20:$C$22,MATCH(I664,'Cài đặt'!$A$20:$A$22,0),IF(K664="AI tự động",1,2)))</f>
        <v>4</v>
      </c>
    </row>
    <row r="665" customFormat="false" ht="15" hidden="false" customHeight="false" outlineLevel="0" collapsed="false">
      <c r="A665" s="41" t="s">
        <v>1115</v>
      </c>
      <c r="B665" s="41" t="s">
        <v>958</v>
      </c>
      <c r="C665" s="41" t="s">
        <v>154</v>
      </c>
      <c r="D665" s="42" t="str">
        <f aca="false">INDEX('Page và Ngách'!$B$5:$B$10,MATCH(C665,'Page và Ngách'!$A$5:$A$10,0))</f>
        <v>Werewolf / Rejected mate</v>
      </c>
      <c r="E665" s="41" t="n">
        <v>14</v>
      </c>
      <c r="F665" s="43" t="n">
        <f aca="false">'Cài đặt'!$B$39+E665-1</f>
        <v>46390</v>
      </c>
      <c r="G665" s="41" t="s">
        <v>444</v>
      </c>
      <c r="H665" s="44" t="str">
        <f aca="false">IF(G665="S1",'Cài đặt'!$B$7,'Cài đặt'!$B$8)</f>
        <v>12:00</v>
      </c>
      <c r="I665" s="44" t="str">
        <f aca="false">'Cài đặt'!$B$32</f>
        <v>Carousel</v>
      </c>
      <c r="J665" s="44" t="str">
        <f aca="false">'Cài đặt'!$B$33</f>
        <v>A</v>
      </c>
      <c r="K665" s="41" t="s">
        <v>445</v>
      </c>
      <c r="L665" s="42" t="str">
        <f aca="false">C665&amp;"_"&amp;B665&amp;"_"&amp;IF(I665="Reel","R",IF(I665="Carousel","C","I"))&amp;"_"&amp;J665&amp;"_"&amp;IF(K665="AI tự động","AI","HU")&amp;"_"&amp;RIGHT(A665,3)</f>
        <v>P1_EXP3_C_A_AI_027</v>
      </c>
      <c r="M665" s="45"/>
      <c r="N665" s="45"/>
      <c r="O665" s="46"/>
      <c r="P665" s="46"/>
      <c r="Q665" s="46"/>
      <c r="R665" s="47"/>
      <c r="S665" s="45"/>
      <c r="T665" s="45"/>
      <c r="U665" s="48" t="str">
        <f aca="false">IF(O665&gt;0,P665/O665,"")</f>
        <v/>
      </c>
      <c r="V665" s="49" t="str">
        <f aca="false">IF(P665&gt;0,Q665/P665,"")</f>
        <v/>
      </c>
      <c r="W665" s="50" t="n">
        <f aca="false">IF(R665&lt;&gt;"",R665,Q665*'Cài đặt'!$B$12)</f>
        <v>0</v>
      </c>
      <c r="X665" s="50" t="str">
        <f aca="false">IF(O665&gt;0,W665/O665*1000,"")</f>
        <v/>
      </c>
      <c r="Y665" s="51" t="n">
        <f aca="false">IF(T665&lt;&gt;"",T665,INDEX('Cài đặt'!$B$20:$C$22,MATCH(I665,'Cài đặt'!$A$20:$A$22,0),IF(K665="AI tự động",1,2)))</f>
        <v>4</v>
      </c>
    </row>
    <row r="666" customFormat="false" ht="15" hidden="false" customHeight="false" outlineLevel="0" collapsed="false">
      <c r="A666" s="41" t="s">
        <v>1116</v>
      </c>
      <c r="B666" s="41" t="s">
        <v>958</v>
      </c>
      <c r="C666" s="41" t="s">
        <v>154</v>
      </c>
      <c r="D666" s="42" t="str">
        <f aca="false">INDEX('Page và Ngách'!$B$5:$B$10,MATCH(C666,'Page và Ngách'!$A$5:$A$10,0))</f>
        <v>Werewolf / Rejected mate</v>
      </c>
      <c r="E666" s="41" t="n">
        <v>14</v>
      </c>
      <c r="F666" s="43" t="n">
        <f aca="false">'Cài đặt'!$B$39+E666-1</f>
        <v>46390</v>
      </c>
      <c r="G666" s="41" t="s">
        <v>451</v>
      </c>
      <c r="H666" s="44" t="str">
        <f aca="false">IF(G666="S1",'Cài đặt'!$B$7,'Cài đặt'!$B$8)</f>
        <v>20:00</v>
      </c>
      <c r="I666" s="44" t="str">
        <f aca="false">'Cài đặt'!$B$32</f>
        <v>Carousel</v>
      </c>
      <c r="J666" s="44" t="str">
        <f aca="false">'Cài đặt'!$B$33</f>
        <v>A</v>
      </c>
      <c r="K666" s="41" t="s">
        <v>445</v>
      </c>
      <c r="L666" s="42" t="str">
        <f aca="false">C666&amp;"_"&amp;B666&amp;"_"&amp;IF(I666="Reel","R",IF(I666="Carousel","C","I"))&amp;"_"&amp;J666&amp;"_"&amp;IF(K666="AI tự động","AI","HU")&amp;"_"&amp;RIGHT(A666,3)</f>
        <v>P1_EXP3_C_A_AI_028</v>
      </c>
      <c r="M666" s="45"/>
      <c r="N666" s="45"/>
      <c r="O666" s="46"/>
      <c r="P666" s="46"/>
      <c r="Q666" s="46"/>
      <c r="R666" s="47"/>
      <c r="S666" s="45"/>
      <c r="T666" s="45"/>
      <c r="U666" s="48" t="str">
        <f aca="false">IF(O666&gt;0,P666/O666,"")</f>
        <v/>
      </c>
      <c r="V666" s="49" t="str">
        <f aca="false">IF(P666&gt;0,Q666/P666,"")</f>
        <v/>
      </c>
      <c r="W666" s="50" t="n">
        <f aca="false">IF(R666&lt;&gt;"",R666,Q666*'Cài đặt'!$B$12)</f>
        <v>0</v>
      </c>
      <c r="X666" s="50" t="str">
        <f aca="false">IF(O666&gt;0,W666/O666*1000,"")</f>
        <v/>
      </c>
      <c r="Y666" s="51" t="n">
        <f aca="false">IF(T666&lt;&gt;"",T666,INDEX('Cài đặt'!$B$20:$C$22,MATCH(I666,'Cài đặt'!$A$20:$A$22,0),IF(K666="AI tự động",1,2)))</f>
        <v>4</v>
      </c>
    </row>
    <row r="667" customFormat="false" ht="15" hidden="false" customHeight="false" outlineLevel="0" collapsed="false">
      <c r="A667" s="41" t="s">
        <v>1117</v>
      </c>
      <c r="B667" s="41" t="s">
        <v>958</v>
      </c>
      <c r="C667" s="41" t="s">
        <v>163</v>
      </c>
      <c r="D667" s="42" t="str">
        <f aca="false">INDEX('Page và Ngách'!$B$5:$B$10,MATCH(C667,'Page và Ngách'!$A$5:$A$10,0))</f>
        <v>Secret billionaire / CEO</v>
      </c>
      <c r="E667" s="41" t="n">
        <v>14</v>
      </c>
      <c r="F667" s="43" t="n">
        <f aca="false">'Cài đặt'!$B$39+E667-1</f>
        <v>46390</v>
      </c>
      <c r="G667" s="41" t="s">
        <v>444</v>
      </c>
      <c r="H667" s="44" t="str">
        <f aca="false">IF(G667="S1",'Cài đặt'!$B$7,'Cài đặt'!$B$8)</f>
        <v>12:00</v>
      </c>
      <c r="I667" s="44" t="str">
        <f aca="false">'Cài đặt'!$B$32</f>
        <v>Carousel</v>
      </c>
      <c r="J667" s="44" t="str">
        <f aca="false">'Cài đặt'!$B$33</f>
        <v>A</v>
      </c>
      <c r="K667" s="41" t="s">
        <v>445</v>
      </c>
      <c r="L667" s="42" t="str">
        <f aca="false">C667&amp;"_"&amp;B667&amp;"_"&amp;IF(I667="Reel","R",IF(I667="Carousel","C","I"))&amp;"_"&amp;J667&amp;"_"&amp;IF(K667="AI tự động","AI","HU")&amp;"_"&amp;RIGHT(A667,3)</f>
        <v>P2_EXP3_C_A_AI_027</v>
      </c>
      <c r="M667" s="45"/>
      <c r="N667" s="45"/>
      <c r="O667" s="46"/>
      <c r="P667" s="46"/>
      <c r="Q667" s="46"/>
      <c r="R667" s="47"/>
      <c r="S667" s="45"/>
      <c r="T667" s="45"/>
      <c r="U667" s="48" t="str">
        <f aca="false">IF(O667&gt;0,P667/O667,"")</f>
        <v/>
      </c>
      <c r="V667" s="49" t="str">
        <f aca="false">IF(P667&gt;0,Q667/P667,"")</f>
        <v/>
      </c>
      <c r="W667" s="50" t="n">
        <f aca="false">IF(R667&lt;&gt;"",R667,Q667*'Cài đặt'!$B$12)</f>
        <v>0</v>
      </c>
      <c r="X667" s="50" t="str">
        <f aca="false">IF(O667&gt;0,W667/O667*1000,"")</f>
        <v/>
      </c>
      <c r="Y667" s="51" t="n">
        <f aca="false">IF(T667&lt;&gt;"",T667,INDEX('Cài đặt'!$B$20:$C$22,MATCH(I667,'Cài đặt'!$A$20:$A$22,0),IF(K667="AI tự động",1,2)))</f>
        <v>4</v>
      </c>
    </row>
    <row r="668" customFormat="false" ht="15" hidden="false" customHeight="false" outlineLevel="0" collapsed="false">
      <c r="A668" s="41" t="s">
        <v>1118</v>
      </c>
      <c r="B668" s="41" t="s">
        <v>958</v>
      </c>
      <c r="C668" s="41" t="s">
        <v>163</v>
      </c>
      <c r="D668" s="42" t="str">
        <f aca="false">INDEX('Page và Ngách'!$B$5:$B$10,MATCH(C668,'Page và Ngách'!$A$5:$A$10,0))</f>
        <v>Secret billionaire / CEO</v>
      </c>
      <c r="E668" s="41" t="n">
        <v>14</v>
      </c>
      <c r="F668" s="43" t="n">
        <f aca="false">'Cài đặt'!$B$39+E668-1</f>
        <v>46390</v>
      </c>
      <c r="G668" s="41" t="s">
        <v>451</v>
      </c>
      <c r="H668" s="44" t="str">
        <f aca="false">IF(G668="S1",'Cài đặt'!$B$7,'Cài đặt'!$B$8)</f>
        <v>20:00</v>
      </c>
      <c r="I668" s="44" t="str">
        <f aca="false">'Cài đặt'!$B$32</f>
        <v>Carousel</v>
      </c>
      <c r="J668" s="44" t="str">
        <f aca="false">'Cài đặt'!$B$33</f>
        <v>A</v>
      </c>
      <c r="K668" s="41" t="s">
        <v>445</v>
      </c>
      <c r="L668" s="42" t="str">
        <f aca="false">C668&amp;"_"&amp;B668&amp;"_"&amp;IF(I668="Reel","R",IF(I668="Carousel","C","I"))&amp;"_"&amp;J668&amp;"_"&amp;IF(K668="AI tự động","AI","HU")&amp;"_"&amp;RIGHT(A668,3)</f>
        <v>P2_EXP3_C_A_AI_028</v>
      </c>
      <c r="M668" s="45"/>
      <c r="N668" s="45"/>
      <c r="O668" s="46"/>
      <c r="P668" s="46"/>
      <c r="Q668" s="46"/>
      <c r="R668" s="47"/>
      <c r="S668" s="45"/>
      <c r="T668" s="45"/>
      <c r="U668" s="48" t="str">
        <f aca="false">IF(O668&gt;0,P668/O668,"")</f>
        <v/>
      </c>
      <c r="V668" s="49" t="str">
        <f aca="false">IF(P668&gt;0,Q668/P668,"")</f>
        <v/>
      </c>
      <c r="W668" s="50" t="n">
        <f aca="false">IF(R668&lt;&gt;"",R668,Q668*'Cài đặt'!$B$12)</f>
        <v>0</v>
      </c>
      <c r="X668" s="50" t="str">
        <f aca="false">IF(O668&gt;0,W668/O668*1000,"")</f>
        <v/>
      </c>
      <c r="Y668" s="51" t="n">
        <f aca="false">IF(T668&lt;&gt;"",T668,INDEX('Cài đặt'!$B$20:$C$22,MATCH(I668,'Cài đặt'!$A$20:$A$22,0),IF(K668="AI tự động",1,2)))</f>
        <v>4</v>
      </c>
    </row>
    <row r="669" customFormat="false" ht="15" hidden="false" customHeight="false" outlineLevel="0" collapsed="false">
      <c r="A669" s="41" t="s">
        <v>1119</v>
      </c>
      <c r="B669" s="41" t="s">
        <v>958</v>
      </c>
      <c r="C669" s="41" t="s">
        <v>171</v>
      </c>
      <c r="D669" s="42" t="str">
        <f aca="false">INDEX('Page và Ngách'!$B$5:$B$10,MATCH(C669,'Page và Ngách'!$A$5:$A$10,0))</f>
        <v>Contract marriage / Fake relationship</v>
      </c>
      <c r="E669" s="41" t="n">
        <v>14</v>
      </c>
      <c r="F669" s="43" t="n">
        <f aca="false">'Cài đặt'!$B$39+E669-1</f>
        <v>46390</v>
      </c>
      <c r="G669" s="41" t="s">
        <v>444</v>
      </c>
      <c r="H669" s="44" t="str">
        <f aca="false">IF(G669="S1",'Cài đặt'!$B$7,'Cài đặt'!$B$8)</f>
        <v>12:00</v>
      </c>
      <c r="I669" s="44" t="str">
        <f aca="false">'Cài đặt'!$B$32</f>
        <v>Carousel</v>
      </c>
      <c r="J669" s="44" t="str">
        <f aca="false">'Cài đặt'!$B$33</f>
        <v>A</v>
      </c>
      <c r="K669" s="41" t="s">
        <v>445</v>
      </c>
      <c r="L669" s="42" t="str">
        <f aca="false">C669&amp;"_"&amp;B669&amp;"_"&amp;IF(I669="Reel","R",IF(I669="Carousel","C","I"))&amp;"_"&amp;J669&amp;"_"&amp;IF(K669="AI tự động","AI","HU")&amp;"_"&amp;RIGHT(A669,3)</f>
        <v>P3_EXP3_C_A_AI_027</v>
      </c>
      <c r="M669" s="45"/>
      <c r="N669" s="45"/>
      <c r="O669" s="46"/>
      <c r="P669" s="46"/>
      <c r="Q669" s="46"/>
      <c r="R669" s="47"/>
      <c r="S669" s="45"/>
      <c r="T669" s="45"/>
      <c r="U669" s="48" t="str">
        <f aca="false">IF(O669&gt;0,P669/O669,"")</f>
        <v/>
      </c>
      <c r="V669" s="49" t="str">
        <f aca="false">IF(P669&gt;0,Q669/P669,"")</f>
        <v/>
      </c>
      <c r="W669" s="50" t="n">
        <f aca="false">IF(R669&lt;&gt;"",R669,Q669*'Cài đặt'!$B$12)</f>
        <v>0</v>
      </c>
      <c r="X669" s="50" t="str">
        <f aca="false">IF(O669&gt;0,W669/O669*1000,"")</f>
        <v/>
      </c>
      <c r="Y669" s="51" t="n">
        <f aca="false">IF(T669&lt;&gt;"",T669,INDEX('Cài đặt'!$B$20:$C$22,MATCH(I669,'Cài đặt'!$A$20:$A$22,0),IF(K669="AI tự động",1,2)))</f>
        <v>4</v>
      </c>
    </row>
    <row r="670" customFormat="false" ht="15" hidden="false" customHeight="false" outlineLevel="0" collapsed="false">
      <c r="A670" s="41" t="s">
        <v>1120</v>
      </c>
      <c r="B670" s="41" t="s">
        <v>958</v>
      </c>
      <c r="C670" s="41" t="s">
        <v>171</v>
      </c>
      <c r="D670" s="42" t="str">
        <f aca="false">INDEX('Page và Ngách'!$B$5:$B$10,MATCH(C670,'Page và Ngách'!$A$5:$A$10,0))</f>
        <v>Contract marriage / Fake relationship</v>
      </c>
      <c r="E670" s="41" t="n">
        <v>14</v>
      </c>
      <c r="F670" s="43" t="n">
        <f aca="false">'Cài đặt'!$B$39+E670-1</f>
        <v>46390</v>
      </c>
      <c r="G670" s="41" t="s">
        <v>451</v>
      </c>
      <c r="H670" s="44" t="str">
        <f aca="false">IF(G670="S1",'Cài đặt'!$B$7,'Cài đặt'!$B$8)</f>
        <v>20:00</v>
      </c>
      <c r="I670" s="44" t="str">
        <f aca="false">'Cài đặt'!$B$32</f>
        <v>Carousel</v>
      </c>
      <c r="J670" s="44" t="str">
        <f aca="false">'Cài đặt'!$B$33</f>
        <v>A</v>
      </c>
      <c r="K670" s="41" t="s">
        <v>445</v>
      </c>
      <c r="L670" s="42" t="str">
        <f aca="false">C670&amp;"_"&amp;B670&amp;"_"&amp;IF(I670="Reel","R",IF(I670="Carousel","C","I"))&amp;"_"&amp;J670&amp;"_"&amp;IF(K670="AI tự động","AI","HU")&amp;"_"&amp;RIGHT(A670,3)</f>
        <v>P3_EXP3_C_A_AI_028</v>
      </c>
      <c r="M670" s="45"/>
      <c r="N670" s="45"/>
      <c r="O670" s="46"/>
      <c r="P670" s="46"/>
      <c r="Q670" s="46"/>
      <c r="R670" s="47"/>
      <c r="S670" s="45"/>
      <c r="T670" s="45"/>
      <c r="U670" s="48" t="str">
        <f aca="false">IF(O670&gt;0,P670/O670,"")</f>
        <v/>
      </c>
      <c r="V670" s="49" t="str">
        <f aca="false">IF(P670&gt;0,Q670/P670,"")</f>
        <v/>
      </c>
      <c r="W670" s="50" t="n">
        <f aca="false">IF(R670&lt;&gt;"",R670,Q670*'Cài đặt'!$B$12)</f>
        <v>0</v>
      </c>
      <c r="X670" s="50" t="str">
        <f aca="false">IF(O670&gt;0,W670/O670*1000,"")</f>
        <v/>
      </c>
      <c r="Y670" s="51" t="n">
        <f aca="false">IF(T670&lt;&gt;"",T670,INDEX('Cài đặt'!$B$20:$C$22,MATCH(I670,'Cài đặt'!$A$20:$A$22,0),IF(K670="AI tự động",1,2)))</f>
        <v>4</v>
      </c>
    </row>
    <row r="671" customFormat="false" ht="15" hidden="false" customHeight="false" outlineLevel="0" collapsed="false">
      <c r="A671" s="41" t="s">
        <v>1121</v>
      </c>
      <c r="B671" s="41" t="s">
        <v>958</v>
      </c>
      <c r="C671" s="41" t="s">
        <v>178</v>
      </c>
      <c r="D671" s="42" t="str">
        <f aca="false">INDEX('Page và Ngách'!$B$5:$B$10,MATCH(C671,'Page và Ngách'!$A$5:$A$10,0))</f>
        <v>Revenge / Betrayal ("you'll regret it")</v>
      </c>
      <c r="E671" s="41" t="n">
        <v>14</v>
      </c>
      <c r="F671" s="43" t="n">
        <f aca="false">'Cài đặt'!$B$39+E671-1</f>
        <v>46390</v>
      </c>
      <c r="G671" s="41" t="s">
        <v>444</v>
      </c>
      <c r="H671" s="44" t="str">
        <f aca="false">IF(G671="S1",'Cài đặt'!$B$7,'Cài đặt'!$B$8)</f>
        <v>12:00</v>
      </c>
      <c r="I671" s="44" t="str">
        <f aca="false">'Cài đặt'!$B$32</f>
        <v>Carousel</v>
      </c>
      <c r="J671" s="44" t="str">
        <f aca="false">'Cài đặt'!$B$33</f>
        <v>A</v>
      </c>
      <c r="K671" s="41" t="s">
        <v>961</v>
      </c>
      <c r="L671" s="42" t="str">
        <f aca="false">C671&amp;"_"&amp;B671&amp;"_"&amp;IF(I671="Reel","R",IF(I671="Carousel","C","I"))&amp;"_"&amp;J671&amp;"_"&amp;IF(K671="AI tự động","AI","HU")&amp;"_"&amp;RIGHT(A671,3)</f>
        <v>P4_EXP3_C_A_HU_027</v>
      </c>
      <c r="M671" s="45"/>
      <c r="N671" s="45"/>
      <c r="O671" s="46"/>
      <c r="P671" s="46"/>
      <c r="Q671" s="46"/>
      <c r="R671" s="47"/>
      <c r="S671" s="45"/>
      <c r="T671" s="45"/>
      <c r="U671" s="48" t="str">
        <f aca="false">IF(O671&gt;0,P671/O671,"")</f>
        <v/>
      </c>
      <c r="V671" s="49" t="str">
        <f aca="false">IF(P671&gt;0,Q671/P671,"")</f>
        <v/>
      </c>
      <c r="W671" s="50" t="n">
        <f aca="false">IF(R671&lt;&gt;"",R671,Q671*'Cài đặt'!$B$12)</f>
        <v>0</v>
      </c>
      <c r="X671" s="50" t="str">
        <f aca="false">IF(O671&gt;0,W671/O671*1000,"")</f>
        <v/>
      </c>
      <c r="Y671" s="51" t="n">
        <f aca="false">IF(T671&lt;&gt;"",T671,INDEX('Cài đặt'!$B$20:$C$22,MATCH(I671,'Cài đặt'!$A$20:$A$22,0),IF(K671="AI tự động",1,2)))</f>
        <v>25</v>
      </c>
    </row>
    <row r="672" customFormat="false" ht="15" hidden="false" customHeight="false" outlineLevel="0" collapsed="false">
      <c r="A672" s="41" t="s">
        <v>1122</v>
      </c>
      <c r="B672" s="41" t="s">
        <v>958</v>
      </c>
      <c r="C672" s="41" t="s">
        <v>178</v>
      </c>
      <c r="D672" s="42" t="str">
        <f aca="false">INDEX('Page và Ngách'!$B$5:$B$10,MATCH(C672,'Page và Ngách'!$A$5:$A$10,0))</f>
        <v>Revenge / Betrayal ("you'll regret it")</v>
      </c>
      <c r="E672" s="41" t="n">
        <v>14</v>
      </c>
      <c r="F672" s="43" t="n">
        <f aca="false">'Cài đặt'!$B$39+E672-1</f>
        <v>46390</v>
      </c>
      <c r="G672" s="41" t="s">
        <v>451</v>
      </c>
      <c r="H672" s="44" t="str">
        <f aca="false">IF(G672="S1",'Cài đặt'!$B$7,'Cài đặt'!$B$8)</f>
        <v>20:00</v>
      </c>
      <c r="I672" s="44" t="str">
        <f aca="false">'Cài đặt'!$B$32</f>
        <v>Carousel</v>
      </c>
      <c r="J672" s="44" t="str">
        <f aca="false">'Cài đặt'!$B$33</f>
        <v>A</v>
      </c>
      <c r="K672" s="41" t="s">
        <v>445</v>
      </c>
      <c r="L672" s="42" t="str">
        <f aca="false">C672&amp;"_"&amp;B672&amp;"_"&amp;IF(I672="Reel","R",IF(I672="Carousel","C","I"))&amp;"_"&amp;J672&amp;"_"&amp;IF(K672="AI tự động","AI","HU")&amp;"_"&amp;RIGHT(A672,3)</f>
        <v>P4_EXP3_C_A_AI_028</v>
      </c>
      <c r="M672" s="45"/>
      <c r="N672" s="45"/>
      <c r="O672" s="46"/>
      <c r="P672" s="46"/>
      <c r="Q672" s="46"/>
      <c r="R672" s="47"/>
      <c r="S672" s="45"/>
      <c r="T672" s="45"/>
      <c r="U672" s="48" t="str">
        <f aca="false">IF(O672&gt;0,P672/O672,"")</f>
        <v/>
      </c>
      <c r="V672" s="49" t="str">
        <f aca="false">IF(P672&gt;0,Q672/P672,"")</f>
        <v/>
      </c>
      <c r="W672" s="50" t="n">
        <f aca="false">IF(R672&lt;&gt;"",R672,Q672*'Cài đặt'!$B$12)</f>
        <v>0</v>
      </c>
      <c r="X672" s="50" t="str">
        <f aca="false">IF(O672&gt;0,W672/O672*1000,"")</f>
        <v/>
      </c>
      <c r="Y672" s="51" t="n">
        <f aca="false">IF(T672&lt;&gt;"",T672,INDEX('Cài đặt'!$B$20:$C$22,MATCH(I672,'Cài đặt'!$A$20:$A$22,0),IF(K672="AI tự động",1,2)))</f>
        <v>4</v>
      </c>
    </row>
    <row r="673" customFormat="false" ht="15" hidden="false" customHeight="false" outlineLevel="0" collapsed="false">
      <c r="A673" s="41" t="s">
        <v>1123</v>
      </c>
      <c r="B673" s="41" t="s">
        <v>958</v>
      </c>
      <c r="C673" s="41" t="s">
        <v>185</v>
      </c>
      <c r="D673" s="42" t="str">
        <f aca="false">INDEX('Page và Ngách'!$B$5:$B$10,MATCH(C673,'Page và Ngách'!$A$5:$A$10,0))</f>
        <v>Mafia / Dark romance (teaser PG-13)</v>
      </c>
      <c r="E673" s="41" t="n">
        <v>14</v>
      </c>
      <c r="F673" s="43" t="n">
        <f aca="false">'Cài đặt'!$B$39+E673-1</f>
        <v>46390</v>
      </c>
      <c r="G673" s="41" t="s">
        <v>444</v>
      </c>
      <c r="H673" s="44" t="str">
        <f aca="false">IF(G673="S1",'Cài đặt'!$B$7,'Cài đặt'!$B$8)</f>
        <v>12:00</v>
      </c>
      <c r="I673" s="44" t="str">
        <f aca="false">'Cài đặt'!$B$32</f>
        <v>Carousel</v>
      </c>
      <c r="J673" s="44" t="str">
        <f aca="false">'Cài đặt'!$B$33</f>
        <v>A</v>
      </c>
      <c r="K673" s="41" t="s">
        <v>445</v>
      </c>
      <c r="L673" s="42" t="str">
        <f aca="false">C673&amp;"_"&amp;B673&amp;"_"&amp;IF(I673="Reel","R",IF(I673="Carousel","C","I"))&amp;"_"&amp;J673&amp;"_"&amp;IF(K673="AI tự động","AI","HU")&amp;"_"&amp;RIGHT(A673,3)</f>
        <v>P5_EXP3_C_A_AI_027</v>
      </c>
      <c r="M673" s="45"/>
      <c r="N673" s="45"/>
      <c r="O673" s="46"/>
      <c r="P673" s="46"/>
      <c r="Q673" s="46"/>
      <c r="R673" s="47"/>
      <c r="S673" s="45"/>
      <c r="T673" s="45"/>
      <c r="U673" s="48" t="str">
        <f aca="false">IF(O673&gt;0,P673/O673,"")</f>
        <v/>
      </c>
      <c r="V673" s="49" t="str">
        <f aca="false">IF(P673&gt;0,Q673/P673,"")</f>
        <v/>
      </c>
      <c r="W673" s="50" t="n">
        <f aca="false">IF(R673&lt;&gt;"",R673,Q673*'Cài đặt'!$B$12)</f>
        <v>0</v>
      </c>
      <c r="X673" s="50" t="str">
        <f aca="false">IF(O673&gt;0,W673/O673*1000,"")</f>
        <v/>
      </c>
      <c r="Y673" s="51" t="n">
        <f aca="false">IF(T673&lt;&gt;"",T673,INDEX('Cài đặt'!$B$20:$C$22,MATCH(I673,'Cài đặt'!$A$20:$A$22,0),IF(K673="AI tự động",1,2)))</f>
        <v>4</v>
      </c>
    </row>
    <row r="674" customFormat="false" ht="15" hidden="false" customHeight="false" outlineLevel="0" collapsed="false">
      <c r="A674" s="41" t="s">
        <v>1124</v>
      </c>
      <c r="B674" s="41" t="s">
        <v>958</v>
      </c>
      <c r="C674" s="41" t="s">
        <v>185</v>
      </c>
      <c r="D674" s="42" t="str">
        <f aca="false">INDEX('Page và Ngách'!$B$5:$B$10,MATCH(C674,'Page và Ngách'!$A$5:$A$10,0))</f>
        <v>Mafia / Dark romance (teaser PG-13)</v>
      </c>
      <c r="E674" s="41" t="n">
        <v>14</v>
      </c>
      <c r="F674" s="43" t="n">
        <f aca="false">'Cài đặt'!$B$39+E674-1</f>
        <v>46390</v>
      </c>
      <c r="G674" s="41" t="s">
        <v>451</v>
      </c>
      <c r="H674" s="44" t="str">
        <f aca="false">IF(G674="S1",'Cài đặt'!$B$7,'Cài đặt'!$B$8)</f>
        <v>20:00</v>
      </c>
      <c r="I674" s="44" t="str">
        <f aca="false">'Cài đặt'!$B$32</f>
        <v>Carousel</v>
      </c>
      <c r="J674" s="44" t="str">
        <f aca="false">'Cài đặt'!$B$33</f>
        <v>A</v>
      </c>
      <c r="K674" s="41" t="s">
        <v>445</v>
      </c>
      <c r="L674" s="42" t="str">
        <f aca="false">C674&amp;"_"&amp;B674&amp;"_"&amp;IF(I674="Reel","R",IF(I674="Carousel","C","I"))&amp;"_"&amp;J674&amp;"_"&amp;IF(K674="AI tự động","AI","HU")&amp;"_"&amp;RIGHT(A674,3)</f>
        <v>P5_EXP3_C_A_AI_028</v>
      </c>
      <c r="M674" s="45"/>
      <c r="N674" s="45"/>
      <c r="O674" s="46"/>
      <c r="P674" s="46"/>
      <c r="Q674" s="46"/>
      <c r="R674" s="47"/>
      <c r="S674" s="45"/>
      <c r="T674" s="45"/>
      <c r="U674" s="48" t="str">
        <f aca="false">IF(O674&gt;0,P674/O674,"")</f>
        <v/>
      </c>
      <c r="V674" s="49" t="str">
        <f aca="false">IF(P674&gt;0,Q674/P674,"")</f>
        <v/>
      </c>
      <c r="W674" s="50" t="n">
        <f aca="false">IF(R674&lt;&gt;"",R674,Q674*'Cài đặt'!$B$12)</f>
        <v>0</v>
      </c>
      <c r="X674" s="50" t="str">
        <f aca="false">IF(O674&gt;0,W674/O674*1000,"")</f>
        <v/>
      </c>
      <c r="Y674" s="51" t="n">
        <f aca="false">IF(T674&lt;&gt;"",T674,INDEX('Cài đặt'!$B$20:$C$22,MATCH(I674,'Cài đặt'!$A$20:$A$22,0),IF(K674="AI tự động",1,2)))</f>
        <v>4</v>
      </c>
    </row>
    <row r="675" customFormat="false" ht="15" hidden="false" customHeight="false" outlineLevel="0" collapsed="false">
      <c r="A675" s="41" t="s">
        <v>1125</v>
      </c>
      <c r="B675" s="41" t="s">
        <v>958</v>
      </c>
      <c r="C675" s="41" t="s">
        <v>193</v>
      </c>
      <c r="D675" s="42" t="str">
        <f aca="false">INDEX('Page và Ngách'!$B$5:$B$10,MATCH(C675,'Page và Ngách'!$A$5:$A$10,0))</f>
        <v>Second chance / Secret baby</v>
      </c>
      <c r="E675" s="41" t="n">
        <v>14</v>
      </c>
      <c r="F675" s="43" t="n">
        <f aca="false">'Cài đặt'!$B$39+E675-1</f>
        <v>46390</v>
      </c>
      <c r="G675" s="41" t="s">
        <v>444</v>
      </c>
      <c r="H675" s="44" t="str">
        <f aca="false">IF(G675="S1",'Cài đặt'!$B$7,'Cài đặt'!$B$8)</f>
        <v>12:00</v>
      </c>
      <c r="I675" s="44" t="str">
        <f aca="false">'Cài đặt'!$B$32</f>
        <v>Carousel</v>
      </c>
      <c r="J675" s="44" t="str">
        <f aca="false">'Cài đặt'!$B$33</f>
        <v>A</v>
      </c>
      <c r="K675" s="41" t="s">
        <v>445</v>
      </c>
      <c r="L675" s="42" t="str">
        <f aca="false">C675&amp;"_"&amp;B675&amp;"_"&amp;IF(I675="Reel","R",IF(I675="Carousel","C","I"))&amp;"_"&amp;J675&amp;"_"&amp;IF(K675="AI tự động","AI","HU")&amp;"_"&amp;RIGHT(A675,3)</f>
        <v>P6_EXP3_C_A_AI_027</v>
      </c>
      <c r="M675" s="45"/>
      <c r="N675" s="45"/>
      <c r="O675" s="46"/>
      <c r="P675" s="46"/>
      <c r="Q675" s="46"/>
      <c r="R675" s="47"/>
      <c r="S675" s="45"/>
      <c r="T675" s="45"/>
      <c r="U675" s="48" t="str">
        <f aca="false">IF(O675&gt;0,P675/O675,"")</f>
        <v/>
      </c>
      <c r="V675" s="49" t="str">
        <f aca="false">IF(P675&gt;0,Q675/P675,"")</f>
        <v/>
      </c>
      <c r="W675" s="50" t="n">
        <f aca="false">IF(R675&lt;&gt;"",R675,Q675*'Cài đặt'!$B$12)</f>
        <v>0</v>
      </c>
      <c r="X675" s="50" t="str">
        <f aca="false">IF(O675&gt;0,W675/O675*1000,"")</f>
        <v/>
      </c>
      <c r="Y675" s="51" t="n">
        <f aca="false">IF(T675&lt;&gt;"",T675,INDEX('Cài đặt'!$B$20:$C$22,MATCH(I675,'Cài đặt'!$A$20:$A$22,0),IF(K675="AI tự động",1,2)))</f>
        <v>4</v>
      </c>
    </row>
    <row r="676" customFormat="false" ht="15" hidden="false" customHeight="false" outlineLevel="0" collapsed="false">
      <c r="A676" s="41" t="s">
        <v>1126</v>
      </c>
      <c r="B676" s="41" t="s">
        <v>958</v>
      </c>
      <c r="C676" s="41" t="s">
        <v>193</v>
      </c>
      <c r="D676" s="42" t="str">
        <f aca="false">INDEX('Page và Ngách'!$B$5:$B$10,MATCH(C676,'Page và Ngách'!$A$5:$A$10,0))</f>
        <v>Second chance / Secret baby</v>
      </c>
      <c r="E676" s="41" t="n">
        <v>14</v>
      </c>
      <c r="F676" s="43" t="n">
        <f aca="false">'Cài đặt'!$B$39+E676-1</f>
        <v>46390</v>
      </c>
      <c r="G676" s="41" t="s">
        <v>451</v>
      </c>
      <c r="H676" s="44" t="str">
        <f aca="false">IF(G676="S1",'Cài đặt'!$B$7,'Cài đặt'!$B$8)</f>
        <v>20:00</v>
      </c>
      <c r="I676" s="44" t="str">
        <f aca="false">'Cài đặt'!$B$32</f>
        <v>Carousel</v>
      </c>
      <c r="J676" s="44" t="str">
        <f aca="false">'Cài đặt'!$B$33</f>
        <v>A</v>
      </c>
      <c r="K676" s="41" t="s">
        <v>961</v>
      </c>
      <c r="L676" s="42" t="str">
        <f aca="false">C676&amp;"_"&amp;B676&amp;"_"&amp;IF(I676="Reel","R",IF(I676="Carousel","C","I"))&amp;"_"&amp;J676&amp;"_"&amp;IF(K676="AI tự động","AI","HU")&amp;"_"&amp;RIGHT(A676,3)</f>
        <v>P6_EXP3_C_A_HU_028</v>
      </c>
      <c r="M676" s="45"/>
      <c r="N676" s="45"/>
      <c r="O676" s="46"/>
      <c r="P676" s="46"/>
      <c r="Q676" s="46"/>
      <c r="R676" s="47"/>
      <c r="S676" s="45"/>
      <c r="T676" s="45"/>
      <c r="U676" s="48" t="str">
        <f aca="false">IF(O676&gt;0,P676/O676,"")</f>
        <v/>
      </c>
      <c r="V676" s="49" t="str">
        <f aca="false">IF(P676&gt;0,Q676/P676,"")</f>
        <v/>
      </c>
      <c r="W676" s="50" t="n">
        <f aca="false">IF(R676&lt;&gt;"",R676,Q676*'Cài đặt'!$B$12)</f>
        <v>0</v>
      </c>
      <c r="X676" s="50" t="str">
        <f aca="false">IF(O676&gt;0,W676/O676*1000,"")</f>
        <v/>
      </c>
      <c r="Y676" s="51" t="n">
        <f aca="false">IF(T676&lt;&gt;"",T676,INDEX('Cài đặt'!$B$20:$C$22,MATCH(I676,'Cài đặt'!$A$20:$A$22,0),IF(K676="AI tự động",1,2)))</f>
        <v>25</v>
      </c>
    </row>
    <row r="677" customFormat="false" ht="15" hidden="false" customHeight="false" outlineLevel="0" collapsed="false">
      <c r="A677" s="41" t="s">
        <v>1127</v>
      </c>
      <c r="B677" s="41" t="s">
        <v>958</v>
      </c>
      <c r="C677" s="41" t="s">
        <v>154</v>
      </c>
      <c r="D677" s="42" t="str">
        <f aca="false">INDEX('Page và Ngách'!$B$5:$B$10,MATCH(C677,'Page và Ngách'!$A$5:$A$10,0))</f>
        <v>Werewolf / Rejected mate</v>
      </c>
      <c r="E677" s="41" t="n">
        <v>15</v>
      </c>
      <c r="F677" s="43" t="n">
        <f aca="false">'Cài đặt'!$B$39+E677-1</f>
        <v>46391</v>
      </c>
      <c r="G677" s="41" t="s">
        <v>444</v>
      </c>
      <c r="H677" s="44" t="str">
        <f aca="false">IF(G677="S1",'Cài đặt'!$B$7,'Cài đặt'!$B$8)</f>
        <v>12:00</v>
      </c>
      <c r="I677" s="44" t="str">
        <f aca="false">'Cài đặt'!$B$32</f>
        <v>Carousel</v>
      </c>
      <c r="J677" s="44" t="str">
        <f aca="false">'Cài đặt'!$B$33</f>
        <v>A</v>
      </c>
      <c r="K677" s="41" t="s">
        <v>961</v>
      </c>
      <c r="L677" s="42" t="str">
        <f aca="false">C677&amp;"_"&amp;B677&amp;"_"&amp;IF(I677="Reel","R",IF(I677="Carousel","C","I"))&amp;"_"&amp;J677&amp;"_"&amp;IF(K677="AI tự động","AI","HU")&amp;"_"&amp;RIGHT(A677,3)</f>
        <v>P1_EXP3_C_A_HU_029</v>
      </c>
      <c r="M677" s="45"/>
      <c r="N677" s="45"/>
      <c r="O677" s="46"/>
      <c r="P677" s="46"/>
      <c r="Q677" s="46"/>
      <c r="R677" s="47"/>
      <c r="S677" s="45"/>
      <c r="T677" s="45"/>
      <c r="U677" s="48" t="str">
        <f aca="false">IF(O677&gt;0,P677/O677,"")</f>
        <v/>
      </c>
      <c r="V677" s="49" t="str">
        <f aca="false">IF(P677&gt;0,Q677/P677,"")</f>
        <v/>
      </c>
      <c r="W677" s="50" t="n">
        <f aca="false">IF(R677&lt;&gt;"",R677,Q677*'Cài đặt'!$B$12)</f>
        <v>0</v>
      </c>
      <c r="X677" s="50" t="str">
        <f aca="false">IF(O677&gt;0,W677/O677*1000,"")</f>
        <v/>
      </c>
      <c r="Y677" s="51" t="n">
        <f aca="false">IF(T677&lt;&gt;"",T677,INDEX('Cài đặt'!$B$20:$C$22,MATCH(I677,'Cài đặt'!$A$20:$A$22,0),IF(K677="AI tự động",1,2)))</f>
        <v>25</v>
      </c>
    </row>
    <row r="678" customFormat="false" ht="15" hidden="false" customHeight="false" outlineLevel="0" collapsed="false">
      <c r="A678" s="41" t="s">
        <v>1128</v>
      </c>
      <c r="B678" s="41" t="s">
        <v>958</v>
      </c>
      <c r="C678" s="41" t="s">
        <v>154</v>
      </c>
      <c r="D678" s="42" t="str">
        <f aca="false">INDEX('Page và Ngách'!$B$5:$B$10,MATCH(C678,'Page và Ngách'!$A$5:$A$10,0))</f>
        <v>Werewolf / Rejected mate</v>
      </c>
      <c r="E678" s="41" t="n">
        <v>15</v>
      </c>
      <c r="F678" s="43" t="n">
        <f aca="false">'Cài đặt'!$B$39+E678-1</f>
        <v>46391</v>
      </c>
      <c r="G678" s="41" t="s">
        <v>451</v>
      </c>
      <c r="H678" s="44" t="str">
        <f aca="false">IF(G678="S1",'Cài đặt'!$B$7,'Cài đặt'!$B$8)</f>
        <v>20:00</v>
      </c>
      <c r="I678" s="44" t="str">
        <f aca="false">'Cài đặt'!$B$32</f>
        <v>Carousel</v>
      </c>
      <c r="J678" s="44" t="str">
        <f aca="false">'Cài đặt'!$B$33</f>
        <v>A</v>
      </c>
      <c r="K678" s="41" t="s">
        <v>445</v>
      </c>
      <c r="L678" s="42" t="str">
        <f aca="false">C678&amp;"_"&amp;B678&amp;"_"&amp;IF(I678="Reel","R",IF(I678="Carousel","C","I"))&amp;"_"&amp;J678&amp;"_"&amp;IF(K678="AI tự động","AI","HU")&amp;"_"&amp;RIGHT(A678,3)</f>
        <v>P1_EXP3_C_A_AI_030</v>
      </c>
      <c r="M678" s="45"/>
      <c r="N678" s="45"/>
      <c r="O678" s="46"/>
      <c r="P678" s="46"/>
      <c r="Q678" s="46"/>
      <c r="R678" s="47"/>
      <c r="S678" s="45"/>
      <c r="T678" s="45"/>
      <c r="U678" s="48" t="str">
        <f aca="false">IF(O678&gt;0,P678/O678,"")</f>
        <v/>
      </c>
      <c r="V678" s="49" t="str">
        <f aca="false">IF(P678&gt;0,Q678/P678,"")</f>
        <v/>
      </c>
      <c r="W678" s="50" t="n">
        <f aca="false">IF(R678&lt;&gt;"",R678,Q678*'Cài đặt'!$B$12)</f>
        <v>0</v>
      </c>
      <c r="X678" s="50" t="str">
        <f aca="false">IF(O678&gt;0,W678/O678*1000,"")</f>
        <v/>
      </c>
      <c r="Y678" s="51" t="n">
        <f aca="false">IF(T678&lt;&gt;"",T678,INDEX('Cài đặt'!$B$20:$C$22,MATCH(I678,'Cài đặt'!$A$20:$A$22,0),IF(K678="AI tự động",1,2)))</f>
        <v>4</v>
      </c>
    </row>
    <row r="679" customFormat="false" ht="15" hidden="false" customHeight="false" outlineLevel="0" collapsed="false">
      <c r="A679" s="41" t="s">
        <v>1129</v>
      </c>
      <c r="B679" s="41" t="s">
        <v>958</v>
      </c>
      <c r="C679" s="41" t="s">
        <v>163</v>
      </c>
      <c r="D679" s="42" t="str">
        <f aca="false">INDEX('Page và Ngách'!$B$5:$B$10,MATCH(C679,'Page và Ngách'!$A$5:$A$10,0))</f>
        <v>Secret billionaire / CEO</v>
      </c>
      <c r="E679" s="41" t="n">
        <v>15</v>
      </c>
      <c r="F679" s="43" t="n">
        <f aca="false">'Cài đặt'!$B$39+E679-1</f>
        <v>46391</v>
      </c>
      <c r="G679" s="41" t="s">
        <v>444</v>
      </c>
      <c r="H679" s="44" t="str">
        <f aca="false">IF(G679="S1",'Cài đặt'!$B$7,'Cài đặt'!$B$8)</f>
        <v>12:00</v>
      </c>
      <c r="I679" s="44" t="str">
        <f aca="false">'Cài đặt'!$B$32</f>
        <v>Carousel</v>
      </c>
      <c r="J679" s="44" t="str">
        <f aca="false">'Cài đặt'!$B$33</f>
        <v>A</v>
      </c>
      <c r="K679" s="41" t="s">
        <v>445</v>
      </c>
      <c r="L679" s="42" t="str">
        <f aca="false">C679&amp;"_"&amp;B679&amp;"_"&amp;IF(I679="Reel","R",IF(I679="Carousel","C","I"))&amp;"_"&amp;J679&amp;"_"&amp;IF(K679="AI tự động","AI","HU")&amp;"_"&amp;RIGHT(A679,3)</f>
        <v>P2_EXP3_C_A_AI_029</v>
      </c>
      <c r="M679" s="45"/>
      <c r="N679" s="45"/>
      <c r="O679" s="46"/>
      <c r="P679" s="46"/>
      <c r="Q679" s="46"/>
      <c r="R679" s="47"/>
      <c r="S679" s="45"/>
      <c r="T679" s="45"/>
      <c r="U679" s="48" t="str">
        <f aca="false">IF(O679&gt;0,P679/O679,"")</f>
        <v/>
      </c>
      <c r="V679" s="49" t="str">
        <f aca="false">IF(P679&gt;0,Q679/P679,"")</f>
        <v/>
      </c>
      <c r="W679" s="50" t="n">
        <f aca="false">IF(R679&lt;&gt;"",R679,Q679*'Cài đặt'!$B$12)</f>
        <v>0</v>
      </c>
      <c r="X679" s="50" t="str">
        <f aca="false">IF(O679&gt;0,W679/O679*1000,"")</f>
        <v/>
      </c>
      <c r="Y679" s="51" t="n">
        <f aca="false">IF(T679&lt;&gt;"",T679,INDEX('Cài đặt'!$B$20:$C$22,MATCH(I679,'Cài đặt'!$A$20:$A$22,0),IF(K679="AI tự động",1,2)))</f>
        <v>4</v>
      </c>
    </row>
    <row r="680" customFormat="false" ht="15" hidden="false" customHeight="false" outlineLevel="0" collapsed="false">
      <c r="A680" s="41" t="s">
        <v>1130</v>
      </c>
      <c r="B680" s="41" t="s">
        <v>958</v>
      </c>
      <c r="C680" s="41" t="s">
        <v>163</v>
      </c>
      <c r="D680" s="42" t="str">
        <f aca="false">INDEX('Page và Ngách'!$B$5:$B$10,MATCH(C680,'Page và Ngách'!$A$5:$A$10,0))</f>
        <v>Secret billionaire / CEO</v>
      </c>
      <c r="E680" s="41" t="n">
        <v>15</v>
      </c>
      <c r="F680" s="43" t="n">
        <f aca="false">'Cài đặt'!$B$39+E680-1</f>
        <v>46391</v>
      </c>
      <c r="G680" s="41" t="s">
        <v>451</v>
      </c>
      <c r="H680" s="44" t="str">
        <f aca="false">IF(G680="S1",'Cài đặt'!$B$7,'Cài đặt'!$B$8)</f>
        <v>20:00</v>
      </c>
      <c r="I680" s="44" t="str">
        <f aca="false">'Cài đặt'!$B$32</f>
        <v>Carousel</v>
      </c>
      <c r="J680" s="44" t="str">
        <f aca="false">'Cài đặt'!$B$33</f>
        <v>A</v>
      </c>
      <c r="K680" s="41" t="s">
        <v>445</v>
      </c>
      <c r="L680" s="42" t="str">
        <f aca="false">C680&amp;"_"&amp;B680&amp;"_"&amp;IF(I680="Reel","R",IF(I680="Carousel","C","I"))&amp;"_"&amp;J680&amp;"_"&amp;IF(K680="AI tự động","AI","HU")&amp;"_"&amp;RIGHT(A680,3)</f>
        <v>P2_EXP3_C_A_AI_030</v>
      </c>
      <c r="M680" s="45"/>
      <c r="N680" s="45"/>
      <c r="O680" s="46"/>
      <c r="P680" s="46"/>
      <c r="Q680" s="46"/>
      <c r="R680" s="47"/>
      <c r="S680" s="45"/>
      <c r="T680" s="45"/>
      <c r="U680" s="48" t="str">
        <f aca="false">IF(O680&gt;0,P680/O680,"")</f>
        <v/>
      </c>
      <c r="V680" s="49" t="str">
        <f aca="false">IF(P680&gt;0,Q680/P680,"")</f>
        <v/>
      </c>
      <c r="W680" s="50" t="n">
        <f aca="false">IF(R680&lt;&gt;"",R680,Q680*'Cài đặt'!$B$12)</f>
        <v>0</v>
      </c>
      <c r="X680" s="50" t="str">
        <f aca="false">IF(O680&gt;0,W680/O680*1000,"")</f>
        <v/>
      </c>
      <c r="Y680" s="51" t="n">
        <f aca="false">IF(T680&lt;&gt;"",T680,INDEX('Cài đặt'!$B$20:$C$22,MATCH(I680,'Cài đặt'!$A$20:$A$22,0),IF(K680="AI tự động",1,2)))</f>
        <v>4</v>
      </c>
    </row>
    <row r="681" customFormat="false" ht="15" hidden="false" customHeight="false" outlineLevel="0" collapsed="false">
      <c r="A681" s="41" t="s">
        <v>1131</v>
      </c>
      <c r="B681" s="41" t="s">
        <v>958</v>
      </c>
      <c r="C681" s="41" t="s">
        <v>171</v>
      </c>
      <c r="D681" s="42" t="str">
        <f aca="false">INDEX('Page và Ngách'!$B$5:$B$10,MATCH(C681,'Page và Ngách'!$A$5:$A$10,0))</f>
        <v>Contract marriage / Fake relationship</v>
      </c>
      <c r="E681" s="41" t="n">
        <v>15</v>
      </c>
      <c r="F681" s="43" t="n">
        <f aca="false">'Cài đặt'!$B$39+E681-1</f>
        <v>46391</v>
      </c>
      <c r="G681" s="41" t="s">
        <v>444</v>
      </c>
      <c r="H681" s="44" t="str">
        <f aca="false">IF(G681="S1",'Cài đặt'!$B$7,'Cài đặt'!$B$8)</f>
        <v>12:00</v>
      </c>
      <c r="I681" s="44" t="str">
        <f aca="false">'Cài đặt'!$B$32</f>
        <v>Carousel</v>
      </c>
      <c r="J681" s="44" t="str">
        <f aca="false">'Cài đặt'!$B$33</f>
        <v>A</v>
      </c>
      <c r="K681" s="41" t="s">
        <v>961</v>
      </c>
      <c r="L681" s="42" t="str">
        <f aca="false">C681&amp;"_"&amp;B681&amp;"_"&amp;IF(I681="Reel","R",IF(I681="Carousel","C","I"))&amp;"_"&amp;J681&amp;"_"&amp;IF(K681="AI tự động","AI","HU")&amp;"_"&amp;RIGHT(A681,3)</f>
        <v>P3_EXP3_C_A_HU_029</v>
      </c>
      <c r="M681" s="45"/>
      <c r="N681" s="45"/>
      <c r="O681" s="46"/>
      <c r="P681" s="46"/>
      <c r="Q681" s="46"/>
      <c r="R681" s="47"/>
      <c r="S681" s="45"/>
      <c r="T681" s="45"/>
      <c r="U681" s="48" t="str">
        <f aca="false">IF(O681&gt;0,P681/O681,"")</f>
        <v/>
      </c>
      <c r="V681" s="49" t="str">
        <f aca="false">IF(P681&gt;0,Q681/P681,"")</f>
        <v/>
      </c>
      <c r="W681" s="50" t="n">
        <f aca="false">IF(R681&lt;&gt;"",R681,Q681*'Cài đặt'!$B$12)</f>
        <v>0</v>
      </c>
      <c r="X681" s="50" t="str">
        <f aca="false">IF(O681&gt;0,W681/O681*1000,"")</f>
        <v/>
      </c>
      <c r="Y681" s="51" t="n">
        <f aca="false">IF(T681&lt;&gt;"",T681,INDEX('Cài đặt'!$B$20:$C$22,MATCH(I681,'Cài đặt'!$A$20:$A$22,0),IF(K681="AI tự động",1,2)))</f>
        <v>25</v>
      </c>
    </row>
    <row r="682" customFormat="false" ht="15" hidden="false" customHeight="false" outlineLevel="0" collapsed="false">
      <c r="A682" s="41" t="s">
        <v>1132</v>
      </c>
      <c r="B682" s="41" t="s">
        <v>958</v>
      </c>
      <c r="C682" s="41" t="s">
        <v>171</v>
      </c>
      <c r="D682" s="42" t="str">
        <f aca="false">INDEX('Page và Ngách'!$B$5:$B$10,MATCH(C682,'Page và Ngách'!$A$5:$A$10,0))</f>
        <v>Contract marriage / Fake relationship</v>
      </c>
      <c r="E682" s="41" t="n">
        <v>15</v>
      </c>
      <c r="F682" s="43" t="n">
        <f aca="false">'Cài đặt'!$B$39+E682-1</f>
        <v>46391</v>
      </c>
      <c r="G682" s="41" t="s">
        <v>451</v>
      </c>
      <c r="H682" s="44" t="str">
        <f aca="false">IF(G682="S1",'Cài đặt'!$B$7,'Cài đặt'!$B$8)</f>
        <v>20:00</v>
      </c>
      <c r="I682" s="44" t="str">
        <f aca="false">'Cài đặt'!$B$32</f>
        <v>Carousel</v>
      </c>
      <c r="J682" s="44" t="str">
        <f aca="false">'Cài đặt'!$B$33</f>
        <v>A</v>
      </c>
      <c r="K682" s="41" t="s">
        <v>445</v>
      </c>
      <c r="L682" s="42" t="str">
        <f aca="false">C682&amp;"_"&amp;B682&amp;"_"&amp;IF(I682="Reel","R",IF(I682="Carousel","C","I"))&amp;"_"&amp;J682&amp;"_"&amp;IF(K682="AI tự động","AI","HU")&amp;"_"&amp;RIGHT(A682,3)</f>
        <v>P3_EXP3_C_A_AI_030</v>
      </c>
      <c r="M682" s="45"/>
      <c r="N682" s="45"/>
      <c r="O682" s="46"/>
      <c r="P682" s="46"/>
      <c r="Q682" s="46"/>
      <c r="R682" s="47"/>
      <c r="S682" s="45"/>
      <c r="T682" s="45"/>
      <c r="U682" s="48" t="str">
        <f aca="false">IF(O682&gt;0,P682/O682,"")</f>
        <v/>
      </c>
      <c r="V682" s="49" t="str">
        <f aca="false">IF(P682&gt;0,Q682/P682,"")</f>
        <v/>
      </c>
      <c r="W682" s="50" t="n">
        <f aca="false">IF(R682&lt;&gt;"",R682,Q682*'Cài đặt'!$B$12)</f>
        <v>0</v>
      </c>
      <c r="X682" s="50" t="str">
        <f aca="false">IF(O682&gt;0,W682/O682*1000,"")</f>
        <v/>
      </c>
      <c r="Y682" s="51" t="n">
        <f aca="false">IF(T682&lt;&gt;"",T682,INDEX('Cài đặt'!$B$20:$C$22,MATCH(I682,'Cài đặt'!$A$20:$A$22,0),IF(K682="AI tự động",1,2)))</f>
        <v>4</v>
      </c>
    </row>
    <row r="683" customFormat="false" ht="15" hidden="false" customHeight="false" outlineLevel="0" collapsed="false">
      <c r="A683" s="41" t="s">
        <v>1133</v>
      </c>
      <c r="B683" s="41" t="s">
        <v>958</v>
      </c>
      <c r="C683" s="41" t="s">
        <v>178</v>
      </c>
      <c r="D683" s="42" t="str">
        <f aca="false">INDEX('Page và Ngách'!$B$5:$B$10,MATCH(C683,'Page và Ngách'!$A$5:$A$10,0))</f>
        <v>Revenge / Betrayal ("you'll regret it")</v>
      </c>
      <c r="E683" s="41" t="n">
        <v>15</v>
      </c>
      <c r="F683" s="43" t="n">
        <f aca="false">'Cài đặt'!$B$39+E683-1</f>
        <v>46391</v>
      </c>
      <c r="G683" s="41" t="s">
        <v>444</v>
      </c>
      <c r="H683" s="44" t="str">
        <f aca="false">IF(G683="S1",'Cài đặt'!$B$7,'Cài đặt'!$B$8)</f>
        <v>12:00</v>
      </c>
      <c r="I683" s="44" t="str">
        <f aca="false">'Cài đặt'!$B$32</f>
        <v>Carousel</v>
      </c>
      <c r="J683" s="44" t="str">
        <f aca="false">'Cài đặt'!$B$33</f>
        <v>A</v>
      </c>
      <c r="K683" s="41" t="s">
        <v>445</v>
      </c>
      <c r="L683" s="42" t="str">
        <f aca="false">C683&amp;"_"&amp;B683&amp;"_"&amp;IF(I683="Reel","R",IF(I683="Carousel","C","I"))&amp;"_"&amp;J683&amp;"_"&amp;IF(K683="AI tự động","AI","HU")&amp;"_"&amp;RIGHT(A683,3)</f>
        <v>P4_EXP3_C_A_AI_029</v>
      </c>
      <c r="M683" s="45"/>
      <c r="N683" s="45"/>
      <c r="O683" s="46"/>
      <c r="P683" s="46"/>
      <c r="Q683" s="46"/>
      <c r="R683" s="47"/>
      <c r="S683" s="45"/>
      <c r="T683" s="45"/>
      <c r="U683" s="48" t="str">
        <f aca="false">IF(O683&gt;0,P683/O683,"")</f>
        <v/>
      </c>
      <c r="V683" s="49" t="str">
        <f aca="false">IF(P683&gt;0,Q683/P683,"")</f>
        <v/>
      </c>
      <c r="W683" s="50" t="n">
        <f aca="false">IF(R683&lt;&gt;"",R683,Q683*'Cài đặt'!$B$12)</f>
        <v>0</v>
      </c>
      <c r="X683" s="50" t="str">
        <f aca="false">IF(O683&gt;0,W683/O683*1000,"")</f>
        <v/>
      </c>
      <c r="Y683" s="51" t="n">
        <f aca="false">IF(T683&lt;&gt;"",T683,INDEX('Cài đặt'!$B$20:$C$22,MATCH(I683,'Cài đặt'!$A$20:$A$22,0),IF(K683="AI tự động",1,2)))</f>
        <v>4</v>
      </c>
    </row>
    <row r="684" customFormat="false" ht="15" hidden="false" customHeight="false" outlineLevel="0" collapsed="false">
      <c r="A684" s="41" t="s">
        <v>1134</v>
      </c>
      <c r="B684" s="41" t="s">
        <v>958</v>
      </c>
      <c r="C684" s="41" t="s">
        <v>178</v>
      </c>
      <c r="D684" s="42" t="str">
        <f aca="false">INDEX('Page và Ngách'!$B$5:$B$10,MATCH(C684,'Page và Ngách'!$A$5:$A$10,0))</f>
        <v>Revenge / Betrayal ("you'll regret it")</v>
      </c>
      <c r="E684" s="41" t="n">
        <v>15</v>
      </c>
      <c r="F684" s="43" t="n">
        <f aca="false">'Cài đặt'!$B$39+E684-1</f>
        <v>46391</v>
      </c>
      <c r="G684" s="41" t="s">
        <v>451</v>
      </c>
      <c r="H684" s="44" t="str">
        <f aca="false">IF(G684="S1",'Cài đặt'!$B$7,'Cài đặt'!$B$8)</f>
        <v>20:00</v>
      </c>
      <c r="I684" s="44" t="str">
        <f aca="false">'Cài đặt'!$B$32</f>
        <v>Carousel</v>
      </c>
      <c r="J684" s="44" t="str">
        <f aca="false">'Cài đặt'!$B$33</f>
        <v>A</v>
      </c>
      <c r="K684" s="41" t="s">
        <v>445</v>
      </c>
      <c r="L684" s="42" t="str">
        <f aca="false">C684&amp;"_"&amp;B684&amp;"_"&amp;IF(I684="Reel","R",IF(I684="Carousel","C","I"))&amp;"_"&amp;J684&amp;"_"&amp;IF(K684="AI tự động","AI","HU")&amp;"_"&amp;RIGHT(A684,3)</f>
        <v>P4_EXP3_C_A_AI_030</v>
      </c>
      <c r="M684" s="45"/>
      <c r="N684" s="45"/>
      <c r="O684" s="46"/>
      <c r="P684" s="46"/>
      <c r="Q684" s="46"/>
      <c r="R684" s="47"/>
      <c r="S684" s="45"/>
      <c r="T684" s="45"/>
      <c r="U684" s="48" t="str">
        <f aca="false">IF(O684&gt;0,P684/O684,"")</f>
        <v/>
      </c>
      <c r="V684" s="49" t="str">
        <f aca="false">IF(P684&gt;0,Q684/P684,"")</f>
        <v/>
      </c>
      <c r="W684" s="50" t="n">
        <f aca="false">IF(R684&lt;&gt;"",R684,Q684*'Cài đặt'!$B$12)</f>
        <v>0</v>
      </c>
      <c r="X684" s="50" t="str">
        <f aca="false">IF(O684&gt;0,W684/O684*1000,"")</f>
        <v/>
      </c>
      <c r="Y684" s="51" t="n">
        <f aca="false">IF(T684&lt;&gt;"",T684,INDEX('Cài đặt'!$B$20:$C$22,MATCH(I684,'Cài đặt'!$A$20:$A$22,0),IF(K684="AI tự động",1,2)))</f>
        <v>4</v>
      </c>
    </row>
    <row r="685" customFormat="false" ht="15" hidden="false" customHeight="false" outlineLevel="0" collapsed="false">
      <c r="A685" s="41" t="s">
        <v>1135</v>
      </c>
      <c r="B685" s="41" t="s">
        <v>958</v>
      </c>
      <c r="C685" s="41" t="s">
        <v>185</v>
      </c>
      <c r="D685" s="42" t="str">
        <f aca="false">INDEX('Page và Ngách'!$B$5:$B$10,MATCH(C685,'Page và Ngách'!$A$5:$A$10,0))</f>
        <v>Mafia / Dark romance (teaser PG-13)</v>
      </c>
      <c r="E685" s="41" t="n">
        <v>15</v>
      </c>
      <c r="F685" s="43" t="n">
        <f aca="false">'Cài đặt'!$B$39+E685-1</f>
        <v>46391</v>
      </c>
      <c r="G685" s="41" t="s">
        <v>444</v>
      </c>
      <c r="H685" s="44" t="str">
        <f aca="false">IF(G685="S1",'Cài đặt'!$B$7,'Cài đặt'!$B$8)</f>
        <v>12:00</v>
      </c>
      <c r="I685" s="44" t="str">
        <f aca="false">'Cài đặt'!$B$32</f>
        <v>Carousel</v>
      </c>
      <c r="J685" s="44" t="str">
        <f aca="false">'Cài đặt'!$B$33</f>
        <v>A</v>
      </c>
      <c r="K685" s="41" t="s">
        <v>445</v>
      </c>
      <c r="L685" s="42" t="str">
        <f aca="false">C685&amp;"_"&amp;B685&amp;"_"&amp;IF(I685="Reel","R",IF(I685="Carousel","C","I"))&amp;"_"&amp;J685&amp;"_"&amp;IF(K685="AI tự động","AI","HU")&amp;"_"&amp;RIGHT(A685,3)</f>
        <v>P5_EXP3_C_A_AI_029</v>
      </c>
      <c r="M685" s="45"/>
      <c r="N685" s="45"/>
      <c r="O685" s="46"/>
      <c r="P685" s="46"/>
      <c r="Q685" s="46"/>
      <c r="R685" s="47"/>
      <c r="S685" s="45"/>
      <c r="T685" s="45"/>
      <c r="U685" s="48" t="str">
        <f aca="false">IF(O685&gt;0,P685/O685,"")</f>
        <v/>
      </c>
      <c r="V685" s="49" t="str">
        <f aca="false">IF(P685&gt;0,Q685/P685,"")</f>
        <v/>
      </c>
      <c r="W685" s="50" t="n">
        <f aca="false">IF(R685&lt;&gt;"",R685,Q685*'Cài đặt'!$B$12)</f>
        <v>0</v>
      </c>
      <c r="X685" s="50" t="str">
        <f aca="false">IF(O685&gt;0,W685/O685*1000,"")</f>
        <v/>
      </c>
      <c r="Y685" s="51" t="n">
        <f aca="false">IF(T685&lt;&gt;"",T685,INDEX('Cài đặt'!$B$20:$C$22,MATCH(I685,'Cài đặt'!$A$20:$A$22,0),IF(K685="AI tự động",1,2)))</f>
        <v>4</v>
      </c>
    </row>
    <row r="686" customFormat="false" ht="15" hidden="false" customHeight="false" outlineLevel="0" collapsed="false">
      <c r="A686" s="41" t="s">
        <v>1136</v>
      </c>
      <c r="B686" s="41" t="s">
        <v>958</v>
      </c>
      <c r="C686" s="41" t="s">
        <v>185</v>
      </c>
      <c r="D686" s="42" t="str">
        <f aca="false">INDEX('Page và Ngách'!$B$5:$B$10,MATCH(C686,'Page và Ngách'!$A$5:$A$10,0))</f>
        <v>Mafia / Dark romance (teaser PG-13)</v>
      </c>
      <c r="E686" s="41" t="n">
        <v>15</v>
      </c>
      <c r="F686" s="43" t="n">
        <f aca="false">'Cài đặt'!$B$39+E686-1</f>
        <v>46391</v>
      </c>
      <c r="G686" s="41" t="s">
        <v>451</v>
      </c>
      <c r="H686" s="44" t="str">
        <f aca="false">IF(G686="S1",'Cài đặt'!$B$7,'Cài đặt'!$B$8)</f>
        <v>20:00</v>
      </c>
      <c r="I686" s="44" t="str">
        <f aca="false">'Cài đặt'!$B$32</f>
        <v>Carousel</v>
      </c>
      <c r="J686" s="44" t="str">
        <f aca="false">'Cài đặt'!$B$33</f>
        <v>A</v>
      </c>
      <c r="K686" s="41" t="s">
        <v>961</v>
      </c>
      <c r="L686" s="42" t="str">
        <f aca="false">C686&amp;"_"&amp;B686&amp;"_"&amp;IF(I686="Reel","R",IF(I686="Carousel","C","I"))&amp;"_"&amp;J686&amp;"_"&amp;IF(K686="AI tự động","AI","HU")&amp;"_"&amp;RIGHT(A686,3)</f>
        <v>P5_EXP3_C_A_HU_030</v>
      </c>
      <c r="M686" s="45"/>
      <c r="N686" s="45"/>
      <c r="O686" s="46"/>
      <c r="P686" s="46"/>
      <c r="Q686" s="46"/>
      <c r="R686" s="47"/>
      <c r="S686" s="45"/>
      <c r="T686" s="45"/>
      <c r="U686" s="48" t="str">
        <f aca="false">IF(O686&gt;0,P686/O686,"")</f>
        <v/>
      </c>
      <c r="V686" s="49" t="str">
        <f aca="false">IF(P686&gt;0,Q686/P686,"")</f>
        <v/>
      </c>
      <c r="W686" s="50" t="n">
        <f aca="false">IF(R686&lt;&gt;"",R686,Q686*'Cài đặt'!$B$12)</f>
        <v>0</v>
      </c>
      <c r="X686" s="50" t="str">
        <f aca="false">IF(O686&gt;0,W686/O686*1000,"")</f>
        <v/>
      </c>
      <c r="Y686" s="51" t="n">
        <f aca="false">IF(T686&lt;&gt;"",T686,INDEX('Cài đặt'!$B$20:$C$22,MATCH(I686,'Cài đặt'!$A$20:$A$22,0),IF(K686="AI tự động",1,2)))</f>
        <v>25</v>
      </c>
    </row>
    <row r="687" customFormat="false" ht="15" hidden="false" customHeight="false" outlineLevel="0" collapsed="false">
      <c r="A687" s="41" t="s">
        <v>1137</v>
      </c>
      <c r="B687" s="41" t="s">
        <v>958</v>
      </c>
      <c r="C687" s="41" t="s">
        <v>193</v>
      </c>
      <c r="D687" s="42" t="str">
        <f aca="false">INDEX('Page và Ngách'!$B$5:$B$10,MATCH(C687,'Page và Ngách'!$A$5:$A$10,0))</f>
        <v>Second chance / Secret baby</v>
      </c>
      <c r="E687" s="41" t="n">
        <v>15</v>
      </c>
      <c r="F687" s="43" t="n">
        <f aca="false">'Cài đặt'!$B$39+E687-1</f>
        <v>46391</v>
      </c>
      <c r="G687" s="41" t="s">
        <v>444</v>
      </c>
      <c r="H687" s="44" t="str">
        <f aca="false">IF(G687="S1",'Cài đặt'!$B$7,'Cài đặt'!$B$8)</f>
        <v>12:00</v>
      </c>
      <c r="I687" s="44" t="str">
        <f aca="false">'Cài đặt'!$B$32</f>
        <v>Carousel</v>
      </c>
      <c r="J687" s="44" t="str">
        <f aca="false">'Cài đặt'!$B$33</f>
        <v>A</v>
      </c>
      <c r="K687" s="41" t="s">
        <v>445</v>
      </c>
      <c r="L687" s="42" t="str">
        <f aca="false">C687&amp;"_"&amp;B687&amp;"_"&amp;IF(I687="Reel","R",IF(I687="Carousel","C","I"))&amp;"_"&amp;J687&amp;"_"&amp;IF(K687="AI tự động","AI","HU")&amp;"_"&amp;RIGHT(A687,3)</f>
        <v>P6_EXP3_C_A_AI_029</v>
      </c>
      <c r="M687" s="45"/>
      <c r="N687" s="45"/>
      <c r="O687" s="46"/>
      <c r="P687" s="46"/>
      <c r="Q687" s="46"/>
      <c r="R687" s="47"/>
      <c r="S687" s="45"/>
      <c r="T687" s="45"/>
      <c r="U687" s="48" t="str">
        <f aca="false">IF(O687&gt;0,P687/O687,"")</f>
        <v/>
      </c>
      <c r="V687" s="49" t="str">
        <f aca="false">IF(P687&gt;0,Q687/P687,"")</f>
        <v/>
      </c>
      <c r="W687" s="50" t="n">
        <f aca="false">IF(R687&lt;&gt;"",R687,Q687*'Cài đặt'!$B$12)</f>
        <v>0</v>
      </c>
      <c r="X687" s="50" t="str">
        <f aca="false">IF(O687&gt;0,W687/O687*1000,"")</f>
        <v/>
      </c>
      <c r="Y687" s="51" t="n">
        <f aca="false">IF(T687&lt;&gt;"",T687,INDEX('Cài đặt'!$B$20:$C$22,MATCH(I687,'Cài đặt'!$A$20:$A$22,0),IF(K687="AI tự động",1,2)))</f>
        <v>4</v>
      </c>
    </row>
    <row r="688" customFormat="false" ht="15" hidden="false" customHeight="false" outlineLevel="0" collapsed="false">
      <c r="A688" s="41" t="s">
        <v>1138</v>
      </c>
      <c r="B688" s="41" t="s">
        <v>958</v>
      </c>
      <c r="C688" s="41" t="s">
        <v>193</v>
      </c>
      <c r="D688" s="42" t="str">
        <f aca="false">INDEX('Page và Ngách'!$B$5:$B$10,MATCH(C688,'Page và Ngách'!$A$5:$A$10,0))</f>
        <v>Second chance / Secret baby</v>
      </c>
      <c r="E688" s="41" t="n">
        <v>15</v>
      </c>
      <c r="F688" s="43" t="n">
        <f aca="false">'Cài đặt'!$B$39+E688-1</f>
        <v>46391</v>
      </c>
      <c r="G688" s="41" t="s">
        <v>451</v>
      </c>
      <c r="H688" s="44" t="str">
        <f aca="false">IF(G688="S1",'Cài đặt'!$B$7,'Cài đặt'!$B$8)</f>
        <v>20:00</v>
      </c>
      <c r="I688" s="44" t="str">
        <f aca="false">'Cài đặt'!$B$32</f>
        <v>Carousel</v>
      </c>
      <c r="J688" s="44" t="str">
        <f aca="false">'Cài đặt'!$B$33</f>
        <v>A</v>
      </c>
      <c r="K688" s="41" t="s">
        <v>445</v>
      </c>
      <c r="L688" s="42" t="str">
        <f aca="false">C688&amp;"_"&amp;B688&amp;"_"&amp;IF(I688="Reel","R",IF(I688="Carousel","C","I"))&amp;"_"&amp;J688&amp;"_"&amp;IF(K688="AI tự động","AI","HU")&amp;"_"&amp;RIGHT(A688,3)</f>
        <v>P6_EXP3_C_A_AI_030</v>
      </c>
      <c r="M688" s="45"/>
      <c r="N688" s="45"/>
      <c r="O688" s="46"/>
      <c r="P688" s="46"/>
      <c r="Q688" s="46"/>
      <c r="R688" s="47"/>
      <c r="S688" s="45"/>
      <c r="T688" s="45"/>
      <c r="U688" s="48" t="str">
        <f aca="false">IF(O688&gt;0,P688/O688,"")</f>
        <v/>
      </c>
      <c r="V688" s="49" t="str">
        <f aca="false">IF(P688&gt;0,Q688/P688,"")</f>
        <v/>
      </c>
      <c r="W688" s="50" t="n">
        <f aca="false">IF(R688&lt;&gt;"",R688,Q688*'Cài đặt'!$B$12)</f>
        <v>0</v>
      </c>
      <c r="X688" s="50" t="str">
        <f aca="false">IF(O688&gt;0,W688/O688*1000,"")</f>
        <v/>
      </c>
      <c r="Y688" s="51" t="n">
        <f aca="false">IF(T688&lt;&gt;"",T688,INDEX('Cài đặt'!$B$20:$C$22,MATCH(I688,'Cài đặt'!$A$20:$A$22,0),IF(K688="AI tự động",1,2)))</f>
        <v>4</v>
      </c>
    </row>
    <row r="689" customFormat="false" ht="15" hidden="false" customHeight="false" outlineLevel="0" collapsed="false">
      <c r="A689" s="41" t="s">
        <v>1139</v>
      </c>
      <c r="B689" s="41" t="s">
        <v>958</v>
      </c>
      <c r="C689" s="41" t="s">
        <v>154</v>
      </c>
      <c r="D689" s="42" t="str">
        <f aca="false">INDEX('Page và Ngách'!$B$5:$B$10,MATCH(C689,'Page và Ngách'!$A$5:$A$10,0))</f>
        <v>Werewolf / Rejected mate</v>
      </c>
      <c r="E689" s="41" t="n">
        <v>16</v>
      </c>
      <c r="F689" s="43" t="n">
        <f aca="false">'Cài đặt'!$B$39+E689-1</f>
        <v>46392</v>
      </c>
      <c r="G689" s="41" t="s">
        <v>444</v>
      </c>
      <c r="H689" s="44" t="str">
        <f aca="false">IF(G689="S1",'Cài đặt'!$B$7,'Cài đặt'!$B$8)</f>
        <v>12:00</v>
      </c>
      <c r="I689" s="44" t="str">
        <f aca="false">'Cài đặt'!$B$32</f>
        <v>Carousel</v>
      </c>
      <c r="J689" s="44" t="str">
        <f aca="false">'Cài đặt'!$B$33</f>
        <v>A</v>
      </c>
      <c r="K689" s="41" t="s">
        <v>445</v>
      </c>
      <c r="L689" s="42" t="str">
        <f aca="false">C689&amp;"_"&amp;B689&amp;"_"&amp;IF(I689="Reel","R",IF(I689="Carousel","C","I"))&amp;"_"&amp;J689&amp;"_"&amp;IF(K689="AI tự động","AI","HU")&amp;"_"&amp;RIGHT(A689,3)</f>
        <v>P1_EXP3_C_A_AI_031</v>
      </c>
      <c r="M689" s="45"/>
      <c r="N689" s="45"/>
      <c r="O689" s="46"/>
      <c r="P689" s="46"/>
      <c r="Q689" s="46"/>
      <c r="R689" s="47"/>
      <c r="S689" s="45"/>
      <c r="T689" s="45"/>
      <c r="U689" s="48" t="str">
        <f aca="false">IF(O689&gt;0,P689/O689,"")</f>
        <v/>
      </c>
      <c r="V689" s="49" t="str">
        <f aca="false">IF(P689&gt;0,Q689/P689,"")</f>
        <v/>
      </c>
      <c r="W689" s="50" t="n">
        <f aca="false">IF(R689&lt;&gt;"",R689,Q689*'Cài đặt'!$B$12)</f>
        <v>0</v>
      </c>
      <c r="X689" s="50" t="str">
        <f aca="false">IF(O689&gt;0,W689/O689*1000,"")</f>
        <v/>
      </c>
      <c r="Y689" s="51" t="n">
        <f aca="false">IF(T689&lt;&gt;"",T689,INDEX('Cài đặt'!$B$20:$C$22,MATCH(I689,'Cài đặt'!$A$20:$A$22,0),IF(K689="AI tự động",1,2)))</f>
        <v>4</v>
      </c>
    </row>
    <row r="690" customFormat="false" ht="15" hidden="false" customHeight="false" outlineLevel="0" collapsed="false">
      <c r="A690" s="41" t="s">
        <v>1140</v>
      </c>
      <c r="B690" s="41" t="s">
        <v>958</v>
      </c>
      <c r="C690" s="41" t="s">
        <v>154</v>
      </c>
      <c r="D690" s="42" t="str">
        <f aca="false">INDEX('Page và Ngách'!$B$5:$B$10,MATCH(C690,'Page và Ngách'!$A$5:$A$10,0))</f>
        <v>Werewolf / Rejected mate</v>
      </c>
      <c r="E690" s="41" t="n">
        <v>16</v>
      </c>
      <c r="F690" s="43" t="n">
        <f aca="false">'Cài đặt'!$B$39+E690-1</f>
        <v>46392</v>
      </c>
      <c r="G690" s="41" t="s">
        <v>451</v>
      </c>
      <c r="H690" s="44" t="str">
        <f aca="false">IF(G690="S1",'Cài đặt'!$B$7,'Cài đặt'!$B$8)</f>
        <v>20:00</v>
      </c>
      <c r="I690" s="44" t="str">
        <f aca="false">'Cài đặt'!$B$32</f>
        <v>Carousel</v>
      </c>
      <c r="J690" s="44" t="str">
        <f aca="false">'Cài đặt'!$B$33</f>
        <v>A</v>
      </c>
      <c r="K690" s="41" t="s">
        <v>445</v>
      </c>
      <c r="L690" s="42" t="str">
        <f aca="false">C690&amp;"_"&amp;B690&amp;"_"&amp;IF(I690="Reel","R",IF(I690="Carousel","C","I"))&amp;"_"&amp;J690&amp;"_"&amp;IF(K690="AI tự động","AI","HU")&amp;"_"&amp;RIGHT(A690,3)</f>
        <v>P1_EXP3_C_A_AI_032</v>
      </c>
      <c r="M690" s="45"/>
      <c r="N690" s="45"/>
      <c r="O690" s="46"/>
      <c r="P690" s="46"/>
      <c r="Q690" s="46"/>
      <c r="R690" s="47"/>
      <c r="S690" s="45"/>
      <c r="T690" s="45"/>
      <c r="U690" s="48" t="str">
        <f aca="false">IF(O690&gt;0,P690/O690,"")</f>
        <v/>
      </c>
      <c r="V690" s="49" t="str">
        <f aca="false">IF(P690&gt;0,Q690/P690,"")</f>
        <v/>
      </c>
      <c r="W690" s="50" t="n">
        <f aca="false">IF(R690&lt;&gt;"",R690,Q690*'Cài đặt'!$B$12)</f>
        <v>0</v>
      </c>
      <c r="X690" s="50" t="str">
        <f aca="false">IF(O690&gt;0,W690/O690*1000,"")</f>
        <v/>
      </c>
      <c r="Y690" s="51" t="n">
        <f aca="false">IF(T690&lt;&gt;"",T690,INDEX('Cài đặt'!$B$20:$C$22,MATCH(I690,'Cài đặt'!$A$20:$A$22,0),IF(K690="AI tự động",1,2)))</f>
        <v>4</v>
      </c>
    </row>
    <row r="691" customFormat="false" ht="15" hidden="false" customHeight="false" outlineLevel="0" collapsed="false">
      <c r="A691" s="41" t="s">
        <v>1141</v>
      </c>
      <c r="B691" s="41" t="s">
        <v>958</v>
      </c>
      <c r="C691" s="41" t="s">
        <v>163</v>
      </c>
      <c r="D691" s="42" t="str">
        <f aca="false">INDEX('Page và Ngách'!$B$5:$B$10,MATCH(C691,'Page và Ngách'!$A$5:$A$10,0))</f>
        <v>Secret billionaire / CEO</v>
      </c>
      <c r="E691" s="41" t="n">
        <v>16</v>
      </c>
      <c r="F691" s="43" t="n">
        <f aca="false">'Cài đặt'!$B$39+E691-1</f>
        <v>46392</v>
      </c>
      <c r="G691" s="41" t="s">
        <v>444</v>
      </c>
      <c r="H691" s="44" t="str">
        <f aca="false">IF(G691="S1",'Cài đặt'!$B$7,'Cài đặt'!$B$8)</f>
        <v>12:00</v>
      </c>
      <c r="I691" s="44" t="str">
        <f aca="false">'Cài đặt'!$B$32</f>
        <v>Carousel</v>
      </c>
      <c r="J691" s="44" t="str">
        <f aca="false">'Cài đặt'!$B$33</f>
        <v>A</v>
      </c>
      <c r="K691" s="41" t="s">
        <v>445</v>
      </c>
      <c r="L691" s="42" t="str">
        <f aca="false">C691&amp;"_"&amp;B691&amp;"_"&amp;IF(I691="Reel","R",IF(I691="Carousel","C","I"))&amp;"_"&amp;J691&amp;"_"&amp;IF(K691="AI tự động","AI","HU")&amp;"_"&amp;RIGHT(A691,3)</f>
        <v>P2_EXP3_C_A_AI_031</v>
      </c>
      <c r="M691" s="45"/>
      <c r="N691" s="45"/>
      <c r="O691" s="46"/>
      <c r="P691" s="46"/>
      <c r="Q691" s="46"/>
      <c r="R691" s="47"/>
      <c r="S691" s="45"/>
      <c r="T691" s="45"/>
      <c r="U691" s="48" t="str">
        <f aca="false">IF(O691&gt;0,P691/O691,"")</f>
        <v/>
      </c>
      <c r="V691" s="49" t="str">
        <f aca="false">IF(P691&gt;0,Q691/P691,"")</f>
        <v/>
      </c>
      <c r="W691" s="50" t="n">
        <f aca="false">IF(R691&lt;&gt;"",R691,Q691*'Cài đặt'!$B$12)</f>
        <v>0</v>
      </c>
      <c r="X691" s="50" t="str">
        <f aca="false">IF(O691&gt;0,W691/O691*1000,"")</f>
        <v/>
      </c>
      <c r="Y691" s="51" t="n">
        <f aca="false">IF(T691&lt;&gt;"",T691,INDEX('Cài đặt'!$B$20:$C$22,MATCH(I691,'Cài đặt'!$A$20:$A$22,0),IF(K691="AI tự động",1,2)))</f>
        <v>4</v>
      </c>
    </row>
    <row r="692" customFormat="false" ht="15" hidden="false" customHeight="false" outlineLevel="0" collapsed="false">
      <c r="A692" s="41" t="s">
        <v>1142</v>
      </c>
      <c r="B692" s="41" t="s">
        <v>958</v>
      </c>
      <c r="C692" s="41" t="s">
        <v>163</v>
      </c>
      <c r="D692" s="42" t="str">
        <f aca="false">INDEX('Page và Ngách'!$B$5:$B$10,MATCH(C692,'Page và Ngách'!$A$5:$A$10,0))</f>
        <v>Secret billionaire / CEO</v>
      </c>
      <c r="E692" s="41" t="n">
        <v>16</v>
      </c>
      <c r="F692" s="43" t="n">
        <f aca="false">'Cài đặt'!$B$39+E692-1</f>
        <v>46392</v>
      </c>
      <c r="G692" s="41" t="s">
        <v>451</v>
      </c>
      <c r="H692" s="44" t="str">
        <f aca="false">IF(G692="S1",'Cài đặt'!$B$7,'Cài đặt'!$B$8)</f>
        <v>20:00</v>
      </c>
      <c r="I692" s="44" t="str">
        <f aca="false">'Cài đặt'!$B$32</f>
        <v>Carousel</v>
      </c>
      <c r="J692" s="44" t="str">
        <f aca="false">'Cài đặt'!$B$33</f>
        <v>A</v>
      </c>
      <c r="K692" s="41" t="s">
        <v>961</v>
      </c>
      <c r="L692" s="42" t="str">
        <f aca="false">C692&amp;"_"&amp;B692&amp;"_"&amp;IF(I692="Reel","R",IF(I692="Carousel","C","I"))&amp;"_"&amp;J692&amp;"_"&amp;IF(K692="AI tự động","AI","HU")&amp;"_"&amp;RIGHT(A692,3)</f>
        <v>P2_EXP3_C_A_HU_032</v>
      </c>
      <c r="M692" s="45"/>
      <c r="N692" s="45"/>
      <c r="O692" s="46"/>
      <c r="P692" s="46"/>
      <c r="Q692" s="46"/>
      <c r="R692" s="47"/>
      <c r="S692" s="45"/>
      <c r="T692" s="45"/>
      <c r="U692" s="48" t="str">
        <f aca="false">IF(O692&gt;0,P692/O692,"")</f>
        <v/>
      </c>
      <c r="V692" s="49" t="str">
        <f aca="false">IF(P692&gt;0,Q692/P692,"")</f>
        <v/>
      </c>
      <c r="W692" s="50" t="n">
        <f aca="false">IF(R692&lt;&gt;"",R692,Q692*'Cài đặt'!$B$12)</f>
        <v>0</v>
      </c>
      <c r="X692" s="50" t="str">
        <f aca="false">IF(O692&gt;0,W692/O692*1000,"")</f>
        <v/>
      </c>
      <c r="Y692" s="51" t="n">
        <f aca="false">IF(T692&lt;&gt;"",T692,INDEX('Cài đặt'!$B$20:$C$22,MATCH(I692,'Cài đặt'!$A$20:$A$22,0),IF(K692="AI tự động",1,2)))</f>
        <v>25</v>
      </c>
    </row>
    <row r="693" customFormat="false" ht="15" hidden="false" customHeight="false" outlineLevel="0" collapsed="false">
      <c r="A693" s="41" t="s">
        <v>1143</v>
      </c>
      <c r="B693" s="41" t="s">
        <v>958</v>
      </c>
      <c r="C693" s="41" t="s">
        <v>171</v>
      </c>
      <c r="D693" s="42" t="str">
        <f aca="false">INDEX('Page và Ngách'!$B$5:$B$10,MATCH(C693,'Page và Ngách'!$A$5:$A$10,0))</f>
        <v>Contract marriage / Fake relationship</v>
      </c>
      <c r="E693" s="41" t="n">
        <v>16</v>
      </c>
      <c r="F693" s="43" t="n">
        <f aca="false">'Cài đặt'!$B$39+E693-1</f>
        <v>46392</v>
      </c>
      <c r="G693" s="41" t="s">
        <v>444</v>
      </c>
      <c r="H693" s="44" t="str">
        <f aca="false">IF(G693="S1",'Cài đặt'!$B$7,'Cài đặt'!$B$8)</f>
        <v>12:00</v>
      </c>
      <c r="I693" s="44" t="str">
        <f aca="false">'Cài đặt'!$B$32</f>
        <v>Carousel</v>
      </c>
      <c r="J693" s="44" t="str">
        <f aca="false">'Cài đặt'!$B$33</f>
        <v>A</v>
      </c>
      <c r="K693" s="41" t="s">
        <v>445</v>
      </c>
      <c r="L693" s="42" t="str">
        <f aca="false">C693&amp;"_"&amp;B693&amp;"_"&amp;IF(I693="Reel","R",IF(I693="Carousel","C","I"))&amp;"_"&amp;J693&amp;"_"&amp;IF(K693="AI tự động","AI","HU")&amp;"_"&amp;RIGHT(A693,3)</f>
        <v>P3_EXP3_C_A_AI_031</v>
      </c>
      <c r="M693" s="45"/>
      <c r="N693" s="45"/>
      <c r="O693" s="46"/>
      <c r="P693" s="46"/>
      <c r="Q693" s="46"/>
      <c r="R693" s="47"/>
      <c r="S693" s="45"/>
      <c r="T693" s="45"/>
      <c r="U693" s="48" t="str">
        <f aca="false">IF(O693&gt;0,P693/O693,"")</f>
        <v/>
      </c>
      <c r="V693" s="49" t="str">
        <f aca="false">IF(P693&gt;0,Q693/P693,"")</f>
        <v/>
      </c>
      <c r="W693" s="50" t="n">
        <f aca="false">IF(R693&lt;&gt;"",R693,Q693*'Cài đặt'!$B$12)</f>
        <v>0</v>
      </c>
      <c r="X693" s="50" t="str">
        <f aca="false">IF(O693&gt;0,W693/O693*1000,"")</f>
        <v/>
      </c>
      <c r="Y693" s="51" t="n">
        <f aca="false">IF(T693&lt;&gt;"",T693,INDEX('Cài đặt'!$B$20:$C$22,MATCH(I693,'Cài đặt'!$A$20:$A$22,0),IF(K693="AI tự động",1,2)))</f>
        <v>4</v>
      </c>
    </row>
    <row r="694" customFormat="false" ht="15" hidden="false" customHeight="false" outlineLevel="0" collapsed="false">
      <c r="A694" s="41" t="s">
        <v>1144</v>
      </c>
      <c r="B694" s="41" t="s">
        <v>958</v>
      </c>
      <c r="C694" s="41" t="s">
        <v>171</v>
      </c>
      <c r="D694" s="42" t="str">
        <f aca="false">INDEX('Page và Ngách'!$B$5:$B$10,MATCH(C694,'Page và Ngách'!$A$5:$A$10,0))</f>
        <v>Contract marriage / Fake relationship</v>
      </c>
      <c r="E694" s="41" t="n">
        <v>16</v>
      </c>
      <c r="F694" s="43" t="n">
        <f aca="false">'Cài đặt'!$B$39+E694-1</f>
        <v>46392</v>
      </c>
      <c r="G694" s="41" t="s">
        <v>451</v>
      </c>
      <c r="H694" s="44" t="str">
        <f aca="false">IF(G694="S1",'Cài đặt'!$B$7,'Cài đặt'!$B$8)</f>
        <v>20:00</v>
      </c>
      <c r="I694" s="44" t="str">
        <f aca="false">'Cài đặt'!$B$32</f>
        <v>Carousel</v>
      </c>
      <c r="J694" s="44" t="str">
        <f aca="false">'Cài đặt'!$B$33</f>
        <v>A</v>
      </c>
      <c r="K694" s="41" t="s">
        <v>445</v>
      </c>
      <c r="L694" s="42" t="str">
        <f aca="false">C694&amp;"_"&amp;B694&amp;"_"&amp;IF(I694="Reel","R",IF(I694="Carousel","C","I"))&amp;"_"&amp;J694&amp;"_"&amp;IF(K694="AI tự động","AI","HU")&amp;"_"&amp;RIGHT(A694,3)</f>
        <v>P3_EXP3_C_A_AI_032</v>
      </c>
      <c r="M694" s="45"/>
      <c r="N694" s="45"/>
      <c r="O694" s="46"/>
      <c r="P694" s="46"/>
      <c r="Q694" s="46"/>
      <c r="R694" s="47"/>
      <c r="S694" s="45"/>
      <c r="T694" s="45"/>
      <c r="U694" s="48" t="str">
        <f aca="false">IF(O694&gt;0,P694/O694,"")</f>
        <v/>
      </c>
      <c r="V694" s="49" t="str">
        <f aca="false">IF(P694&gt;0,Q694/P694,"")</f>
        <v/>
      </c>
      <c r="W694" s="50" t="n">
        <f aca="false">IF(R694&lt;&gt;"",R694,Q694*'Cài đặt'!$B$12)</f>
        <v>0</v>
      </c>
      <c r="X694" s="50" t="str">
        <f aca="false">IF(O694&gt;0,W694/O694*1000,"")</f>
        <v/>
      </c>
      <c r="Y694" s="51" t="n">
        <f aca="false">IF(T694&lt;&gt;"",T694,INDEX('Cài đặt'!$B$20:$C$22,MATCH(I694,'Cài đặt'!$A$20:$A$22,0),IF(K694="AI tự động",1,2)))</f>
        <v>4</v>
      </c>
    </row>
    <row r="695" customFormat="false" ht="15" hidden="false" customHeight="false" outlineLevel="0" collapsed="false">
      <c r="A695" s="41" t="s">
        <v>1145</v>
      </c>
      <c r="B695" s="41" t="s">
        <v>958</v>
      </c>
      <c r="C695" s="41" t="s">
        <v>178</v>
      </c>
      <c r="D695" s="42" t="str">
        <f aca="false">INDEX('Page và Ngách'!$B$5:$B$10,MATCH(C695,'Page và Ngách'!$A$5:$A$10,0))</f>
        <v>Revenge / Betrayal ("you'll regret it")</v>
      </c>
      <c r="E695" s="41" t="n">
        <v>16</v>
      </c>
      <c r="F695" s="43" t="n">
        <f aca="false">'Cài đặt'!$B$39+E695-1</f>
        <v>46392</v>
      </c>
      <c r="G695" s="41" t="s">
        <v>444</v>
      </c>
      <c r="H695" s="44" t="str">
        <f aca="false">IF(G695="S1",'Cài đặt'!$B$7,'Cài đặt'!$B$8)</f>
        <v>12:00</v>
      </c>
      <c r="I695" s="44" t="str">
        <f aca="false">'Cài đặt'!$B$32</f>
        <v>Carousel</v>
      </c>
      <c r="J695" s="44" t="str">
        <f aca="false">'Cài đặt'!$B$33</f>
        <v>A</v>
      </c>
      <c r="K695" s="41" t="s">
        <v>445</v>
      </c>
      <c r="L695" s="42" t="str">
        <f aca="false">C695&amp;"_"&amp;B695&amp;"_"&amp;IF(I695="Reel","R",IF(I695="Carousel","C","I"))&amp;"_"&amp;J695&amp;"_"&amp;IF(K695="AI tự động","AI","HU")&amp;"_"&amp;RIGHT(A695,3)</f>
        <v>P4_EXP3_C_A_AI_031</v>
      </c>
      <c r="M695" s="45"/>
      <c r="N695" s="45"/>
      <c r="O695" s="46"/>
      <c r="P695" s="46"/>
      <c r="Q695" s="46"/>
      <c r="R695" s="47"/>
      <c r="S695" s="45"/>
      <c r="T695" s="45"/>
      <c r="U695" s="48" t="str">
        <f aca="false">IF(O695&gt;0,P695/O695,"")</f>
        <v/>
      </c>
      <c r="V695" s="49" t="str">
        <f aca="false">IF(P695&gt;0,Q695/P695,"")</f>
        <v/>
      </c>
      <c r="W695" s="50" t="n">
        <f aca="false">IF(R695&lt;&gt;"",R695,Q695*'Cài đặt'!$B$12)</f>
        <v>0</v>
      </c>
      <c r="X695" s="50" t="str">
        <f aca="false">IF(O695&gt;0,W695/O695*1000,"")</f>
        <v/>
      </c>
      <c r="Y695" s="51" t="n">
        <f aca="false">IF(T695&lt;&gt;"",T695,INDEX('Cài đặt'!$B$20:$C$22,MATCH(I695,'Cài đặt'!$A$20:$A$22,0),IF(K695="AI tự động",1,2)))</f>
        <v>4</v>
      </c>
    </row>
    <row r="696" customFormat="false" ht="15" hidden="false" customHeight="false" outlineLevel="0" collapsed="false">
      <c r="A696" s="41" t="s">
        <v>1146</v>
      </c>
      <c r="B696" s="41" t="s">
        <v>958</v>
      </c>
      <c r="C696" s="41" t="s">
        <v>178</v>
      </c>
      <c r="D696" s="42" t="str">
        <f aca="false">INDEX('Page và Ngách'!$B$5:$B$10,MATCH(C696,'Page và Ngách'!$A$5:$A$10,0))</f>
        <v>Revenge / Betrayal ("you'll regret it")</v>
      </c>
      <c r="E696" s="41" t="n">
        <v>16</v>
      </c>
      <c r="F696" s="43" t="n">
        <f aca="false">'Cài đặt'!$B$39+E696-1</f>
        <v>46392</v>
      </c>
      <c r="G696" s="41" t="s">
        <v>451</v>
      </c>
      <c r="H696" s="44" t="str">
        <f aca="false">IF(G696="S1",'Cài đặt'!$B$7,'Cài đặt'!$B$8)</f>
        <v>20:00</v>
      </c>
      <c r="I696" s="44" t="str">
        <f aca="false">'Cài đặt'!$B$32</f>
        <v>Carousel</v>
      </c>
      <c r="J696" s="44" t="str">
        <f aca="false">'Cài đặt'!$B$33</f>
        <v>A</v>
      </c>
      <c r="K696" s="41" t="s">
        <v>961</v>
      </c>
      <c r="L696" s="42" t="str">
        <f aca="false">C696&amp;"_"&amp;B696&amp;"_"&amp;IF(I696="Reel","R",IF(I696="Carousel","C","I"))&amp;"_"&amp;J696&amp;"_"&amp;IF(K696="AI tự động","AI","HU")&amp;"_"&amp;RIGHT(A696,3)</f>
        <v>P4_EXP3_C_A_HU_032</v>
      </c>
      <c r="M696" s="45"/>
      <c r="N696" s="45"/>
      <c r="O696" s="46"/>
      <c r="P696" s="46"/>
      <c r="Q696" s="46"/>
      <c r="R696" s="47"/>
      <c r="S696" s="45"/>
      <c r="T696" s="45"/>
      <c r="U696" s="48" t="str">
        <f aca="false">IF(O696&gt;0,P696/O696,"")</f>
        <v/>
      </c>
      <c r="V696" s="49" t="str">
        <f aca="false">IF(P696&gt;0,Q696/P696,"")</f>
        <v/>
      </c>
      <c r="W696" s="50" t="n">
        <f aca="false">IF(R696&lt;&gt;"",R696,Q696*'Cài đặt'!$B$12)</f>
        <v>0</v>
      </c>
      <c r="X696" s="50" t="str">
        <f aca="false">IF(O696&gt;0,W696/O696*1000,"")</f>
        <v/>
      </c>
      <c r="Y696" s="51" t="n">
        <f aca="false">IF(T696&lt;&gt;"",T696,INDEX('Cài đặt'!$B$20:$C$22,MATCH(I696,'Cài đặt'!$A$20:$A$22,0),IF(K696="AI tự động",1,2)))</f>
        <v>25</v>
      </c>
    </row>
    <row r="697" customFormat="false" ht="15" hidden="false" customHeight="false" outlineLevel="0" collapsed="false">
      <c r="A697" s="41" t="s">
        <v>1147</v>
      </c>
      <c r="B697" s="41" t="s">
        <v>958</v>
      </c>
      <c r="C697" s="41" t="s">
        <v>185</v>
      </c>
      <c r="D697" s="42" t="str">
        <f aca="false">INDEX('Page và Ngách'!$B$5:$B$10,MATCH(C697,'Page và Ngách'!$A$5:$A$10,0))</f>
        <v>Mafia / Dark romance (teaser PG-13)</v>
      </c>
      <c r="E697" s="41" t="n">
        <v>16</v>
      </c>
      <c r="F697" s="43" t="n">
        <f aca="false">'Cài đặt'!$B$39+E697-1</f>
        <v>46392</v>
      </c>
      <c r="G697" s="41" t="s">
        <v>444</v>
      </c>
      <c r="H697" s="44" t="str">
        <f aca="false">IF(G697="S1",'Cài đặt'!$B$7,'Cài đặt'!$B$8)</f>
        <v>12:00</v>
      </c>
      <c r="I697" s="44" t="str">
        <f aca="false">'Cài đặt'!$B$32</f>
        <v>Carousel</v>
      </c>
      <c r="J697" s="44" t="str">
        <f aca="false">'Cài đặt'!$B$33</f>
        <v>A</v>
      </c>
      <c r="K697" s="41" t="s">
        <v>445</v>
      </c>
      <c r="L697" s="42" t="str">
        <f aca="false">C697&amp;"_"&amp;B697&amp;"_"&amp;IF(I697="Reel","R",IF(I697="Carousel","C","I"))&amp;"_"&amp;J697&amp;"_"&amp;IF(K697="AI tự động","AI","HU")&amp;"_"&amp;RIGHT(A697,3)</f>
        <v>P5_EXP3_C_A_AI_031</v>
      </c>
      <c r="M697" s="45"/>
      <c r="N697" s="45"/>
      <c r="O697" s="46"/>
      <c r="P697" s="46"/>
      <c r="Q697" s="46"/>
      <c r="R697" s="47"/>
      <c r="S697" s="45"/>
      <c r="T697" s="45"/>
      <c r="U697" s="48" t="str">
        <f aca="false">IF(O697&gt;0,P697/O697,"")</f>
        <v/>
      </c>
      <c r="V697" s="49" t="str">
        <f aca="false">IF(P697&gt;0,Q697/P697,"")</f>
        <v/>
      </c>
      <c r="W697" s="50" t="n">
        <f aca="false">IF(R697&lt;&gt;"",R697,Q697*'Cài đặt'!$B$12)</f>
        <v>0</v>
      </c>
      <c r="X697" s="50" t="str">
        <f aca="false">IF(O697&gt;0,W697/O697*1000,"")</f>
        <v/>
      </c>
      <c r="Y697" s="51" t="n">
        <f aca="false">IF(T697&lt;&gt;"",T697,INDEX('Cài đặt'!$B$20:$C$22,MATCH(I697,'Cài đặt'!$A$20:$A$22,0),IF(K697="AI tự động",1,2)))</f>
        <v>4</v>
      </c>
    </row>
    <row r="698" customFormat="false" ht="15" hidden="false" customHeight="false" outlineLevel="0" collapsed="false">
      <c r="A698" s="41" t="s">
        <v>1148</v>
      </c>
      <c r="B698" s="41" t="s">
        <v>958</v>
      </c>
      <c r="C698" s="41" t="s">
        <v>185</v>
      </c>
      <c r="D698" s="42" t="str">
        <f aca="false">INDEX('Page và Ngách'!$B$5:$B$10,MATCH(C698,'Page và Ngách'!$A$5:$A$10,0))</f>
        <v>Mafia / Dark romance (teaser PG-13)</v>
      </c>
      <c r="E698" s="41" t="n">
        <v>16</v>
      </c>
      <c r="F698" s="43" t="n">
        <f aca="false">'Cài đặt'!$B$39+E698-1</f>
        <v>46392</v>
      </c>
      <c r="G698" s="41" t="s">
        <v>451</v>
      </c>
      <c r="H698" s="44" t="str">
        <f aca="false">IF(G698="S1",'Cài đặt'!$B$7,'Cài đặt'!$B$8)</f>
        <v>20:00</v>
      </c>
      <c r="I698" s="44" t="str">
        <f aca="false">'Cài đặt'!$B$32</f>
        <v>Carousel</v>
      </c>
      <c r="J698" s="44" t="str">
        <f aca="false">'Cài đặt'!$B$33</f>
        <v>A</v>
      </c>
      <c r="K698" s="41" t="s">
        <v>445</v>
      </c>
      <c r="L698" s="42" t="str">
        <f aca="false">C698&amp;"_"&amp;B698&amp;"_"&amp;IF(I698="Reel","R",IF(I698="Carousel","C","I"))&amp;"_"&amp;J698&amp;"_"&amp;IF(K698="AI tự động","AI","HU")&amp;"_"&amp;RIGHT(A698,3)</f>
        <v>P5_EXP3_C_A_AI_032</v>
      </c>
      <c r="M698" s="45"/>
      <c r="N698" s="45"/>
      <c r="O698" s="46"/>
      <c r="P698" s="46"/>
      <c r="Q698" s="46"/>
      <c r="R698" s="47"/>
      <c r="S698" s="45"/>
      <c r="T698" s="45"/>
      <c r="U698" s="48" t="str">
        <f aca="false">IF(O698&gt;0,P698/O698,"")</f>
        <v/>
      </c>
      <c r="V698" s="49" t="str">
        <f aca="false">IF(P698&gt;0,Q698/P698,"")</f>
        <v/>
      </c>
      <c r="W698" s="50" t="n">
        <f aca="false">IF(R698&lt;&gt;"",R698,Q698*'Cài đặt'!$B$12)</f>
        <v>0</v>
      </c>
      <c r="X698" s="50" t="str">
        <f aca="false">IF(O698&gt;0,W698/O698*1000,"")</f>
        <v/>
      </c>
      <c r="Y698" s="51" t="n">
        <f aca="false">IF(T698&lt;&gt;"",T698,INDEX('Cài đặt'!$B$20:$C$22,MATCH(I698,'Cài đặt'!$A$20:$A$22,0),IF(K698="AI tự động",1,2)))</f>
        <v>4</v>
      </c>
    </row>
    <row r="699" customFormat="false" ht="15" hidden="false" customHeight="false" outlineLevel="0" collapsed="false">
      <c r="A699" s="41" t="s">
        <v>1149</v>
      </c>
      <c r="B699" s="41" t="s">
        <v>958</v>
      </c>
      <c r="C699" s="41" t="s">
        <v>193</v>
      </c>
      <c r="D699" s="42" t="str">
        <f aca="false">INDEX('Page và Ngách'!$B$5:$B$10,MATCH(C699,'Page và Ngách'!$A$5:$A$10,0))</f>
        <v>Second chance / Secret baby</v>
      </c>
      <c r="E699" s="41" t="n">
        <v>16</v>
      </c>
      <c r="F699" s="43" t="n">
        <f aca="false">'Cài đặt'!$B$39+E699-1</f>
        <v>46392</v>
      </c>
      <c r="G699" s="41" t="s">
        <v>444</v>
      </c>
      <c r="H699" s="44" t="str">
        <f aca="false">IF(G699="S1",'Cài đặt'!$B$7,'Cài đặt'!$B$8)</f>
        <v>12:00</v>
      </c>
      <c r="I699" s="44" t="str">
        <f aca="false">'Cài đặt'!$B$32</f>
        <v>Carousel</v>
      </c>
      <c r="J699" s="44" t="str">
        <f aca="false">'Cài đặt'!$B$33</f>
        <v>A</v>
      </c>
      <c r="K699" s="41" t="s">
        <v>445</v>
      </c>
      <c r="L699" s="42" t="str">
        <f aca="false">C699&amp;"_"&amp;B699&amp;"_"&amp;IF(I699="Reel","R",IF(I699="Carousel","C","I"))&amp;"_"&amp;J699&amp;"_"&amp;IF(K699="AI tự động","AI","HU")&amp;"_"&amp;RIGHT(A699,3)</f>
        <v>P6_EXP3_C_A_AI_031</v>
      </c>
      <c r="M699" s="45"/>
      <c r="N699" s="45"/>
      <c r="O699" s="46"/>
      <c r="P699" s="46"/>
      <c r="Q699" s="46"/>
      <c r="R699" s="47"/>
      <c r="S699" s="45"/>
      <c r="T699" s="45"/>
      <c r="U699" s="48" t="str">
        <f aca="false">IF(O699&gt;0,P699/O699,"")</f>
        <v/>
      </c>
      <c r="V699" s="49" t="str">
        <f aca="false">IF(P699&gt;0,Q699/P699,"")</f>
        <v/>
      </c>
      <c r="W699" s="50" t="n">
        <f aca="false">IF(R699&lt;&gt;"",R699,Q699*'Cài đặt'!$B$12)</f>
        <v>0</v>
      </c>
      <c r="X699" s="50" t="str">
        <f aca="false">IF(O699&gt;0,W699/O699*1000,"")</f>
        <v/>
      </c>
      <c r="Y699" s="51" t="n">
        <f aca="false">IF(T699&lt;&gt;"",T699,INDEX('Cài đặt'!$B$20:$C$22,MATCH(I699,'Cài đặt'!$A$20:$A$22,0),IF(K699="AI tự động",1,2)))</f>
        <v>4</v>
      </c>
    </row>
    <row r="700" customFormat="false" ht="15" hidden="false" customHeight="false" outlineLevel="0" collapsed="false">
      <c r="A700" s="41" t="s">
        <v>1150</v>
      </c>
      <c r="B700" s="41" t="s">
        <v>958</v>
      </c>
      <c r="C700" s="41" t="s">
        <v>193</v>
      </c>
      <c r="D700" s="42" t="str">
        <f aca="false">INDEX('Page và Ngách'!$B$5:$B$10,MATCH(C700,'Page và Ngách'!$A$5:$A$10,0))</f>
        <v>Second chance / Secret baby</v>
      </c>
      <c r="E700" s="41" t="n">
        <v>16</v>
      </c>
      <c r="F700" s="43" t="n">
        <f aca="false">'Cài đặt'!$B$39+E700-1</f>
        <v>46392</v>
      </c>
      <c r="G700" s="41" t="s">
        <v>451</v>
      </c>
      <c r="H700" s="44" t="str">
        <f aca="false">IF(G700="S1",'Cài đặt'!$B$7,'Cài đặt'!$B$8)</f>
        <v>20:00</v>
      </c>
      <c r="I700" s="44" t="str">
        <f aca="false">'Cài đặt'!$B$32</f>
        <v>Carousel</v>
      </c>
      <c r="J700" s="44" t="str">
        <f aca="false">'Cài đặt'!$B$33</f>
        <v>A</v>
      </c>
      <c r="K700" s="41" t="s">
        <v>445</v>
      </c>
      <c r="L700" s="42" t="str">
        <f aca="false">C700&amp;"_"&amp;B700&amp;"_"&amp;IF(I700="Reel","R",IF(I700="Carousel","C","I"))&amp;"_"&amp;J700&amp;"_"&amp;IF(K700="AI tự động","AI","HU")&amp;"_"&amp;RIGHT(A700,3)</f>
        <v>P6_EXP3_C_A_AI_032</v>
      </c>
      <c r="M700" s="45"/>
      <c r="N700" s="45"/>
      <c r="O700" s="46"/>
      <c r="P700" s="46"/>
      <c r="Q700" s="46"/>
      <c r="R700" s="47"/>
      <c r="S700" s="45"/>
      <c r="T700" s="45"/>
      <c r="U700" s="48" t="str">
        <f aca="false">IF(O700&gt;0,P700/O700,"")</f>
        <v/>
      </c>
      <c r="V700" s="49" t="str">
        <f aca="false">IF(P700&gt;0,Q700/P700,"")</f>
        <v/>
      </c>
      <c r="W700" s="50" t="n">
        <f aca="false">IF(R700&lt;&gt;"",R700,Q700*'Cài đặt'!$B$12)</f>
        <v>0</v>
      </c>
      <c r="X700" s="50" t="str">
        <f aca="false">IF(O700&gt;0,W700/O700*1000,"")</f>
        <v/>
      </c>
      <c r="Y700" s="51" t="n">
        <f aca="false">IF(T700&lt;&gt;"",T700,INDEX('Cài đặt'!$B$20:$C$22,MATCH(I700,'Cài đặt'!$A$20:$A$22,0),IF(K700="AI tự động",1,2)))</f>
        <v>4</v>
      </c>
    </row>
    <row r="701" customFormat="false" ht="15" hidden="false" customHeight="false" outlineLevel="0" collapsed="false">
      <c r="A701" s="41" t="s">
        <v>1151</v>
      </c>
      <c r="B701" s="41" t="s">
        <v>958</v>
      </c>
      <c r="C701" s="41" t="s">
        <v>154</v>
      </c>
      <c r="D701" s="42" t="str">
        <f aca="false">INDEX('Page và Ngách'!$B$5:$B$10,MATCH(C701,'Page và Ngách'!$A$5:$A$10,0))</f>
        <v>Werewolf / Rejected mate</v>
      </c>
      <c r="E701" s="41" t="n">
        <v>17</v>
      </c>
      <c r="F701" s="43" t="n">
        <f aca="false">'Cài đặt'!$B$39+E701-1</f>
        <v>46393</v>
      </c>
      <c r="G701" s="41" t="s">
        <v>444</v>
      </c>
      <c r="H701" s="44" t="str">
        <f aca="false">IF(G701="S1",'Cài đặt'!$B$7,'Cài đặt'!$B$8)</f>
        <v>12:00</v>
      </c>
      <c r="I701" s="44" t="str">
        <f aca="false">'Cài đặt'!$B$32</f>
        <v>Carousel</v>
      </c>
      <c r="J701" s="44" t="str">
        <f aca="false">'Cài đặt'!$B$33</f>
        <v>A</v>
      </c>
      <c r="K701" s="41" t="s">
        <v>445</v>
      </c>
      <c r="L701" s="42" t="str">
        <f aca="false">C701&amp;"_"&amp;B701&amp;"_"&amp;IF(I701="Reel","R",IF(I701="Carousel","C","I"))&amp;"_"&amp;J701&amp;"_"&amp;IF(K701="AI tự động","AI","HU")&amp;"_"&amp;RIGHT(A701,3)</f>
        <v>P1_EXP3_C_A_AI_033</v>
      </c>
      <c r="M701" s="45"/>
      <c r="N701" s="45"/>
      <c r="O701" s="46"/>
      <c r="P701" s="46"/>
      <c r="Q701" s="46"/>
      <c r="R701" s="47"/>
      <c r="S701" s="45"/>
      <c r="T701" s="45"/>
      <c r="U701" s="48" t="str">
        <f aca="false">IF(O701&gt;0,P701/O701,"")</f>
        <v/>
      </c>
      <c r="V701" s="49" t="str">
        <f aca="false">IF(P701&gt;0,Q701/P701,"")</f>
        <v/>
      </c>
      <c r="W701" s="50" t="n">
        <f aca="false">IF(R701&lt;&gt;"",R701,Q701*'Cài đặt'!$B$12)</f>
        <v>0</v>
      </c>
      <c r="X701" s="50" t="str">
        <f aca="false">IF(O701&gt;0,W701/O701*1000,"")</f>
        <v/>
      </c>
      <c r="Y701" s="51" t="n">
        <f aca="false">IF(T701&lt;&gt;"",T701,INDEX('Cài đặt'!$B$20:$C$22,MATCH(I701,'Cài đặt'!$A$20:$A$22,0),IF(K701="AI tự động",1,2)))</f>
        <v>4</v>
      </c>
    </row>
    <row r="702" customFormat="false" ht="15" hidden="false" customHeight="false" outlineLevel="0" collapsed="false">
      <c r="A702" s="41" t="s">
        <v>1152</v>
      </c>
      <c r="B702" s="41" t="s">
        <v>958</v>
      </c>
      <c r="C702" s="41" t="s">
        <v>154</v>
      </c>
      <c r="D702" s="42" t="str">
        <f aca="false">INDEX('Page và Ngách'!$B$5:$B$10,MATCH(C702,'Page và Ngách'!$A$5:$A$10,0))</f>
        <v>Werewolf / Rejected mate</v>
      </c>
      <c r="E702" s="41" t="n">
        <v>17</v>
      </c>
      <c r="F702" s="43" t="n">
        <f aca="false">'Cài đặt'!$B$39+E702-1</f>
        <v>46393</v>
      </c>
      <c r="G702" s="41" t="s">
        <v>451</v>
      </c>
      <c r="H702" s="44" t="str">
        <f aca="false">IF(G702="S1",'Cài đặt'!$B$7,'Cài đặt'!$B$8)</f>
        <v>20:00</v>
      </c>
      <c r="I702" s="44" t="str">
        <f aca="false">'Cài đặt'!$B$32</f>
        <v>Carousel</v>
      </c>
      <c r="J702" s="44" t="str">
        <f aca="false">'Cài đặt'!$B$33</f>
        <v>A</v>
      </c>
      <c r="K702" s="41" t="s">
        <v>961</v>
      </c>
      <c r="L702" s="42" t="str">
        <f aca="false">C702&amp;"_"&amp;B702&amp;"_"&amp;IF(I702="Reel","R",IF(I702="Carousel","C","I"))&amp;"_"&amp;J702&amp;"_"&amp;IF(K702="AI tự động","AI","HU")&amp;"_"&amp;RIGHT(A702,3)</f>
        <v>P1_EXP3_C_A_HU_034</v>
      </c>
      <c r="M702" s="45"/>
      <c r="N702" s="45"/>
      <c r="O702" s="46"/>
      <c r="P702" s="46"/>
      <c r="Q702" s="46"/>
      <c r="R702" s="47"/>
      <c r="S702" s="45"/>
      <c r="T702" s="45"/>
      <c r="U702" s="48" t="str">
        <f aca="false">IF(O702&gt;0,P702/O702,"")</f>
        <v/>
      </c>
      <c r="V702" s="49" t="str">
        <f aca="false">IF(P702&gt;0,Q702/P702,"")</f>
        <v/>
      </c>
      <c r="W702" s="50" t="n">
        <f aca="false">IF(R702&lt;&gt;"",R702,Q702*'Cài đặt'!$B$12)</f>
        <v>0</v>
      </c>
      <c r="X702" s="50" t="str">
        <f aca="false">IF(O702&gt;0,W702/O702*1000,"")</f>
        <v/>
      </c>
      <c r="Y702" s="51" t="n">
        <f aca="false">IF(T702&lt;&gt;"",T702,INDEX('Cài đặt'!$B$20:$C$22,MATCH(I702,'Cài đặt'!$A$20:$A$22,0),IF(K702="AI tự động",1,2)))</f>
        <v>25</v>
      </c>
    </row>
    <row r="703" customFormat="false" ht="15" hidden="false" customHeight="false" outlineLevel="0" collapsed="false">
      <c r="A703" s="41" t="s">
        <v>1153</v>
      </c>
      <c r="B703" s="41" t="s">
        <v>958</v>
      </c>
      <c r="C703" s="41" t="s">
        <v>163</v>
      </c>
      <c r="D703" s="42" t="str">
        <f aca="false">INDEX('Page và Ngách'!$B$5:$B$10,MATCH(C703,'Page và Ngách'!$A$5:$A$10,0))</f>
        <v>Secret billionaire / CEO</v>
      </c>
      <c r="E703" s="41" t="n">
        <v>17</v>
      </c>
      <c r="F703" s="43" t="n">
        <f aca="false">'Cài đặt'!$B$39+E703-1</f>
        <v>46393</v>
      </c>
      <c r="G703" s="41" t="s">
        <v>444</v>
      </c>
      <c r="H703" s="44" t="str">
        <f aca="false">IF(G703="S1",'Cài đặt'!$B$7,'Cài đặt'!$B$8)</f>
        <v>12:00</v>
      </c>
      <c r="I703" s="44" t="str">
        <f aca="false">'Cài đặt'!$B$32</f>
        <v>Carousel</v>
      </c>
      <c r="J703" s="44" t="str">
        <f aca="false">'Cài đặt'!$B$33</f>
        <v>A</v>
      </c>
      <c r="K703" s="41" t="s">
        <v>445</v>
      </c>
      <c r="L703" s="42" t="str">
        <f aca="false">C703&amp;"_"&amp;B703&amp;"_"&amp;IF(I703="Reel","R",IF(I703="Carousel","C","I"))&amp;"_"&amp;J703&amp;"_"&amp;IF(K703="AI tự động","AI","HU")&amp;"_"&amp;RIGHT(A703,3)</f>
        <v>P2_EXP3_C_A_AI_033</v>
      </c>
      <c r="M703" s="45"/>
      <c r="N703" s="45"/>
      <c r="O703" s="46"/>
      <c r="P703" s="46"/>
      <c r="Q703" s="46"/>
      <c r="R703" s="47"/>
      <c r="S703" s="45"/>
      <c r="T703" s="45"/>
      <c r="U703" s="48" t="str">
        <f aca="false">IF(O703&gt;0,P703/O703,"")</f>
        <v/>
      </c>
      <c r="V703" s="49" t="str">
        <f aca="false">IF(P703&gt;0,Q703/P703,"")</f>
        <v/>
      </c>
      <c r="W703" s="50" t="n">
        <f aca="false">IF(R703&lt;&gt;"",R703,Q703*'Cài đặt'!$B$12)</f>
        <v>0</v>
      </c>
      <c r="X703" s="50" t="str">
        <f aca="false">IF(O703&gt;0,W703/O703*1000,"")</f>
        <v/>
      </c>
      <c r="Y703" s="51" t="n">
        <f aca="false">IF(T703&lt;&gt;"",T703,INDEX('Cài đặt'!$B$20:$C$22,MATCH(I703,'Cài đặt'!$A$20:$A$22,0),IF(K703="AI tự động",1,2)))</f>
        <v>4</v>
      </c>
    </row>
    <row r="704" customFormat="false" ht="15" hidden="false" customHeight="false" outlineLevel="0" collapsed="false">
      <c r="A704" s="41" t="s">
        <v>1154</v>
      </c>
      <c r="B704" s="41" t="s">
        <v>958</v>
      </c>
      <c r="C704" s="41" t="s">
        <v>163</v>
      </c>
      <c r="D704" s="42" t="str">
        <f aca="false">INDEX('Page và Ngách'!$B$5:$B$10,MATCH(C704,'Page và Ngách'!$A$5:$A$10,0))</f>
        <v>Secret billionaire / CEO</v>
      </c>
      <c r="E704" s="41" t="n">
        <v>17</v>
      </c>
      <c r="F704" s="43" t="n">
        <f aca="false">'Cài đặt'!$B$39+E704-1</f>
        <v>46393</v>
      </c>
      <c r="G704" s="41" t="s">
        <v>451</v>
      </c>
      <c r="H704" s="44" t="str">
        <f aca="false">IF(G704="S1",'Cài đặt'!$B$7,'Cài đặt'!$B$8)</f>
        <v>20:00</v>
      </c>
      <c r="I704" s="44" t="str">
        <f aca="false">'Cài đặt'!$B$32</f>
        <v>Carousel</v>
      </c>
      <c r="J704" s="44" t="str">
        <f aca="false">'Cài đặt'!$B$33</f>
        <v>A</v>
      </c>
      <c r="K704" s="41" t="s">
        <v>445</v>
      </c>
      <c r="L704" s="42" t="str">
        <f aca="false">C704&amp;"_"&amp;B704&amp;"_"&amp;IF(I704="Reel","R",IF(I704="Carousel","C","I"))&amp;"_"&amp;J704&amp;"_"&amp;IF(K704="AI tự động","AI","HU")&amp;"_"&amp;RIGHT(A704,3)</f>
        <v>P2_EXP3_C_A_AI_034</v>
      </c>
      <c r="M704" s="45"/>
      <c r="N704" s="45"/>
      <c r="O704" s="46"/>
      <c r="P704" s="46"/>
      <c r="Q704" s="46"/>
      <c r="R704" s="47"/>
      <c r="S704" s="45"/>
      <c r="T704" s="45"/>
      <c r="U704" s="48" t="str">
        <f aca="false">IF(O704&gt;0,P704/O704,"")</f>
        <v/>
      </c>
      <c r="V704" s="49" t="str">
        <f aca="false">IF(P704&gt;0,Q704/P704,"")</f>
        <v/>
      </c>
      <c r="W704" s="50" t="n">
        <f aca="false">IF(R704&lt;&gt;"",R704,Q704*'Cài đặt'!$B$12)</f>
        <v>0</v>
      </c>
      <c r="X704" s="50" t="str">
        <f aca="false">IF(O704&gt;0,W704/O704*1000,"")</f>
        <v/>
      </c>
      <c r="Y704" s="51" t="n">
        <f aca="false">IF(T704&lt;&gt;"",T704,INDEX('Cài đặt'!$B$20:$C$22,MATCH(I704,'Cài đặt'!$A$20:$A$22,0),IF(K704="AI tự động",1,2)))</f>
        <v>4</v>
      </c>
    </row>
    <row r="705" customFormat="false" ht="15" hidden="false" customHeight="false" outlineLevel="0" collapsed="false">
      <c r="A705" s="41" t="s">
        <v>1155</v>
      </c>
      <c r="B705" s="41" t="s">
        <v>958</v>
      </c>
      <c r="C705" s="41" t="s">
        <v>171</v>
      </c>
      <c r="D705" s="42" t="str">
        <f aca="false">INDEX('Page và Ngách'!$B$5:$B$10,MATCH(C705,'Page và Ngách'!$A$5:$A$10,0))</f>
        <v>Contract marriage / Fake relationship</v>
      </c>
      <c r="E705" s="41" t="n">
        <v>17</v>
      </c>
      <c r="F705" s="43" t="n">
        <f aca="false">'Cài đặt'!$B$39+E705-1</f>
        <v>46393</v>
      </c>
      <c r="G705" s="41" t="s">
        <v>444</v>
      </c>
      <c r="H705" s="44" t="str">
        <f aca="false">IF(G705="S1",'Cài đặt'!$B$7,'Cài đặt'!$B$8)</f>
        <v>12:00</v>
      </c>
      <c r="I705" s="44" t="str">
        <f aca="false">'Cài đặt'!$B$32</f>
        <v>Carousel</v>
      </c>
      <c r="J705" s="44" t="str">
        <f aca="false">'Cài đặt'!$B$33</f>
        <v>A</v>
      </c>
      <c r="K705" s="41" t="s">
        <v>445</v>
      </c>
      <c r="L705" s="42" t="str">
        <f aca="false">C705&amp;"_"&amp;B705&amp;"_"&amp;IF(I705="Reel","R",IF(I705="Carousel","C","I"))&amp;"_"&amp;J705&amp;"_"&amp;IF(K705="AI tự động","AI","HU")&amp;"_"&amp;RIGHT(A705,3)</f>
        <v>P3_EXP3_C_A_AI_033</v>
      </c>
      <c r="M705" s="45"/>
      <c r="N705" s="45"/>
      <c r="O705" s="46"/>
      <c r="P705" s="46"/>
      <c r="Q705" s="46"/>
      <c r="R705" s="47"/>
      <c r="S705" s="45"/>
      <c r="T705" s="45"/>
      <c r="U705" s="48" t="str">
        <f aca="false">IF(O705&gt;0,P705/O705,"")</f>
        <v/>
      </c>
      <c r="V705" s="49" t="str">
        <f aca="false">IF(P705&gt;0,Q705/P705,"")</f>
        <v/>
      </c>
      <c r="W705" s="50" t="n">
        <f aca="false">IF(R705&lt;&gt;"",R705,Q705*'Cài đặt'!$B$12)</f>
        <v>0</v>
      </c>
      <c r="X705" s="50" t="str">
        <f aca="false">IF(O705&gt;0,W705/O705*1000,"")</f>
        <v/>
      </c>
      <c r="Y705" s="51" t="n">
        <f aca="false">IF(T705&lt;&gt;"",T705,INDEX('Cài đặt'!$B$20:$C$22,MATCH(I705,'Cài đặt'!$A$20:$A$22,0),IF(K705="AI tự động",1,2)))</f>
        <v>4</v>
      </c>
    </row>
    <row r="706" customFormat="false" ht="15" hidden="false" customHeight="false" outlineLevel="0" collapsed="false">
      <c r="A706" s="41" t="s">
        <v>1156</v>
      </c>
      <c r="B706" s="41" t="s">
        <v>958</v>
      </c>
      <c r="C706" s="41" t="s">
        <v>171</v>
      </c>
      <c r="D706" s="42" t="str">
        <f aca="false">INDEX('Page và Ngách'!$B$5:$B$10,MATCH(C706,'Page và Ngách'!$A$5:$A$10,0))</f>
        <v>Contract marriage / Fake relationship</v>
      </c>
      <c r="E706" s="41" t="n">
        <v>17</v>
      </c>
      <c r="F706" s="43" t="n">
        <f aca="false">'Cài đặt'!$B$39+E706-1</f>
        <v>46393</v>
      </c>
      <c r="G706" s="41" t="s">
        <v>451</v>
      </c>
      <c r="H706" s="44" t="str">
        <f aca="false">IF(G706="S1",'Cài đặt'!$B$7,'Cài đặt'!$B$8)</f>
        <v>20:00</v>
      </c>
      <c r="I706" s="44" t="str">
        <f aca="false">'Cài đặt'!$B$32</f>
        <v>Carousel</v>
      </c>
      <c r="J706" s="44" t="str">
        <f aca="false">'Cài đặt'!$B$33</f>
        <v>A</v>
      </c>
      <c r="K706" s="41" t="s">
        <v>445</v>
      </c>
      <c r="L706" s="42" t="str">
        <f aca="false">C706&amp;"_"&amp;B706&amp;"_"&amp;IF(I706="Reel","R",IF(I706="Carousel","C","I"))&amp;"_"&amp;J706&amp;"_"&amp;IF(K706="AI tự động","AI","HU")&amp;"_"&amp;RIGHT(A706,3)</f>
        <v>P3_EXP3_C_A_AI_034</v>
      </c>
      <c r="M706" s="45"/>
      <c r="N706" s="45"/>
      <c r="O706" s="46"/>
      <c r="P706" s="46"/>
      <c r="Q706" s="46"/>
      <c r="R706" s="47"/>
      <c r="S706" s="45"/>
      <c r="T706" s="45"/>
      <c r="U706" s="48" t="str">
        <f aca="false">IF(O706&gt;0,P706/O706,"")</f>
        <v/>
      </c>
      <c r="V706" s="49" t="str">
        <f aca="false">IF(P706&gt;0,Q706/P706,"")</f>
        <v/>
      </c>
      <c r="W706" s="50" t="n">
        <f aca="false">IF(R706&lt;&gt;"",R706,Q706*'Cài đặt'!$B$12)</f>
        <v>0</v>
      </c>
      <c r="X706" s="50" t="str">
        <f aca="false">IF(O706&gt;0,W706/O706*1000,"")</f>
        <v/>
      </c>
      <c r="Y706" s="51" t="n">
        <f aca="false">IF(T706&lt;&gt;"",T706,INDEX('Cài đặt'!$B$20:$C$22,MATCH(I706,'Cài đặt'!$A$20:$A$22,0),IF(K706="AI tự động",1,2)))</f>
        <v>4</v>
      </c>
    </row>
    <row r="707" customFormat="false" ht="15" hidden="false" customHeight="false" outlineLevel="0" collapsed="false">
      <c r="A707" s="41" t="s">
        <v>1157</v>
      </c>
      <c r="B707" s="41" t="s">
        <v>958</v>
      </c>
      <c r="C707" s="41" t="s">
        <v>178</v>
      </c>
      <c r="D707" s="42" t="str">
        <f aca="false">INDEX('Page và Ngách'!$B$5:$B$10,MATCH(C707,'Page và Ngách'!$A$5:$A$10,0))</f>
        <v>Revenge / Betrayal ("you'll regret it")</v>
      </c>
      <c r="E707" s="41" t="n">
        <v>17</v>
      </c>
      <c r="F707" s="43" t="n">
        <f aca="false">'Cài đặt'!$B$39+E707-1</f>
        <v>46393</v>
      </c>
      <c r="G707" s="41" t="s">
        <v>444</v>
      </c>
      <c r="H707" s="44" t="str">
        <f aca="false">IF(G707="S1",'Cài đặt'!$B$7,'Cài đặt'!$B$8)</f>
        <v>12:00</v>
      </c>
      <c r="I707" s="44" t="str">
        <f aca="false">'Cài đặt'!$B$32</f>
        <v>Carousel</v>
      </c>
      <c r="J707" s="44" t="str">
        <f aca="false">'Cài đặt'!$B$33</f>
        <v>A</v>
      </c>
      <c r="K707" s="41" t="s">
        <v>445</v>
      </c>
      <c r="L707" s="42" t="str">
        <f aca="false">C707&amp;"_"&amp;B707&amp;"_"&amp;IF(I707="Reel","R",IF(I707="Carousel","C","I"))&amp;"_"&amp;J707&amp;"_"&amp;IF(K707="AI tự động","AI","HU")&amp;"_"&amp;RIGHT(A707,3)</f>
        <v>P4_EXP3_C_A_AI_033</v>
      </c>
      <c r="M707" s="45"/>
      <c r="N707" s="45"/>
      <c r="O707" s="46"/>
      <c r="P707" s="46"/>
      <c r="Q707" s="46"/>
      <c r="R707" s="47"/>
      <c r="S707" s="45"/>
      <c r="T707" s="45"/>
      <c r="U707" s="48" t="str">
        <f aca="false">IF(O707&gt;0,P707/O707,"")</f>
        <v/>
      </c>
      <c r="V707" s="49" t="str">
        <f aca="false">IF(P707&gt;0,Q707/P707,"")</f>
        <v/>
      </c>
      <c r="W707" s="50" t="n">
        <f aca="false">IF(R707&lt;&gt;"",R707,Q707*'Cài đặt'!$B$12)</f>
        <v>0</v>
      </c>
      <c r="X707" s="50" t="str">
        <f aca="false">IF(O707&gt;0,W707/O707*1000,"")</f>
        <v/>
      </c>
      <c r="Y707" s="51" t="n">
        <f aca="false">IF(T707&lt;&gt;"",T707,INDEX('Cài đặt'!$B$20:$C$22,MATCH(I707,'Cài đặt'!$A$20:$A$22,0),IF(K707="AI tự động",1,2)))</f>
        <v>4</v>
      </c>
    </row>
    <row r="708" customFormat="false" ht="15" hidden="false" customHeight="false" outlineLevel="0" collapsed="false">
      <c r="A708" s="41" t="s">
        <v>1158</v>
      </c>
      <c r="B708" s="41" t="s">
        <v>958</v>
      </c>
      <c r="C708" s="41" t="s">
        <v>178</v>
      </c>
      <c r="D708" s="42" t="str">
        <f aca="false">INDEX('Page và Ngách'!$B$5:$B$10,MATCH(C708,'Page và Ngách'!$A$5:$A$10,0))</f>
        <v>Revenge / Betrayal ("you'll regret it")</v>
      </c>
      <c r="E708" s="41" t="n">
        <v>17</v>
      </c>
      <c r="F708" s="43" t="n">
        <f aca="false">'Cài đặt'!$B$39+E708-1</f>
        <v>46393</v>
      </c>
      <c r="G708" s="41" t="s">
        <v>451</v>
      </c>
      <c r="H708" s="44" t="str">
        <f aca="false">IF(G708="S1",'Cài đặt'!$B$7,'Cài đặt'!$B$8)</f>
        <v>20:00</v>
      </c>
      <c r="I708" s="44" t="str">
        <f aca="false">'Cài đặt'!$B$32</f>
        <v>Carousel</v>
      </c>
      <c r="J708" s="44" t="str">
        <f aca="false">'Cài đặt'!$B$33</f>
        <v>A</v>
      </c>
      <c r="K708" s="41" t="s">
        <v>445</v>
      </c>
      <c r="L708" s="42" t="str">
        <f aca="false">C708&amp;"_"&amp;B708&amp;"_"&amp;IF(I708="Reel","R",IF(I708="Carousel","C","I"))&amp;"_"&amp;J708&amp;"_"&amp;IF(K708="AI tự động","AI","HU")&amp;"_"&amp;RIGHT(A708,3)</f>
        <v>P4_EXP3_C_A_AI_034</v>
      </c>
      <c r="M708" s="45"/>
      <c r="N708" s="45"/>
      <c r="O708" s="46"/>
      <c r="P708" s="46"/>
      <c r="Q708" s="46"/>
      <c r="R708" s="47"/>
      <c r="S708" s="45"/>
      <c r="T708" s="45"/>
      <c r="U708" s="48" t="str">
        <f aca="false">IF(O708&gt;0,P708/O708,"")</f>
        <v/>
      </c>
      <c r="V708" s="49" t="str">
        <f aca="false">IF(P708&gt;0,Q708/P708,"")</f>
        <v/>
      </c>
      <c r="W708" s="50" t="n">
        <f aca="false">IF(R708&lt;&gt;"",R708,Q708*'Cài đặt'!$B$12)</f>
        <v>0</v>
      </c>
      <c r="X708" s="50" t="str">
        <f aca="false">IF(O708&gt;0,W708/O708*1000,"")</f>
        <v/>
      </c>
      <c r="Y708" s="51" t="n">
        <f aca="false">IF(T708&lt;&gt;"",T708,INDEX('Cài đặt'!$B$20:$C$22,MATCH(I708,'Cài đặt'!$A$20:$A$22,0),IF(K708="AI tự động",1,2)))</f>
        <v>4</v>
      </c>
    </row>
    <row r="709" customFormat="false" ht="15" hidden="false" customHeight="false" outlineLevel="0" collapsed="false">
      <c r="A709" s="41" t="s">
        <v>1159</v>
      </c>
      <c r="B709" s="41" t="s">
        <v>958</v>
      </c>
      <c r="C709" s="41" t="s">
        <v>185</v>
      </c>
      <c r="D709" s="42" t="str">
        <f aca="false">INDEX('Page và Ngách'!$B$5:$B$10,MATCH(C709,'Page và Ngách'!$A$5:$A$10,0))</f>
        <v>Mafia / Dark romance (teaser PG-13)</v>
      </c>
      <c r="E709" s="41" t="n">
        <v>17</v>
      </c>
      <c r="F709" s="43" t="n">
        <f aca="false">'Cài đặt'!$B$39+E709-1</f>
        <v>46393</v>
      </c>
      <c r="G709" s="41" t="s">
        <v>444</v>
      </c>
      <c r="H709" s="44" t="str">
        <f aca="false">IF(G709="S1",'Cài đặt'!$B$7,'Cài đặt'!$B$8)</f>
        <v>12:00</v>
      </c>
      <c r="I709" s="44" t="str">
        <f aca="false">'Cài đặt'!$B$32</f>
        <v>Carousel</v>
      </c>
      <c r="J709" s="44" t="str">
        <f aca="false">'Cài đặt'!$B$33</f>
        <v>A</v>
      </c>
      <c r="K709" s="41" t="s">
        <v>445</v>
      </c>
      <c r="L709" s="42" t="str">
        <f aca="false">C709&amp;"_"&amp;B709&amp;"_"&amp;IF(I709="Reel","R",IF(I709="Carousel","C","I"))&amp;"_"&amp;J709&amp;"_"&amp;IF(K709="AI tự động","AI","HU")&amp;"_"&amp;RIGHT(A709,3)</f>
        <v>P5_EXP3_C_A_AI_033</v>
      </c>
      <c r="M709" s="45"/>
      <c r="N709" s="45"/>
      <c r="O709" s="46"/>
      <c r="P709" s="46"/>
      <c r="Q709" s="46"/>
      <c r="R709" s="47"/>
      <c r="S709" s="45"/>
      <c r="T709" s="45"/>
      <c r="U709" s="48" t="str">
        <f aca="false">IF(O709&gt;0,P709/O709,"")</f>
        <v/>
      </c>
      <c r="V709" s="49" t="str">
        <f aca="false">IF(P709&gt;0,Q709/P709,"")</f>
        <v/>
      </c>
      <c r="W709" s="50" t="n">
        <f aca="false">IF(R709&lt;&gt;"",R709,Q709*'Cài đặt'!$B$12)</f>
        <v>0</v>
      </c>
      <c r="X709" s="50" t="str">
        <f aca="false">IF(O709&gt;0,W709/O709*1000,"")</f>
        <v/>
      </c>
      <c r="Y709" s="51" t="n">
        <f aca="false">IF(T709&lt;&gt;"",T709,INDEX('Cài đặt'!$B$20:$C$22,MATCH(I709,'Cài đặt'!$A$20:$A$22,0),IF(K709="AI tự động",1,2)))</f>
        <v>4</v>
      </c>
    </row>
    <row r="710" customFormat="false" ht="15" hidden="false" customHeight="false" outlineLevel="0" collapsed="false">
      <c r="A710" s="41" t="s">
        <v>1160</v>
      </c>
      <c r="B710" s="41" t="s">
        <v>958</v>
      </c>
      <c r="C710" s="41" t="s">
        <v>185</v>
      </c>
      <c r="D710" s="42" t="str">
        <f aca="false">INDEX('Page và Ngách'!$B$5:$B$10,MATCH(C710,'Page và Ngách'!$A$5:$A$10,0))</f>
        <v>Mafia / Dark romance (teaser PG-13)</v>
      </c>
      <c r="E710" s="41" t="n">
        <v>17</v>
      </c>
      <c r="F710" s="43" t="n">
        <f aca="false">'Cài đặt'!$B$39+E710-1</f>
        <v>46393</v>
      </c>
      <c r="G710" s="41" t="s">
        <v>451</v>
      </c>
      <c r="H710" s="44" t="str">
        <f aca="false">IF(G710="S1",'Cài đặt'!$B$7,'Cài đặt'!$B$8)</f>
        <v>20:00</v>
      </c>
      <c r="I710" s="44" t="str">
        <f aca="false">'Cài đặt'!$B$32</f>
        <v>Carousel</v>
      </c>
      <c r="J710" s="44" t="str">
        <f aca="false">'Cài đặt'!$B$33</f>
        <v>A</v>
      </c>
      <c r="K710" s="41" t="s">
        <v>445</v>
      </c>
      <c r="L710" s="42" t="str">
        <f aca="false">C710&amp;"_"&amp;B710&amp;"_"&amp;IF(I710="Reel","R",IF(I710="Carousel","C","I"))&amp;"_"&amp;J710&amp;"_"&amp;IF(K710="AI tự động","AI","HU")&amp;"_"&amp;RIGHT(A710,3)</f>
        <v>P5_EXP3_C_A_AI_034</v>
      </c>
      <c r="M710" s="45"/>
      <c r="N710" s="45"/>
      <c r="O710" s="46"/>
      <c r="P710" s="46"/>
      <c r="Q710" s="46"/>
      <c r="R710" s="47"/>
      <c r="S710" s="45"/>
      <c r="T710" s="45"/>
      <c r="U710" s="48" t="str">
        <f aca="false">IF(O710&gt;0,P710/O710,"")</f>
        <v/>
      </c>
      <c r="V710" s="49" t="str">
        <f aca="false">IF(P710&gt;0,Q710/P710,"")</f>
        <v/>
      </c>
      <c r="W710" s="50" t="n">
        <f aca="false">IF(R710&lt;&gt;"",R710,Q710*'Cài đặt'!$B$12)</f>
        <v>0</v>
      </c>
      <c r="X710" s="50" t="str">
        <f aca="false">IF(O710&gt;0,W710/O710*1000,"")</f>
        <v/>
      </c>
      <c r="Y710" s="51" t="n">
        <f aca="false">IF(T710&lt;&gt;"",T710,INDEX('Cài đặt'!$B$20:$C$22,MATCH(I710,'Cài đặt'!$A$20:$A$22,0),IF(K710="AI tự động",1,2)))</f>
        <v>4</v>
      </c>
    </row>
    <row r="711" customFormat="false" ht="15" hidden="false" customHeight="false" outlineLevel="0" collapsed="false">
      <c r="A711" s="41" t="s">
        <v>1161</v>
      </c>
      <c r="B711" s="41" t="s">
        <v>958</v>
      </c>
      <c r="C711" s="41" t="s">
        <v>193</v>
      </c>
      <c r="D711" s="42" t="str">
        <f aca="false">INDEX('Page và Ngách'!$B$5:$B$10,MATCH(C711,'Page và Ngách'!$A$5:$A$10,0))</f>
        <v>Second chance / Secret baby</v>
      </c>
      <c r="E711" s="41" t="n">
        <v>17</v>
      </c>
      <c r="F711" s="43" t="n">
        <f aca="false">'Cài đặt'!$B$39+E711-1</f>
        <v>46393</v>
      </c>
      <c r="G711" s="41" t="s">
        <v>444</v>
      </c>
      <c r="H711" s="44" t="str">
        <f aca="false">IF(G711="S1",'Cài đặt'!$B$7,'Cài đặt'!$B$8)</f>
        <v>12:00</v>
      </c>
      <c r="I711" s="44" t="str">
        <f aca="false">'Cài đặt'!$B$32</f>
        <v>Carousel</v>
      </c>
      <c r="J711" s="44" t="str">
        <f aca="false">'Cài đặt'!$B$33</f>
        <v>A</v>
      </c>
      <c r="K711" s="41" t="s">
        <v>961</v>
      </c>
      <c r="L711" s="42" t="str">
        <f aca="false">C711&amp;"_"&amp;B711&amp;"_"&amp;IF(I711="Reel","R",IF(I711="Carousel","C","I"))&amp;"_"&amp;J711&amp;"_"&amp;IF(K711="AI tự động","AI","HU")&amp;"_"&amp;RIGHT(A711,3)</f>
        <v>P6_EXP3_C_A_HU_033</v>
      </c>
      <c r="M711" s="45"/>
      <c r="N711" s="45"/>
      <c r="O711" s="46"/>
      <c r="P711" s="46"/>
      <c r="Q711" s="46"/>
      <c r="R711" s="47"/>
      <c r="S711" s="45"/>
      <c r="T711" s="45"/>
      <c r="U711" s="48" t="str">
        <f aca="false">IF(O711&gt;0,P711/O711,"")</f>
        <v/>
      </c>
      <c r="V711" s="49" t="str">
        <f aca="false">IF(P711&gt;0,Q711/P711,"")</f>
        <v/>
      </c>
      <c r="W711" s="50" t="n">
        <f aca="false">IF(R711&lt;&gt;"",R711,Q711*'Cài đặt'!$B$12)</f>
        <v>0</v>
      </c>
      <c r="X711" s="50" t="str">
        <f aca="false">IF(O711&gt;0,W711/O711*1000,"")</f>
        <v/>
      </c>
      <c r="Y711" s="51" t="n">
        <f aca="false">IF(T711&lt;&gt;"",T711,INDEX('Cài đặt'!$B$20:$C$22,MATCH(I711,'Cài đặt'!$A$20:$A$22,0),IF(K711="AI tự động",1,2)))</f>
        <v>25</v>
      </c>
    </row>
    <row r="712" customFormat="false" ht="15" hidden="false" customHeight="false" outlineLevel="0" collapsed="false">
      <c r="A712" s="41" t="s">
        <v>1162</v>
      </c>
      <c r="B712" s="41" t="s">
        <v>958</v>
      </c>
      <c r="C712" s="41" t="s">
        <v>193</v>
      </c>
      <c r="D712" s="42" t="str">
        <f aca="false">INDEX('Page và Ngách'!$B$5:$B$10,MATCH(C712,'Page và Ngách'!$A$5:$A$10,0))</f>
        <v>Second chance / Secret baby</v>
      </c>
      <c r="E712" s="41" t="n">
        <v>17</v>
      </c>
      <c r="F712" s="43" t="n">
        <f aca="false">'Cài đặt'!$B$39+E712-1</f>
        <v>46393</v>
      </c>
      <c r="G712" s="41" t="s">
        <v>451</v>
      </c>
      <c r="H712" s="44" t="str">
        <f aca="false">IF(G712="S1",'Cài đặt'!$B$7,'Cài đặt'!$B$8)</f>
        <v>20:00</v>
      </c>
      <c r="I712" s="44" t="str">
        <f aca="false">'Cài đặt'!$B$32</f>
        <v>Carousel</v>
      </c>
      <c r="J712" s="44" t="str">
        <f aca="false">'Cài đặt'!$B$33</f>
        <v>A</v>
      </c>
      <c r="K712" s="41" t="s">
        <v>445</v>
      </c>
      <c r="L712" s="42" t="str">
        <f aca="false">C712&amp;"_"&amp;B712&amp;"_"&amp;IF(I712="Reel","R",IF(I712="Carousel","C","I"))&amp;"_"&amp;J712&amp;"_"&amp;IF(K712="AI tự động","AI","HU")&amp;"_"&amp;RIGHT(A712,3)</f>
        <v>P6_EXP3_C_A_AI_034</v>
      </c>
      <c r="M712" s="45"/>
      <c r="N712" s="45"/>
      <c r="O712" s="46"/>
      <c r="P712" s="46"/>
      <c r="Q712" s="46"/>
      <c r="R712" s="47"/>
      <c r="S712" s="45"/>
      <c r="T712" s="45"/>
      <c r="U712" s="48" t="str">
        <f aca="false">IF(O712&gt;0,P712/O712,"")</f>
        <v/>
      </c>
      <c r="V712" s="49" t="str">
        <f aca="false">IF(P712&gt;0,Q712/P712,"")</f>
        <v/>
      </c>
      <c r="W712" s="50" t="n">
        <f aca="false">IF(R712&lt;&gt;"",R712,Q712*'Cài đặt'!$B$12)</f>
        <v>0</v>
      </c>
      <c r="X712" s="50" t="str">
        <f aca="false">IF(O712&gt;0,W712/O712*1000,"")</f>
        <v/>
      </c>
      <c r="Y712" s="51" t="n">
        <f aca="false">IF(T712&lt;&gt;"",T712,INDEX('Cài đặt'!$B$20:$C$22,MATCH(I712,'Cài đặt'!$A$20:$A$22,0),IF(K712="AI tự động",1,2)))</f>
        <v>4</v>
      </c>
    </row>
    <row r="713" customFormat="false" ht="15" hidden="false" customHeight="false" outlineLevel="0" collapsed="false">
      <c r="A713" s="41" t="s">
        <v>1163</v>
      </c>
      <c r="B713" s="41" t="s">
        <v>958</v>
      </c>
      <c r="C713" s="41" t="s">
        <v>154</v>
      </c>
      <c r="D713" s="42" t="str">
        <f aca="false">INDEX('Page và Ngách'!$B$5:$B$10,MATCH(C713,'Page và Ngách'!$A$5:$A$10,0))</f>
        <v>Werewolf / Rejected mate</v>
      </c>
      <c r="E713" s="41" t="n">
        <v>18</v>
      </c>
      <c r="F713" s="43" t="n">
        <f aca="false">'Cài đặt'!$B$39+E713-1</f>
        <v>46394</v>
      </c>
      <c r="G713" s="41" t="s">
        <v>444</v>
      </c>
      <c r="H713" s="44" t="str">
        <f aca="false">IF(G713="S1",'Cài đặt'!$B$7,'Cài đặt'!$B$8)</f>
        <v>12:00</v>
      </c>
      <c r="I713" s="44" t="str">
        <f aca="false">'Cài đặt'!$B$32</f>
        <v>Carousel</v>
      </c>
      <c r="J713" s="44" t="str">
        <f aca="false">'Cài đặt'!$B$33</f>
        <v>A</v>
      </c>
      <c r="K713" s="41" t="s">
        <v>445</v>
      </c>
      <c r="L713" s="42" t="str">
        <f aca="false">C713&amp;"_"&amp;B713&amp;"_"&amp;IF(I713="Reel","R",IF(I713="Carousel","C","I"))&amp;"_"&amp;J713&amp;"_"&amp;IF(K713="AI tự động","AI","HU")&amp;"_"&amp;RIGHT(A713,3)</f>
        <v>P1_EXP3_C_A_AI_035</v>
      </c>
      <c r="M713" s="45"/>
      <c r="N713" s="45"/>
      <c r="O713" s="46"/>
      <c r="P713" s="46"/>
      <c r="Q713" s="46"/>
      <c r="R713" s="47"/>
      <c r="S713" s="45"/>
      <c r="T713" s="45"/>
      <c r="U713" s="48" t="str">
        <f aca="false">IF(O713&gt;0,P713/O713,"")</f>
        <v/>
      </c>
      <c r="V713" s="49" t="str">
        <f aca="false">IF(P713&gt;0,Q713/P713,"")</f>
        <v/>
      </c>
      <c r="W713" s="50" t="n">
        <f aca="false">IF(R713&lt;&gt;"",R713,Q713*'Cài đặt'!$B$12)</f>
        <v>0</v>
      </c>
      <c r="X713" s="50" t="str">
        <f aca="false">IF(O713&gt;0,W713/O713*1000,"")</f>
        <v/>
      </c>
      <c r="Y713" s="51" t="n">
        <f aca="false">IF(T713&lt;&gt;"",T713,INDEX('Cài đặt'!$B$20:$C$22,MATCH(I713,'Cài đặt'!$A$20:$A$22,0),IF(K713="AI tự động",1,2)))</f>
        <v>4</v>
      </c>
    </row>
    <row r="714" customFormat="false" ht="15" hidden="false" customHeight="false" outlineLevel="0" collapsed="false">
      <c r="A714" s="41" t="s">
        <v>1164</v>
      </c>
      <c r="B714" s="41" t="s">
        <v>958</v>
      </c>
      <c r="C714" s="41" t="s">
        <v>154</v>
      </c>
      <c r="D714" s="42" t="str">
        <f aca="false">INDEX('Page và Ngách'!$B$5:$B$10,MATCH(C714,'Page và Ngách'!$A$5:$A$10,0))</f>
        <v>Werewolf / Rejected mate</v>
      </c>
      <c r="E714" s="41" t="n">
        <v>18</v>
      </c>
      <c r="F714" s="43" t="n">
        <f aca="false">'Cài đặt'!$B$39+E714-1</f>
        <v>46394</v>
      </c>
      <c r="G714" s="41" t="s">
        <v>451</v>
      </c>
      <c r="H714" s="44" t="str">
        <f aca="false">IF(G714="S1",'Cài đặt'!$B$7,'Cài đặt'!$B$8)</f>
        <v>20:00</v>
      </c>
      <c r="I714" s="44" t="str">
        <f aca="false">'Cài đặt'!$B$32</f>
        <v>Carousel</v>
      </c>
      <c r="J714" s="44" t="str">
        <f aca="false">'Cài đặt'!$B$33</f>
        <v>A</v>
      </c>
      <c r="K714" s="41" t="s">
        <v>445</v>
      </c>
      <c r="L714" s="42" t="str">
        <f aca="false">C714&amp;"_"&amp;B714&amp;"_"&amp;IF(I714="Reel","R",IF(I714="Carousel","C","I"))&amp;"_"&amp;J714&amp;"_"&amp;IF(K714="AI tự động","AI","HU")&amp;"_"&amp;RIGHT(A714,3)</f>
        <v>P1_EXP3_C_A_AI_036</v>
      </c>
      <c r="M714" s="45"/>
      <c r="N714" s="45"/>
      <c r="O714" s="46"/>
      <c r="P714" s="46"/>
      <c r="Q714" s="46"/>
      <c r="R714" s="47"/>
      <c r="S714" s="45"/>
      <c r="T714" s="45"/>
      <c r="U714" s="48" t="str">
        <f aca="false">IF(O714&gt;0,P714/O714,"")</f>
        <v/>
      </c>
      <c r="V714" s="49" t="str">
        <f aca="false">IF(P714&gt;0,Q714/P714,"")</f>
        <v/>
      </c>
      <c r="W714" s="50" t="n">
        <f aca="false">IF(R714&lt;&gt;"",R714,Q714*'Cài đặt'!$B$12)</f>
        <v>0</v>
      </c>
      <c r="X714" s="50" t="str">
        <f aca="false">IF(O714&gt;0,W714/O714*1000,"")</f>
        <v/>
      </c>
      <c r="Y714" s="51" t="n">
        <f aca="false">IF(T714&lt;&gt;"",T714,INDEX('Cài đặt'!$B$20:$C$22,MATCH(I714,'Cài đặt'!$A$20:$A$22,0),IF(K714="AI tự động",1,2)))</f>
        <v>4</v>
      </c>
    </row>
    <row r="715" customFormat="false" ht="15" hidden="false" customHeight="false" outlineLevel="0" collapsed="false">
      <c r="A715" s="41" t="s">
        <v>1165</v>
      </c>
      <c r="B715" s="41" t="s">
        <v>958</v>
      </c>
      <c r="C715" s="41" t="s">
        <v>163</v>
      </c>
      <c r="D715" s="42" t="str">
        <f aca="false">INDEX('Page và Ngách'!$B$5:$B$10,MATCH(C715,'Page và Ngách'!$A$5:$A$10,0))</f>
        <v>Secret billionaire / CEO</v>
      </c>
      <c r="E715" s="41" t="n">
        <v>18</v>
      </c>
      <c r="F715" s="43" t="n">
        <f aca="false">'Cài đặt'!$B$39+E715-1</f>
        <v>46394</v>
      </c>
      <c r="G715" s="41" t="s">
        <v>444</v>
      </c>
      <c r="H715" s="44" t="str">
        <f aca="false">IF(G715="S1",'Cài đặt'!$B$7,'Cài đặt'!$B$8)</f>
        <v>12:00</v>
      </c>
      <c r="I715" s="44" t="str">
        <f aca="false">'Cài đặt'!$B$32</f>
        <v>Carousel</v>
      </c>
      <c r="J715" s="44" t="str">
        <f aca="false">'Cài đặt'!$B$33</f>
        <v>A</v>
      </c>
      <c r="K715" s="41" t="s">
        <v>445</v>
      </c>
      <c r="L715" s="42" t="str">
        <f aca="false">C715&amp;"_"&amp;B715&amp;"_"&amp;IF(I715="Reel","R",IF(I715="Carousel","C","I"))&amp;"_"&amp;J715&amp;"_"&amp;IF(K715="AI tự động","AI","HU")&amp;"_"&amp;RIGHT(A715,3)</f>
        <v>P2_EXP3_C_A_AI_035</v>
      </c>
      <c r="M715" s="45"/>
      <c r="N715" s="45"/>
      <c r="O715" s="46"/>
      <c r="P715" s="46"/>
      <c r="Q715" s="46"/>
      <c r="R715" s="47"/>
      <c r="S715" s="45"/>
      <c r="T715" s="45"/>
      <c r="U715" s="48" t="str">
        <f aca="false">IF(O715&gt;0,P715/O715,"")</f>
        <v/>
      </c>
      <c r="V715" s="49" t="str">
        <f aca="false">IF(P715&gt;0,Q715/P715,"")</f>
        <v/>
      </c>
      <c r="W715" s="50" t="n">
        <f aca="false">IF(R715&lt;&gt;"",R715,Q715*'Cài đặt'!$B$12)</f>
        <v>0</v>
      </c>
      <c r="X715" s="50" t="str">
        <f aca="false">IF(O715&gt;0,W715/O715*1000,"")</f>
        <v/>
      </c>
      <c r="Y715" s="51" t="n">
        <f aca="false">IF(T715&lt;&gt;"",T715,INDEX('Cài đặt'!$B$20:$C$22,MATCH(I715,'Cài đặt'!$A$20:$A$22,0),IF(K715="AI tự động",1,2)))</f>
        <v>4</v>
      </c>
    </row>
    <row r="716" customFormat="false" ht="15" hidden="false" customHeight="false" outlineLevel="0" collapsed="false">
      <c r="A716" s="41" t="s">
        <v>1166</v>
      </c>
      <c r="B716" s="41" t="s">
        <v>958</v>
      </c>
      <c r="C716" s="41" t="s">
        <v>163</v>
      </c>
      <c r="D716" s="42" t="str">
        <f aca="false">INDEX('Page và Ngách'!$B$5:$B$10,MATCH(C716,'Page và Ngách'!$A$5:$A$10,0))</f>
        <v>Secret billionaire / CEO</v>
      </c>
      <c r="E716" s="41" t="n">
        <v>18</v>
      </c>
      <c r="F716" s="43" t="n">
        <f aca="false">'Cài đặt'!$B$39+E716-1</f>
        <v>46394</v>
      </c>
      <c r="G716" s="41" t="s">
        <v>451</v>
      </c>
      <c r="H716" s="44" t="str">
        <f aca="false">IF(G716="S1",'Cài đặt'!$B$7,'Cài đặt'!$B$8)</f>
        <v>20:00</v>
      </c>
      <c r="I716" s="44" t="str">
        <f aca="false">'Cài đặt'!$B$32</f>
        <v>Carousel</v>
      </c>
      <c r="J716" s="44" t="str">
        <f aca="false">'Cài đặt'!$B$33</f>
        <v>A</v>
      </c>
      <c r="K716" s="41" t="s">
        <v>445</v>
      </c>
      <c r="L716" s="42" t="str">
        <f aca="false">C716&amp;"_"&amp;B716&amp;"_"&amp;IF(I716="Reel","R",IF(I716="Carousel","C","I"))&amp;"_"&amp;J716&amp;"_"&amp;IF(K716="AI tự động","AI","HU")&amp;"_"&amp;RIGHT(A716,3)</f>
        <v>P2_EXP3_C_A_AI_036</v>
      </c>
      <c r="M716" s="45"/>
      <c r="N716" s="45"/>
      <c r="O716" s="46"/>
      <c r="P716" s="46"/>
      <c r="Q716" s="46"/>
      <c r="R716" s="47"/>
      <c r="S716" s="45"/>
      <c r="T716" s="45"/>
      <c r="U716" s="48" t="str">
        <f aca="false">IF(O716&gt;0,P716/O716,"")</f>
        <v/>
      </c>
      <c r="V716" s="49" t="str">
        <f aca="false">IF(P716&gt;0,Q716/P716,"")</f>
        <v/>
      </c>
      <c r="W716" s="50" t="n">
        <f aca="false">IF(R716&lt;&gt;"",R716,Q716*'Cài đặt'!$B$12)</f>
        <v>0</v>
      </c>
      <c r="X716" s="50" t="str">
        <f aca="false">IF(O716&gt;0,W716/O716*1000,"")</f>
        <v/>
      </c>
      <c r="Y716" s="51" t="n">
        <f aca="false">IF(T716&lt;&gt;"",T716,INDEX('Cài đặt'!$B$20:$C$22,MATCH(I716,'Cài đặt'!$A$20:$A$22,0),IF(K716="AI tự động",1,2)))</f>
        <v>4</v>
      </c>
    </row>
    <row r="717" customFormat="false" ht="15" hidden="false" customHeight="false" outlineLevel="0" collapsed="false">
      <c r="A717" s="41" t="s">
        <v>1167</v>
      </c>
      <c r="B717" s="41" t="s">
        <v>958</v>
      </c>
      <c r="C717" s="41" t="s">
        <v>171</v>
      </c>
      <c r="D717" s="42" t="str">
        <f aca="false">INDEX('Page và Ngách'!$B$5:$B$10,MATCH(C717,'Page và Ngách'!$A$5:$A$10,0))</f>
        <v>Contract marriage / Fake relationship</v>
      </c>
      <c r="E717" s="41" t="n">
        <v>18</v>
      </c>
      <c r="F717" s="43" t="n">
        <f aca="false">'Cài đặt'!$B$39+E717-1</f>
        <v>46394</v>
      </c>
      <c r="G717" s="41" t="s">
        <v>444</v>
      </c>
      <c r="H717" s="44" t="str">
        <f aca="false">IF(G717="S1",'Cài đặt'!$B$7,'Cài đặt'!$B$8)</f>
        <v>12:00</v>
      </c>
      <c r="I717" s="44" t="str">
        <f aca="false">'Cài đặt'!$B$32</f>
        <v>Carousel</v>
      </c>
      <c r="J717" s="44" t="str">
        <f aca="false">'Cài đặt'!$B$33</f>
        <v>A</v>
      </c>
      <c r="K717" s="41" t="s">
        <v>961</v>
      </c>
      <c r="L717" s="42" t="str">
        <f aca="false">C717&amp;"_"&amp;B717&amp;"_"&amp;IF(I717="Reel","R",IF(I717="Carousel","C","I"))&amp;"_"&amp;J717&amp;"_"&amp;IF(K717="AI tự động","AI","HU")&amp;"_"&amp;RIGHT(A717,3)</f>
        <v>P3_EXP3_C_A_HU_035</v>
      </c>
      <c r="M717" s="45"/>
      <c r="N717" s="45"/>
      <c r="O717" s="46"/>
      <c r="P717" s="46"/>
      <c r="Q717" s="46"/>
      <c r="R717" s="47"/>
      <c r="S717" s="45"/>
      <c r="T717" s="45"/>
      <c r="U717" s="48" t="str">
        <f aca="false">IF(O717&gt;0,P717/O717,"")</f>
        <v/>
      </c>
      <c r="V717" s="49" t="str">
        <f aca="false">IF(P717&gt;0,Q717/P717,"")</f>
        <v/>
      </c>
      <c r="W717" s="50" t="n">
        <f aca="false">IF(R717&lt;&gt;"",R717,Q717*'Cài đặt'!$B$12)</f>
        <v>0</v>
      </c>
      <c r="X717" s="50" t="str">
        <f aca="false">IF(O717&gt;0,W717/O717*1000,"")</f>
        <v/>
      </c>
      <c r="Y717" s="51" t="n">
        <f aca="false">IF(T717&lt;&gt;"",T717,INDEX('Cài đặt'!$B$20:$C$22,MATCH(I717,'Cài đặt'!$A$20:$A$22,0),IF(K717="AI tự động",1,2)))</f>
        <v>25</v>
      </c>
    </row>
    <row r="718" customFormat="false" ht="15" hidden="false" customHeight="false" outlineLevel="0" collapsed="false">
      <c r="A718" s="41" t="s">
        <v>1168</v>
      </c>
      <c r="B718" s="41" t="s">
        <v>958</v>
      </c>
      <c r="C718" s="41" t="s">
        <v>171</v>
      </c>
      <c r="D718" s="42" t="str">
        <f aca="false">INDEX('Page và Ngách'!$B$5:$B$10,MATCH(C718,'Page và Ngách'!$A$5:$A$10,0))</f>
        <v>Contract marriage / Fake relationship</v>
      </c>
      <c r="E718" s="41" t="n">
        <v>18</v>
      </c>
      <c r="F718" s="43" t="n">
        <f aca="false">'Cài đặt'!$B$39+E718-1</f>
        <v>46394</v>
      </c>
      <c r="G718" s="41" t="s">
        <v>451</v>
      </c>
      <c r="H718" s="44" t="str">
        <f aca="false">IF(G718="S1",'Cài đặt'!$B$7,'Cài đặt'!$B$8)</f>
        <v>20:00</v>
      </c>
      <c r="I718" s="44" t="str">
        <f aca="false">'Cài đặt'!$B$32</f>
        <v>Carousel</v>
      </c>
      <c r="J718" s="44" t="str">
        <f aca="false">'Cài đặt'!$B$33</f>
        <v>A</v>
      </c>
      <c r="K718" s="41" t="s">
        <v>445</v>
      </c>
      <c r="L718" s="42" t="str">
        <f aca="false">C718&amp;"_"&amp;B718&amp;"_"&amp;IF(I718="Reel","R",IF(I718="Carousel","C","I"))&amp;"_"&amp;J718&amp;"_"&amp;IF(K718="AI tự động","AI","HU")&amp;"_"&amp;RIGHT(A718,3)</f>
        <v>P3_EXP3_C_A_AI_036</v>
      </c>
      <c r="M718" s="45"/>
      <c r="N718" s="45"/>
      <c r="O718" s="46"/>
      <c r="P718" s="46"/>
      <c r="Q718" s="46"/>
      <c r="R718" s="47"/>
      <c r="S718" s="45"/>
      <c r="T718" s="45"/>
      <c r="U718" s="48" t="str">
        <f aca="false">IF(O718&gt;0,P718/O718,"")</f>
        <v/>
      </c>
      <c r="V718" s="49" t="str">
        <f aca="false">IF(P718&gt;0,Q718/P718,"")</f>
        <v/>
      </c>
      <c r="W718" s="50" t="n">
        <f aca="false">IF(R718&lt;&gt;"",R718,Q718*'Cài đặt'!$B$12)</f>
        <v>0</v>
      </c>
      <c r="X718" s="50" t="str">
        <f aca="false">IF(O718&gt;0,W718/O718*1000,"")</f>
        <v/>
      </c>
      <c r="Y718" s="51" t="n">
        <f aca="false">IF(T718&lt;&gt;"",T718,INDEX('Cài đặt'!$B$20:$C$22,MATCH(I718,'Cài đặt'!$A$20:$A$22,0),IF(K718="AI tự động",1,2)))</f>
        <v>4</v>
      </c>
    </row>
    <row r="719" customFormat="false" ht="15" hidden="false" customHeight="false" outlineLevel="0" collapsed="false">
      <c r="A719" s="41" t="s">
        <v>1169</v>
      </c>
      <c r="B719" s="41" t="s">
        <v>958</v>
      </c>
      <c r="C719" s="41" t="s">
        <v>178</v>
      </c>
      <c r="D719" s="42" t="str">
        <f aca="false">INDEX('Page và Ngách'!$B$5:$B$10,MATCH(C719,'Page và Ngách'!$A$5:$A$10,0))</f>
        <v>Revenge / Betrayal ("you'll regret it")</v>
      </c>
      <c r="E719" s="41" t="n">
        <v>18</v>
      </c>
      <c r="F719" s="43" t="n">
        <f aca="false">'Cài đặt'!$B$39+E719-1</f>
        <v>46394</v>
      </c>
      <c r="G719" s="41" t="s">
        <v>444</v>
      </c>
      <c r="H719" s="44" t="str">
        <f aca="false">IF(G719="S1",'Cài đặt'!$B$7,'Cài đặt'!$B$8)</f>
        <v>12:00</v>
      </c>
      <c r="I719" s="44" t="str">
        <f aca="false">'Cài đặt'!$B$32</f>
        <v>Carousel</v>
      </c>
      <c r="J719" s="44" t="str">
        <f aca="false">'Cài đặt'!$B$33</f>
        <v>A</v>
      </c>
      <c r="K719" s="41" t="s">
        <v>445</v>
      </c>
      <c r="L719" s="42" t="str">
        <f aca="false">C719&amp;"_"&amp;B719&amp;"_"&amp;IF(I719="Reel","R",IF(I719="Carousel","C","I"))&amp;"_"&amp;J719&amp;"_"&amp;IF(K719="AI tự động","AI","HU")&amp;"_"&amp;RIGHT(A719,3)</f>
        <v>P4_EXP3_C_A_AI_035</v>
      </c>
      <c r="M719" s="45"/>
      <c r="N719" s="45"/>
      <c r="O719" s="46"/>
      <c r="P719" s="46"/>
      <c r="Q719" s="46"/>
      <c r="R719" s="47"/>
      <c r="S719" s="45"/>
      <c r="T719" s="45"/>
      <c r="U719" s="48" t="str">
        <f aca="false">IF(O719&gt;0,P719/O719,"")</f>
        <v/>
      </c>
      <c r="V719" s="49" t="str">
        <f aca="false">IF(P719&gt;0,Q719/P719,"")</f>
        <v/>
      </c>
      <c r="W719" s="50" t="n">
        <f aca="false">IF(R719&lt;&gt;"",R719,Q719*'Cài đặt'!$B$12)</f>
        <v>0</v>
      </c>
      <c r="X719" s="50" t="str">
        <f aca="false">IF(O719&gt;0,W719/O719*1000,"")</f>
        <v/>
      </c>
      <c r="Y719" s="51" t="n">
        <f aca="false">IF(T719&lt;&gt;"",T719,INDEX('Cài đặt'!$B$20:$C$22,MATCH(I719,'Cài đặt'!$A$20:$A$22,0),IF(K719="AI tự động",1,2)))</f>
        <v>4</v>
      </c>
    </row>
    <row r="720" customFormat="false" ht="15" hidden="false" customHeight="false" outlineLevel="0" collapsed="false">
      <c r="A720" s="41" t="s">
        <v>1170</v>
      </c>
      <c r="B720" s="41" t="s">
        <v>958</v>
      </c>
      <c r="C720" s="41" t="s">
        <v>178</v>
      </c>
      <c r="D720" s="42" t="str">
        <f aca="false">INDEX('Page và Ngách'!$B$5:$B$10,MATCH(C720,'Page và Ngách'!$A$5:$A$10,0))</f>
        <v>Revenge / Betrayal ("you'll regret it")</v>
      </c>
      <c r="E720" s="41" t="n">
        <v>18</v>
      </c>
      <c r="F720" s="43" t="n">
        <f aca="false">'Cài đặt'!$B$39+E720-1</f>
        <v>46394</v>
      </c>
      <c r="G720" s="41" t="s">
        <v>451</v>
      </c>
      <c r="H720" s="44" t="str">
        <f aca="false">IF(G720="S1",'Cài đặt'!$B$7,'Cài đặt'!$B$8)</f>
        <v>20:00</v>
      </c>
      <c r="I720" s="44" t="str">
        <f aca="false">'Cài đặt'!$B$32</f>
        <v>Carousel</v>
      </c>
      <c r="J720" s="44" t="str">
        <f aca="false">'Cài đặt'!$B$33</f>
        <v>A</v>
      </c>
      <c r="K720" s="41" t="s">
        <v>445</v>
      </c>
      <c r="L720" s="42" t="str">
        <f aca="false">C720&amp;"_"&amp;B720&amp;"_"&amp;IF(I720="Reel","R",IF(I720="Carousel","C","I"))&amp;"_"&amp;J720&amp;"_"&amp;IF(K720="AI tự động","AI","HU")&amp;"_"&amp;RIGHT(A720,3)</f>
        <v>P4_EXP3_C_A_AI_036</v>
      </c>
      <c r="M720" s="45"/>
      <c r="N720" s="45"/>
      <c r="O720" s="46"/>
      <c r="P720" s="46"/>
      <c r="Q720" s="46"/>
      <c r="R720" s="47"/>
      <c r="S720" s="45"/>
      <c r="T720" s="45"/>
      <c r="U720" s="48" t="str">
        <f aca="false">IF(O720&gt;0,P720/O720,"")</f>
        <v/>
      </c>
      <c r="V720" s="49" t="str">
        <f aca="false">IF(P720&gt;0,Q720/P720,"")</f>
        <v/>
      </c>
      <c r="W720" s="50" t="n">
        <f aca="false">IF(R720&lt;&gt;"",R720,Q720*'Cài đặt'!$B$12)</f>
        <v>0</v>
      </c>
      <c r="X720" s="50" t="str">
        <f aca="false">IF(O720&gt;0,W720/O720*1000,"")</f>
        <v/>
      </c>
      <c r="Y720" s="51" t="n">
        <f aca="false">IF(T720&lt;&gt;"",T720,INDEX('Cài đặt'!$B$20:$C$22,MATCH(I720,'Cài đặt'!$A$20:$A$22,0),IF(K720="AI tự động",1,2)))</f>
        <v>4</v>
      </c>
    </row>
    <row r="721" customFormat="false" ht="15" hidden="false" customHeight="false" outlineLevel="0" collapsed="false">
      <c r="A721" s="41" t="s">
        <v>1171</v>
      </c>
      <c r="B721" s="41" t="s">
        <v>958</v>
      </c>
      <c r="C721" s="41" t="s">
        <v>185</v>
      </c>
      <c r="D721" s="42" t="str">
        <f aca="false">INDEX('Page và Ngách'!$B$5:$B$10,MATCH(C721,'Page và Ngách'!$A$5:$A$10,0))</f>
        <v>Mafia / Dark romance (teaser PG-13)</v>
      </c>
      <c r="E721" s="41" t="n">
        <v>18</v>
      </c>
      <c r="F721" s="43" t="n">
        <f aca="false">'Cài đặt'!$B$39+E721-1</f>
        <v>46394</v>
      </c>
      <c r="G721" s="41" t="s">
        <v>444</v>
      </c>
      <c r="H721" s="44" t="str">
        <f aca="false">IF(G721="S1",'Cài đặt'!$B$7,'Cài đặt'!$B$8)</f>
        <v>12:00</v>
      </c>
      <c r="I721" s="44" t="str">
        <f aca="false">'Cài đặt'!$B$32</f>
        <v>Carousel</v>
      </c>
      <c r="J721" s="44" t="str">
        <f aca="false">'Cài đặt'!$B$33</f>
        <v>A</v>
      </c>
      <c r="K721" s="41" t="s">
        <v>961</v>
      </c>
      <c r="L721" s="42" t="str">
        <f aca="false">C721&amp;"_"&amp;B721&amp;"_"&amp;IF(I721="Reel","R",IF(I721="Carousel","C","I"))&amp;"_"&amp;J721&amp;"_"&amp;IF(K721="AI tự động","AI","HU")&amp;"_"&amp;RIGHT(A721,3)</f>
        <v>P5_EXP3_C_A_HU_035</v>
      </c>
      <c r="M721" s="45"/>
      <c r="N721" s="45"/>
      <c r="O721" s="46"/>
      <c r="P721" s="46"/>
      <c r="Q721" s="46"/>
      <c r="R721" s="47"/>
      <c r="S721" s="45"/>
      <c r="T721" s="45"/>
      <c r="U721" s="48" t="str">
        <f aca="false">IF(O721&gt;0,P721/O721,"")</f>
        <v/>
      </c>
      <c r="V721" s="49" t="str">
        <f aca="false">IF(P721&gt;0,Q721/P721,"")</f>
        <v/>
      </c>
      <c r="W721" s="50" t="n">
        <f aca="false">IF(R721&lt;&gt;"",R721,Q721*'Cài đặt'!$B$12)</f>
        <v>0</v>
      </c>
      <c r="X721" s="50" t="str">
        <f aca="false">IF(O721&gt;0,W721/O721*1000,"")</f>
        <v/>
      </c>
      <c r="Y721" s="51" t="n">
        <f aca="false">IF(T721&lt;&gt;"",T721,INDEX('Cài đặt'!$B$20:$C$22,MATCH(I721,'Cài đặt'!$A$20:$A$22,0),IF(K721="AI tự động",1,2)))</f>
        <v>25</v>
      </c>
    </row>
    <row r="722" customFormat="false" ht="15" hidden="false" customHeight="false" outlineLevel="0" collapsed="false">
      <c r="A722" s="41" t="s">
        <v>1172</v>
      </c>
      <c r="B722" s="41" t="s">
        <v>958</v>
      </c>
      <c r="C722" s="41" t="s">
        <v>185</v>
      </c>
      <c r="D722" s="42" t="str">
        <f aca="false">INDEX('Page và Ngách'!$B$5:$B$10,MATCH(C722,'Page và Ngách'!$A$5:$A$10,0))</f>
        <v>Mafia / Dark romance (teaser PG-13)</v>
      </c>
      <c r="E722" s="41" t="n">
        <v>18</v>
      </c>
      <c r="F722" s="43" t="n">
        <f aca="false">'Cài đặt'!$B$39+E722-1</f>
        <v>46394</v>
      </c>
      <c r="G722" s="41" t="s">
        <v>451</v>
      </c>
      <c r="H722" s="44" t="str">
        <f aca="false">IF(G722="S1",'Cài đặt'!$B$7,'Cài đặt'!$B$8)</f>
        <v>20:00</v>
      </c>
      <c r="I722" s="44" t="str">
        <f aca="false">'Cài đặt'!$B$32</f>
        <v>Carousel</v>
      </c>
      <c r="J722" s="44" t="str">
        <f aca="false">'Cài đặt'!$B$33</f>
        <v>A</v>
      </c>
      <c r="K722" s="41" t="s">
        <v>445</v>
      </c>
      <c r="L722" s="42" t="str">
        <f aca="false">C722&amp;"_"&amp;B722&amp;"_"&amp;IF(I722="Reel","R",IF(I722="Carousel","C","I"))&amp;"_"&amp;J722&amp;"_"&amp;IF(K722="AI tự động","AI","HU")&amp;"_"&amp;RIGHT(A722,3)</f>
        <v>P5_EXP3_C_A_AI_036</v>
      </c>
      <c r="M722" s="45"/>
      <c r="N722" s="45"/>
      <c r="O722" s="46"/>
      <c r="P722" s="46"/>
      <c r="Q722" s="46"/>
      <c r="R722" s="47"/>
      <c r="S722" s="45"/>
      <c r="T722" s="45"/>
      <c r="U722" s="48" t="str">
        <f aca="false">IF(O722&gt;0,P722/O722,"")</f>
        <v/>
      </c>
      <c r="V722" s="49" t="str">
        <f aca="false">IF(P722&gt;0,Q722/P722,"")</f>
        <v/>
      </c>
      <c r="W722" s="50" t="n">
        <f aca="false">IF(R722&lt;&gt;"",R722,Q722*'Cài đặt'!$B$12)</f>
        <v>0</v>
      </c>
      <c r="X722" s="50" t="str">
        <f aca="false">IF(O722&gt;0,W722/O722*1000,"")</f>
        <v/>
      </c>
      <c r="Y722" s="51" t="n">
        <f aca="false">IF(T722&lt;&gt;"",T722,INDEX('Cài đặt'!$B$20:$C$22,MATCH(I722,'Cài đặt'!$A$20:$A$22,0),IF(K722="AI tự động",1,2)))</f>
        <v>4</v>
      </c>
    </row>
    <row r="723" customFormat="false" ht="15" hidden="false" customHeight="false" outlineLevel="0" collapsed="false">
      <c r="A723" s="41" t="s">
        <v>1173</v>
      </c>
      <c r="B723" s="41" t="s">
        <v>958</v>
      </c>
      <c r="C723" s="41" t="s">
        <v>193</v>
      </c>
      <c r="D723" s="42" t="str">
        <f aca="false">INDEX('Page và Ngách'!$B$5:$B$10,MATCH(C723,'Page và Ngách'!$A$5:$A$10,0))</f>
        <v>Second chance / Secret baby</v>
      </c>
      <c r="E723" s="41" t="n">
        <v>18</v>
      </c>
      <c r="F723" s="43" t="n">
        <f aca="false">'Cài đặt'!$B$39+E723-1</f>
        <v>46394</v>
      </c>
      <c r="G723" s="41" t="s">
        <v>444</v>
      </c>
      <c r="H723" s="44" t="str">
        <f aca="false">IF(G723="S1",'Cài đặt'!$B$7,'Cài đặt'!$B$8)</f>
        <v>12:00</v>
      </c>
      <c r="I723" s="44" t="str">
        <f aca="false">'Cài đặt'!$B$32</f>
        <v>Carousel</v>
      </c>
      <c r="J723" s="44" t="str">
        <f aca="false">'Cài đặt'!$B$33</f>
        <v>A</v>
      </c>
      <c r="K723" s="41" t="s">
        <v>445</v>
      </c>
      <c r="L723" s="42" t="str">
        <f aca="false">C723&amp;"_"&amp;B723&amp;"_"&amp;IF(I723="Reel","R",IF(I723="Carousel","C","I"))&amp;"_"&amp;J723&amp;"_"&amp;IF(K723="AI tự động","AI","HU")&amp;"_"&amp;RIGHT(A723,3)</f>
        <v>P6_EXP3_C_A_AI_035</v>
      </c>
      <c r="M723" s="45"/>
      <c r="N723" s="45"/>
      <c r="O723" s="46"/>
      <c r="P723" s="46"/>
      <c r="Q723" s="46"/>
      <c r="R723" s="47"/>
      <c r="S723" s="45"/>
      <c r="T723" s="45"/>
      <c r="U723" s="48" t="str">
        <f aca="false">IF(O723&gt;0,P723/O723,"")</f>
        <v/>
      </c>
      <c r="V723" s="49" t="str">
        <f aca="false">IF(P723&gt;0,Q723/P723,"")</f>
        <v/>
      </c>
      <c r="W723" s="50" t="n">
        <f aca="false">IF(R723&lt;&gt;"",R723,Q723*'Cài đặt'!$B$12)</f>
        <v>0</v>
      </c>
      <c r="X723" s="50" t="str">
        <f aca="false">IF(O723&gt;0,W723/O723*1000,"")</f>
        <v/>
      </c>
      <c r="Y723" s="51" t="n">
        <f aca="false">IF(T723&lt;&gt;"",T723,INDEX('Cài đặt'!$B$20:$C$22,MATCH(I723,'Cài đặt'!$A$20:$A$22,0),IF(K723="AI tự động",1,2)))</f>
        <v>4</v>
      </c>
    </row>
    <row r="724" customFormat="false" ht="15" hidden="false" customHeight="false" outlineLevel="0" collapsed="false">
      <c r="A724" s="41" t="s">
        <v>1174</v>
      </c>
      <c r="B724" s="41" t="s">
        <v>958</v>
      </c>
      <c r="C724" s="41" t="s">
        <v>193</v>
      </c>
      <c r="D724" s="42" t="str">
        <f aca="false">INDEX('Page và Ngách'!$B$5:$B$10,MATCH(C724,'Page và Ngách'!$A$5:$A$10,0))</f>
        <v>Second chance / Secret baby</v>
      </c>
      <c r="E724" s="41" t="n">
        <v>18</v>
      </c>
      <c r="F724" s="43" t="n">
        <f aca="false">'Cài đặt'!$B$39+E724-1</f>
        <v>46394</v>
      </c>
      <c r="G724" s="41" t="s">
        <v>451</v>
      </c>
      <c r="H724" s="44" t="str">
        <f aca="false">IF(G724="S1",'Cài đặt'!$B$7,'Cài đặt'!$B$8)</f>
        <v>20:00</v>
      </c>
      <c r="I724" s="44" t="str">
        <f aca="false">'Cài đặt'!$B$32</f>
        <v>Carousel</v>
      </c>
      <c r="J724" s="44" t="str">
        <f aca="false">'Cài đặt'!$B$33</f>
        <v>A</v>
      </c>
      <c r="K724" s="41" t="s">
        <v>445</v>
      </c>
      <c r="L724" s="42" t="str">
        <f aca="false">C724&amp;"_"&amp;B724&amp;"_"&amp;IF(I724="Reel","R",IF(I724="Carousel","C","I"))&amp;"_"&amp;J724&amp;"_"&amp;IF(K724="AI tự động","AI","HU")&amp;"_"&amp;RIGHT(A724,3)</f>
        <v>P6_EXP3_C_A_AI_036</v>
      </c>
      <c r="M724" s="45"/>
      <c r="N724" s="45"/>
      <c r="O724" s="46"/>
      <c r="P724" s="46"/>
      <c r="Q724" s="46"/>
      <c r="R724" s="47"/>
      <c r="S724" s="45"/>
      <c r="T724" s="45"/>
      <c r="U724" s="48" t="str">
        <f aca="false">IF(O724&gt;0,P724/O724,"")</f>
        <v/>
      </c>
      <c r="V724" s="49" t="str">
        <f aca="false">IF(P724&gt;0,Q724/P724,"")</f>
        <v/>
      </c>
      <c r="W724" s="50" t="n">
        <f aca="false">IF(R724&lt;&gt;"",R724,Q724*'Cài đặt'!$B$12)</f>
        <v>0</v>
      </c>
      <c r="X724" s="50" t="str">
        <f aca="false">IF(O724&gt;0,W724/O724*1000,"")</f>
        <v/>
      </c>
      <c r="Y724" s="51" t="n">
        <f aca="false">IF(T724&lt;&gt;"",T724,INDEX('Cài đặt'!$B$20:$C$22,MATCH(I724,'Cài đặt'!$A$20:$A$22,0),IF(K724="AI tự động",1,2)))</f>
        <v>4</v>
      </c>
    </row>
    <row r="725" customFormat="false" ht="15" hidden="false" customHeight="false" outlineLevel="0" collapsed="false">
      <c r="A725" s="41" t="s">
        <v>1175</v>
      </c>
      <c r="B725" s="41" t="s">
        <v>958</v>
      </c>
      <c r="C725" s="41" t="s">
        <v>154</v>
      </c>
      <c r="D725" s="42" t="str">
        <f aca="false">INDEX('Page và Ngách'!$B$5:$B$10,MATCH(C725,'Page và Ngách'!$A$5:$A$10,0))</f>
        <v>Werewolf / Rejected mate</v>
      </c>
      <c r="E725" s="41" t="n">
        <v>19</v>
      </c>
      <c r="F725" s="43" t="n">
        <f aca="false">'Cài đặt'!$B$39+E725-1</f>
        <v>46395</v>
      </c>
      <c r="G725" s="41" t="s">
        <v>444</v>
      </c>
      <c r="H725" s="44" t="str">
        <f aca="false">IF(G725="S1",'Cài đặt'!$B$7,'Cài đặt'!$B$8)</f>
        <v>12:00</v>
      </c>
      <c r="I725" s="44" t="str">
        <f aca="false">'Cài đặt'!$B$32</f>
        <v>Carousel</v>
      </c>
      <c r="J725" s="44" t="str">
        <f aca="false">'Cài đặt'!$B$33</f>
        <v>A</v>
      </c>
      <c r="K725" s="41" t="s">
        <v>445</v>
      </c>
      <c r="L725" s="42" t="str">
        <f aca="false">C725&amp;"_"&amp;B725&amp;"_"&amp;IF(I725="Reel","R",IF(I725="Carousel","C","I"))&amp;"_"&amp;J725&amp;"_"&amp;IF(K725="AI tự động","AI","HU")&amp;"_"&amp;RIGHT(A725,3)</f>
        <v>P1_EXP3_C_A_AI_037</v>
      </c>
      <c r="M725" s="45"/>
      <c r="N725" s="45"/>
      <c r="O725" s="46"/>
      <c r="P725" s="46"/>
      <c r="Q725" s="46"/>
      <c r="R725" s="47"/>
      <c r="S725" s="45"/>
      <c r="T725" s="45"/>
      <c r="U725" s="48" t="str">
        <f aca="false">IF(O725&gt;0,P725/O725,"")</f>
        <v/>
      </c>
      <c r="V725" s="49" t="str">
        <f aca="false">IF(P725&gt;0,Q725/P725,"")</f>
        <v/>
      </c>
      <c r="W725" s="50" t="n">
        <f aca="false">IF(R725&lt;&gt;"",R725,Q725*'Cài đặt'!$B$12)</f>
        <v>0</v>
      </c>
      <c r="X725" s="50" t="str">
        <f aca="false">IF(O725&gt;0,W725/O725*1000,"")</f>
        <v/>
      </c>
      <c r="Y725" s="51" t="n">
        <f aca="false">IF(T725&lt;&gt;"",T725,INDEX('Cài đặt'!$B$20:$C$22,MATCH(I725,'Cài đặt'!$A$20:$A$22,0),IF(K725="AI tự động",1,2)))</f>
        <v>4</v>
      </c>
    </row>
    <row r="726" customFormat="false" ht="15" hidden="false" customHeight="false" outlineLevel="0" collapsed="false">
      <c r="A726" s="41" t="s">
        <v>1176</v>
      </c>
      <c r="B726" s="41" t="s">
        <v>958</v>
      </c>
      <c r="C726" s="41" t="s">
        <v>154</v>
      </c>
      <c r="D726" s="42" t="str">
        <f aca="false">INDEX('Page và Ngách'!$B$5:$B$10,MATCH(C726,'Page và Ngách'!$A$5:$A$10,0))</f>
        <v>Werewolf / Rejected mate</v>
      </c>
      <c r="E726" s="41" t="n">
        <v>19</v>
      </c>
      <c r="F726" s="43" t="n">
        <f aca="false">'Cài đặt'!$B$39+E726-1</f>
        <v>46395</v>
      </c>
      <c r="G726" s="41" t="s">
        <v>451</v>
      </c>
      <c r="H726" s="44" t="str">
        <f aca="false">IF(G726="S1",'Cài đặt'!$B$7,'Cài đặt'!$B$8)</f>
        <v>20:00</v>
      </c>
      <c r="I726" s="44" t="str">
        <f aca="false">'Cài đặt'!$B$32</f>
        <v>Carousel</v>
      </c>
      <c r="J726" s="44" t="str">
        <f aca="false">'Cài đặt'!$B$33</f>
        <v>A</v>
      </c>
      <c r="K726" s="41" t="s">
        <v>445</v>
      </c>
      <c r="L726" s="42" t="str">
        <f aca="false">C726&amp;"_"&amp;B726&amp;"_"&amp;IF(I726="Reel","R",IF(I726="Carousel","C","I"))&amp;"_"&amp;J726&amp;"_"&amp;IF(K726="AI tự động","AI","HU")&amp;"_"&amp;RIGHT(A726,3)</f>
        <v>P1_EXP3_C_A_AI_038</v>
      </c>
      <c r="M726" s="45"/>
      <c r="N726" s="45"/>
      <c r="O726" s="46"/>
      <c r="P726" s="46"/>
      <c r="Q726" s="46"/>
      <c r="R726" s="47"/>
      <c r="S726" s="45"/>
      <c r="T726" s="45"/>
      <c r="U726" s="48" t="str">
        <f aca="false">IF(O726&gt;0,P726/O726,"")</f>
        <v/>
      </c>
      <c r="V726" s="49" t="str">
        <f aca="false">IF(P726&gt;0,Q726/P726,"")</f>
        <v/>
      </c>
      <c r="W726" s="50" t="n">
        <f aca="false">IF(R726&lt;&gt;"",R726,Q726*'Cài đặt'!$B$12)</f>
        <v>0</v>
      </c>
      <c r="X726" s="50" t="str">
        <f aca="false">IF(O726&gt;0,W726/O726*1000,"")</f>
        <v/>
      </c>
      <c r="Y726" s="51" t="n">
        <f aca="false">IF(T726&lt;&gt;"",T726,INDEX('Cài đặt'!$B$20:$C$22,MATCH(I726,'Cài đặt'!$A$20:$A$22,0),IF(K726="AI tự động",1,2)))</f>
        <v>4</v>
      </c>
    </row>
    <row r="727" customFormat="false" ht="15" hidden="false" customHeight="false" outlineLevel="0" collapsed="false">
      <c r="A727" s="41" t="s">
        <v>1177</v>
      </c>
      <c r="B727" s="41" t="s">
        <v>958</v>
      </c>
      <c r="C727" s="41" t="s">
        <v>163</v>
      </c>
      <c r="D727" s="42" t="str">
        <f aca="false">INDEX('Page và Ngách'!$B$5:$B$10,MATCH(C727,'Page và Ngách'!$A$5:$A$10,0))</f>
        <v>Secret billionaire / CEO</v>
      </c>
      <c r="E727" s="41" t="n">
        <v>19</v>
      </c>
      <c r="F727" s="43" t="n">
        <f aca="false">'Cài đặt'!$B$39+E727-1</f>
        <v>46395</v>
      </c>
      <c r="G727" s="41" t="s">
        <v>444</v>
      </c>
      <c r="H727" s="44" t="str">
        <f aca="false">IF(G727="S1",'Cài đặt'!$B$7,'Cài đặt'!$B$8)</f>
        <v>12:00</v>
      </c>
      <c r="I727" s="44" t="str">
        <f aca="false">'Cài đặt'!$B$32</f>
        <v>Carousel</v>
      </c>
      <c r="J727" s="44" t="str">
        <f aca="false">'Cài đặt'!$B$33</f>
        <v>A</v>
      </c>
      <c r="K727" s="41" t="s">
        <v>961</v>
      </c>
      <c r="L727" s="42" t="str">
        <f aca="false">C727&amp;"_"&amp;B727&amp;"_"&amp;IF(I727="Reel","R",IF(I727="Carousel","C","I"))&amp;"_"&amp;J727&amp;"_"&amp;IF(K727="AI tự động","AI","HU")&amp;"_"&amp;RIGHT(A727,3)</f>
        <v>P2_EXP3_C_A_HU_037</v>
      </c>
      <c r="M727" s="45"/>
      <c r="N727" s="45"/>
      <c r="O727" s="46"/>
      <c r="P727" s="46"/>
      <c r="Q727" s="46"/>
      <c r="R727" s="47"/>
      <c r="S727" s="45"/>
      <c r="T727" s="45"/>
      <c r="U727" s="48" t="str">
        <f aca="false">IF(O727&gt;0,P727/O727,"")</f>
        <v/>
      </c>
      <c r="V727" s="49" t="str">
        <f aca="false">IF(P727&gt;0,Q727/P727,"")</f>
        <v/>
      </c>
      <c r="W727" s="50" t="n">
        <f aca="false">IF(R727&lt;&gt;"",R727,Q727*'Cài đặt'!$B$12)</f>
        <v>0</v>
      </c>
      <c r="X727" s="50" t="str">
        <f aca="false">IF(O727&gt;0,W727/O727*1000,"")</f>
        <v/>
      </c>
      <c r="Y727" s="51" t="n">
        <f aca="false">IF(T727&lt;&gt;"",T727,INDEX('Cài đặt'!$B$20:$C$22,MATCH(I727,'Cài đặt'!$A$20:$A$22,0),IF(K727="AI tự động",1,2)))</f>
        <v>25</v>
      </c>
    </row>
    <row r="728" customFormat="false" ht="15" hidden="false" customHeight="false" outlineLevel="0" collapsed="false">
      <c r="A728" s="41" t="s">
        <v>1178</v>
      </c>
      <c r="B728" s="41" t="s">
        <v>958</v>
      </c>
      <c r="C728" s="41" t="s">
        <v>163</v>
      </c>
      <c r="D728" s="42" t="str">
        <f aca="false">INDEX('Page và Ngách'!$B$5:$B$10,MATCH(C728,'Page và Ngách'!$A$5:$A$10,0))</f>
        <v>Secret billionaire / CEO</v>
      </c>
      <c r="E728" s="41" t="n">
        <v>19</v>
      </c>
      <c r="F728" s="43" t="n">
        <f aca="false">'Cài đặt'!$B$39+E728-1</f>
        <v>46395</v>
      </c>
      <c r="G728" s="41" t="s">
        <v>451</v>
      </c>
      <c r="H728" s="44" t="str">
        <f aca="false">IF(G728="S1",'Cài đặt'!$B$7,'Cài đặt'!$B$8)</f>
        <v>20:00</v>
      </c>
      <c r="I728" s="44" t="str">
        <f aca="false">'Cài đặt'!$B$32</f>
        <v>Carousel</v>
      </c>
      <c r="J728" s="44" t="str">
        <f aca="false">'Cài đặt'!$B$33</f>
        <v>A</v>
      </c>
      <c r="K728" s="41" t="s">
        <v>445</v>
      </c>
      <c r="L728" s="42" t="str">
        <f aca="false">C728&amp;"_"&amp;B728&amp;"_"&amp;IF(I728="Reel","R",IF(I728="Carousel","C","I"))&amp;"_"&amp;J728&amp;"_"&amp;IF(K728="AI tự động","AI","HU")&amp;"_"&amp;RIGHT(A728,3)</f>
        <v>P2_EXP3_C_A_AI_038</v>
      </c>
      <c r="M728" s="45"/>
      <c r="N728" s="45"/>
      <c r="O728" s="46"/>
      <c r="P728" s="46"/>
      <c r="Q728" s="46"/>
      <c r="R728" s="47"/>
      <c r="S728" s="45"/>
      <c r="T728" s="45"/>
      <c r="U728" s="48" t="str">
        <f aca="false">IF(O728&gt;0,P728/O728,"")</f>
        <v/>
      </c>
      <c r="V728" s="49" t="str">
        <f aca="false">IF(P728&gt;0,Q728/P728,"")</f>
        <v/>
      </c>
      <c r="W728" s="50" t="n">
        <f aca="false">IF(R728&lt;&gt;"",R728,Q728*'Cài đặt'!$B$12)</f>
        <v>0</v>
      </c>
      <c r="X728" s="50" t="str">
        <f aca="false">IF(O728&gt;0,W728/O728*1000,"")</f>
        <v/>
      </c>
      <c r="Y728" s="51" t="n">
        <f aca="false">IF(T728&lt;&gt;"",T728,INDEX('Cài đặt'!$B$20:$C$22,MATCH(I728,'Cài đặt'!$A$20:$A$22,0),IF(K728="AI tự động",1,2)))</f>
        <v>4</v>
      </c>
    </row>
    <row r="729" customFormat="false" ht="15" hidden="false" customHeight="false" outlineLevel="0" collapsed="false">
      <c r="A729" s="41" t="s">
        <v>1179</v>
      </c>
      <c r="B729" s="41" t="s">
        <v>958</v>
      </c>
      <c r="C729" s="41" t="s">
        <v>171</v>
      </c>
      <c r="D729" s="42" t="str">
        <f aca="false">INDEX('Page và Ngách'!$B$5:$B$10,MATCH(C729,'Page và Ngách'!$A$5:$A$10,0))</f>
        <v>Contract marriage / Fake relationship</v>
      </c>
      <c r="E729" s="41" t="n">
        <v>19</v>
      </c>
      <c r="F729" s="43" t="n">
        <f aca="false">'Cài đặt'!$B$39+E729-1</f>
        <v>46395</v>
      </c>
      <c r="G729" s="41" t="s">
        <v>444</v>
      </c>
      <c r="H729" s="44" t="str">
        <f aca="false">IF(G729="S1",'Cài đặt'!$B$7,'Cài đặt'!$B$8)</f>
        <v>12:00</v>
      </c>
      <c r="I729" s="44" t="str">
        <f aca="false">'Cài đặt'!$B$32</f>
        <v>Carousel</v>
      </c>
      <c r="J729" s="44" t="str">
        <f aca="false">'Cài đặt'!$B$33</f>
        <v>A</v>
      </c>
      <c r="K729" s="41" t="s">
        <v>445</v>
      </c>
      <c r="L729" s="42" t="str">
        <f aca="false">C729&amp;"_"&amp;B729&amp;"_"&amp;IF(I729="Reel","R",IF(I729="Carousel","C","I"))&amp;"_"&amp;J729&amp;"_"&amp;IF(K729="AI tự động","AI","HU")&amp;"_"&amp;RIGHT(A729,3)</f>
        <v>P3_EXP3_C_A_AI_037</v>
      </c>
      <c r="M729" s="45"/>
      <c r="N729" s="45"/>
      <c r="O729" s="46"/>
      <c r="P729" s="46"/>
      <c r="Q729" s="46"/>
      <c r="R729" s="47"/>
      <c r="S729" s="45"/>
      <c r="T729" s="45"/>
      <c r="U729" s="48" t="str">
        <f aca="false">IF(O729&gt;0,P729/O729,"")</f>
        <v/>
      </c>
      <c r="V729" s="49" t="str">
        <f aca="false">IF(P729&gt;0,Q729/P729,"")</f>
        <v/>
      </c>
      <c r="W729" s="50" t="n">
        <f aca="false">IF(R729&lt;&gt;"",R729,Q729*'Cài đặt'!$B$12)</f>
        <v>0</v>
      </c>
      <c r="X729" s="50" t="str">
        <f aca="false">IF(O729&gt;0,W729/O729*1000,"")</f>
        <v/>
      </c>
      <c r="Y729" s="51" t="n">
        <f aca="false">IF(T729&lt;&gt;"",T729,INDEX('Cài đặt'!$B$20:$C$22,MATCH(I729,'Cài đặt'!$A$20:$A$22,0),IF(K729="AI tự động",1,2)))</f>
        <v>4</v>
      </c>
    </row>
    <row r="730" customFormat="false" ht="15" hidden="false" customHeight="false" outlineLevel="0" collapsed="false">
      <c r="A730" s="41" t="s">
        <v>1180</v>
      </c>
      <c r="B730" s="41" t="s">
        <v>958</v>
      </c>
      <c r="C730" s="41" t="s">
        <v>171</v>
      </c>
      <c r="D730" s="42" t="str">
        <f aca="false">INDEX('Page và Ngách'!$B$5:$B$10,MATCH(C730,'Page và Ngách'!$A$5:$A$10,0))</f>
        <v>Contract marriage / Fake relationship</v>
      </c>
      <c r="E730" s="41" t="n">
        <v>19</v>
      </c>
      <c r="F730" s="43" t="n">
        <f aca="false">'Cài đặt'!$B$39+E730-1</f>
        <v>46395</v>
      </c>
      <c r="G730" s="41" t="s">
        <v>451</v>
      </c>
      <c r="H730" s="44" t="str">
        <f aca="false">IF(G730="S1",'Cài đặt'!$B$7,'Cài đặt'!$B$8)</f>
        <v>20:00</v>
      </c>
      <c r="I730" s="44" t="str">
        <f aca="false">'Cài đặt'!$B$32</f>
        <v>Carousel</v>
      </c>
      <c r="J730" s="44" t="str">
        <f aca="false">'Cài đặt'!$B$33</f>
        <v>A</v>
      </c>
      <c r="K730" s="41" t="s">
        <v>445</v>
      </c>
      <c r="L730" s="42" t="str">
        <f aca="false">C730&amp;"_"&amp;B730&amp;"_"&amp;IF(I730="Reel","R",IF(I730="Carousel","C","I"))&amp;"_"&amp;J730&amp;"_"&amp;IF(K730="AI tự động","AI","HU")&amp;"_"&amp;RIGHT(A730,3)</f>
        <v>P3_EXP3_C_A_AI_038</v>
      </c>
      <c r="M730" s="45"/>
      <c r="N730" s="45"/>
      <c r="O730" s="46"/>
      <c r="P730" s="46"/>
      <c r="Q730" s="46"/>
      <c r="R730" s="47"/>
      <c r="S730" s="45"/>
      <c r="T730" s="45"/>
      <c r="U730" s="48" t="str">
        <f aca="false">IF(O730&gt;0,P730/O730,"")</f>
        <v/>
      </c>
      <c r="V730" s="49" t="str">
        <f aca="false">IF(P730&gt;0,Q730/P730,"")</f>
        <v/>
      </c>
      <c r="W730" s="50" t="n">
        <f aca="false">IF(R730&lt;&gt;"",R730,Q730*'Cài đặt'!$B$12)</f>
        <v>0</v>
      </c>
      <c r="X730" s="50" t="str">
        <f aca="false">IF(O730&gt;0,W730/O730*1000,"")</f>
        <v/>
      </c>
      <c r="Y730" s="51" t="n">
        <f aca="false">IF(T730&lt;&gt;"",T730,INDEX('Cài đặt'!$B$20:$C$22,MATCH(I730,'Cài đặt'!$A$20:$A$22,0),IF(K730="AI tự động",1,2)))</f>
        <v>4</v>
      </c>
    </row>
    <row r="731" customFormat="false" ht="15" hidden="false" customHeight="false" outlineLevel="0" collapsed="false">
      <c r="A731" s="41" t="s">
        <v>1181</v>
      </c>
      <c r="B731" s="41" t="s">
        <v>958</v>
      </c>
      <c r="C731" s="41" t="s">
        <v>178</v>
      </c>
      <c r="D731" s="42" t="str">
        <f aca="false">INDEX('Page và Ngách'!$B$5:$B$10,MATCH(C731,'Page và Ngách'!$A$5:$A$10,0))</f>
        <v>Revenge / Betrayal ("you'll regret it")</v>
      </c>
      <c r="E731" s="41" t="n">
        <v>19</v>
      </c>
      <c r="F731" s="43" t="n">
        <f aca="false">'Cài đặt'!$B$39+E731-1</f>
        <v>46395</v>
      </c>
      <c r="G731" s="41" t="s">
        <v>444</v>
      </c>
      <c r="H731" s="44" t="str">
        <f aca="false">IF(G731="S1",'Cài đặt'!$B$7,'Cài đặt'!$B$8)</f>
        <v>12:00</v>
      </c>
      <c r="I731" s="44" t="str">
        <f aca="false">'Cài đặt'!$B$32</f>
        <v>Carousel</v>
      </c>
      <c r="J731" s="44" t="str">
        <f aca="false">'Cài đặt'!$B$33</f>
        <v>A</v>
      </c>
      <c r="K731" s="41" t="s">
        <v>445</v>
      </c>
      <c r="L731" s="42" t="str">
        <f aca="false">C731&amp;"_"&amp;B731&amp;"_"&amp;IF(I731="Reel","R",IF(I731="Carousel","C","I"))&amp;"_"&amp;J731&amp;"_"&amp;IF(K731="AI tự động","AI","HU")&amp;"_"&amp;RIGHT(A731,3)</f>
        <v>P4_EXP3_C_A_AI_037</v>
      </c>
      <c r="M731" s="45"/>
      <c r="N731" s="45"/>
      <c r="O731" s="46"/>
      <c r="P731" s="46"/>
      <c r="Q731" s="46"/>
      <c r="R731" s="47"/>
      <c r="S731" s="45"/>
      <c r="T731" s="45"/>
      <c r="U731" s="48" t="str">
        <f aca="false">IF(O731&gt;0,P731/O731,"")</f>
        <v/>
      </c>
      <c r="V731" s="49" t="str">
        <f aca="false">IF(P731&gt;0,Q731/P731,"")</f>
        <v/>
      </c>
      <c r="W731" s="50" t="n">
        <f aca="false">IF(R731&lt;&gt;"",R731,Q731*'Cài đặt'!$B$12)</f>
        <v>0</v>
      </c>
      <c r="X731" s="50" t="str">
        <f aca="false">IF(O731&gt;0,W731/O731*1000,"")</f>
        <v/>
      </c>
      <c r="Y731" s="51" t="n">
        <f aca="false">IF(T731&lt;&gt;"",T731,INDEX('Cài đặt'!$B$20:$C$22,MATCH(I731,'Cài đặt'!$A$20:$A$22,0),IF(K731="AI tự động",1,2)))</f>
        <v>4</v>
      </c>
    </row>
    <row r="732" customFormat="false" ht="15" hidden="false" customHeight="false" outlineLevel="0" collapsed="false">
      <c r="A732" s="41" t="s">
        <v>1182</v>
      </c>
      <c r="B732" s="41" t="s">
        <v>958</v>
      </c>
      <c r="C732" s="41" t="s">
        <v>178</v>
      </c>
      <c r="D732" s="42" t="str">
        <f aca="false">INDEX('Page và Ngách'!$B$5:$B$10,MATCH(C732,'Page và Ngách'!$A$5:$A$10,0))</f>
        <v>Revenge / Betrayal ("you'll regret it")</v>
      </c>
      <c r="E732" s="41" t="n">
        <v>19</v>
      </c>
      <c r="F732" s="43" t="n">
        <f aca="false">'Cài đặt'!$B$39+E732-1</f>
        <v>46395</v>
      </c>
      <c r="G732" s="41" t="s">
        <v>451</v>
      </c>
      <c r="H732" s="44" t="str">
        <f aca="false">IF(G732="S1",'Cài đặt'!$B$7,'Cài đặt'!$B$8)</f>
        <v>20:00</v>
      </c>
      <c r="I732" s="44" t="str">
        <f aca="false">'Cài đặt'!$B$32</f>
        <v>Carousel</v>
      </c>
      <c r="J732" s="44" t="str">
        <f aca="false">'Cài đặt'!$B$33</f>
        <v>A</v>
      </c>
      <c r="K732" s="41" t="s">
        <v>961</v>
      </c>
      <c r="L732" s="42" t="str">
        <f aca="false">C732&amp;"_"&amp;B732&amp;"_"&amp;IF(I732="Reel","R",IF(I732="Carousel","C","I"))&amp;"_"&amp;J732&amp;"_"&amp;IF(K732="AI tự động","AI","HU")&amp;"_"&amp;RIGHT(A732,3)</f>
        <v>P4_EXP3_C_A_HU_038</v>
      </c>
      <c r="M732" s="45"/>
      <c r="N732" s="45"/>
      <c r="O732" s="46"/>
      <c r="P732" s="46"/>
      <c r="Q732" s="46"/>
      <c r="R732" s="47"/>
      <c r="S732" s="45"/>
      <c r="T732" s="45"/>
      <c r="U732" s="48" t="str">
        <f aca="false">IF(O732&gt;0,P732/O732,"")</f>
        <v/>
      </c>
      <c r="V732" s="49" t="str">
        <f aca="false">IF(P732&gt;0,Q732/P732,"")</f>
        <v/>
      </c>
      <c r="W732" s="50" t="n">
        <f aca="false">IF(R732&lt;&gt;"",R732,Q732*'Cài đặt'!$B$12)</f>
        <v>0</v>
      </c>
      <c r="X732" s="50" t="str">
        <f aca="false">IF(O732&gt;0,W732/O732*1000,"")</f>
        <v/>
      </c>
      <c r="Y732" s="51" t="n">
        <f aca="false">IF(T732&lt;&gt;"",T732,INDEX('Cài đặt'!$B$20:$C$22,MATCH(I732,'Cài đặt'!$A$20:$A$22,0),IF(K732="AI tự động",1,2)))</f>
        <v>25</v>
      </c>
    </row>
    <row r="733" customFormat="false" ht="15" hidden="false" customHeight="false" outlineLevel="0" collapsed="false">
      <c r="A733" s="41" t="s">
        <v>1183</v>
      </c>
      <c r="B733" s="41" t="s">
        <v>958</v>
      </c>
      <c r="C733" s="41" t="s">
        <v>185</v>
      </c>
      <c r="D733" s="42" t="str">
        <f aca="false">INDEX('Page và Ngách'!$B$5:$B$10,MATCH(C733,'Page và Ngách'!$A$5:$A$10,0))</f>
        <v>Mafia / Dark romance (teaser PG-13)</v>
      </c>
      <c r="E733" s="41" t="n">
        <v>19</v>
      </c>
      <c r="F733" s="43" t="n">
        <f aca="false">'Cài đặt'!$B$39+E733-1</f>
        <v>46395</v>
      </c>
      <c r="G733" s="41" t="s">
        <v>444</v>
      </c>
      <c r="H733" s="44" t="str">
        <f aca="false">IF(G733="S1",'Cài đặt'!$B$7,'Cài đặt'!$B$8)</f>
        <v>12:00</v>
      </c>
      <c r="I733" s="44" t="str">
        <f aca="false">'Cài đặt'!$B$32</f>
        <v>Carousel</v>
      </c>
      <c r="J733" s="44" t="str">
        <f aca="false">'Cài đặt'!$B$33</f>
        <v>A</v>
      </c>
      <c r="K733" s="41" t="s">
        <v>445</v>
      </c>
      <c r="L733" s="42" t="str">
        <f aca="false">C733&amp;"_"&amp;B733&amp;"_"&amp;IF(I733="Reel","R",IF(I733="Carousel","C","I"))&amp;"_"&amp;J733&amp;"_"&amp;IF(K733="AI tự động","AI","HU")&amp;"_"&amp;RIGHT(A733,3)</f>
        <v>P5_EXP3_C_A_AI_037</v>
      </c>
      <c r="M733" s="45"/>
      <c r="N733" s="45"/>
      <c r="O733" s="46"/>
      <c r="P733" s="46"/>
      <c r="Q733" s="46"/>
      <c r="R733" s="47"/>
      <c r="S733" s="45"/>
      <c r="T733" s="45"/>
      <c r="U733" s="48" t="str">
        <f aca="false">IF(O733&gt;0,P733/O733,"")</f>
        <v/>
      </c>
      <c r="V733" s="49" t="str">
        <f aca="false">IF(P733&gt;0,Q733/P733,"")</f>
        <v/>
      </c>
      <c r="W733" s="50" t="n">
        <f aca="false">IF(R733&lt;&gt;"",R733,Q733*'Cài đặt'!$B$12)</f>
        <v>0</v>
      </c>
      <c r="X733" s="50" t="str">
        <f aca="false">IF(O733&gt;0,W733/O733*1000,"")</f>
        <v/>
      </c>
      <c r="Y733" s="51" t="n">
        <f aca="false">IF(T733&lt;&gt;"",T733,INDEX('Cài đặt'!$B$20:$C$22,MATCH(I733,'Cài đặt'!$A$20:$A$22,0),IF(K733="AI tự động",1,2)))</f>
        <v>4</v>
      </c>
    </row>
    <row r="734" customFormat="false" ht="15" hidden="false" customHeight="false" outlineLevel="0" collapsed="false">
      <c r="A734" s="41" t="s">
        <v>1184</v>
      </c>
      <c r="B734" s="41" t="s">
        <v>958</v>
      </c>
      <c r="C734" s="41" t="s">
        <v>185</v>
      </c>
      <c r="D734" s="42" t="str">
        <f aca="false">INDEX('Page và Ngách'!$B$5:$B$10,MATCH(C734,'Page và Ngách'!$A$5:$A$10,0))</f>
        <v>Mafia / Dark romance (teaser PG-13)</v>
      </c>
      <c r="E734" s="41" t="n">
        <v>19</v>
      </c>
      <c r="F734" s="43" t="n">
        <f aca="false">'Cài đặt'!$B$39+E734-1</f>
        <v>46395</v>
      </c>
      <c r="G734" s="41" t="s">
        <v>451</v>
      </c>
      <c r="H734" s="44" t="str">
        <f aca="false">IF(G734="S1",'Cài đặt'!$B$7,'Cài đặt'!$B$8)</f>
        <v>20:00</v>
      </c>
      <c r="I734" s="44" t="str">
        <f aca="false">'Cài đặt'!$B$32</f>
        <v>Carousel</v>
      </c>
      <c r="J734" s="44" t="str">
        <f aca="false">'Cài đặt'!$B$33</f>
        <v>A</v>
      </c>
      <c r="K734" s="41" t="s">
        <v>445</v>
      </c>
      <c r="L734" s="42" t="str">
        <f aca="false">C734&amp;"_"&amp;B734&amp;"_"&amp;IF(I734="Reel","R",IF(I734="Carousel","C","I"))&amp;"_"&amp;J734&amp;"_"&amp;IF(K734="AI tự động","AI","HU")&amp;"_"&amp;RIGHT(A734,3)</f>
        <v>P5_EXP3_C_A_AI_038</v>
      </c>
      <c r="M734" s="45"/>
      <c r="N734" s="45"/>
      <c r="O734" s="46"/>
      <c r="P734" s="46"/>
      <c r="Q734" s="46"/>
      <c r="R734" s="47"/>
      <c r="S734" s="45"/>
      <c r="T734" s="45"/>
      <c r="U734" s="48" t="str">
        <f aca="false">IF(O734&gt;0,P734/O734,"")</f>
        <v/>
      </c>
      <c r="V734" s="49" t="str">
        <f aca="false">IF(P734&gt;0,Q734/P734,"")</f>
        <v/>
      </c>
      <c r="W734" s="50" t="n">
        <f aca="false">IF(R734&lt;&gt;"",R734,Q734*'Cài đặt'!$B$12)</f>
        <v>0</v>
      </c>
      <c r="X734" s="50" t="str">
        <f aca="false">IF(O734&gt;0,W734/O734*1000,"")</f>
        <v/>
      </c>
      <c r="Y734" s="51" t="n">
        <f aca="false">IF(T734&lt;&gt;"",T734,INDEX('Cài đặt'!$B$20:$C$22,MATCH(I734,'Cài đặt'!$A$20:$A$22,0),IF(K734="AI tự động",1,2)))</f>
        <v>4</v>
      </c>
    </row>
    <row r="735" customFormat="false" ht="15" hidden="false" customHeight="false" outlineLevel="0" collapsed="false">
      <c r="A735" s="41" t="s">
        <v>1185</v>
      </c>
      <c r="B735" s="41" t="s">
        <v>958</v>
      </c>
      <c r="C735" s="41" t="s">
        <v>193</v>
      </c>
      <c r="D735" s="42" t="str">
        <f aca="false">INDEX('Page và Ngách'!$B$5:$B$10,MATCH(C735,'Page và Ngách'!$A$5:$A$10,0))</f>
        <v>Second chance / Secret baby</v>
      </c>
      <c r="E735" s="41" t="n">
        <v>19</v>
      </c>
      <c r="F735" s="43" t="n">
        <f aca="false">'Cài đặt'!$B$39+E735-1</f>
        <v>46395</v>
      </c>
      <c r="G735" s="41" t="s">
        <v>444</v>
      </c>
      <c r="H735" s="44" t="str">
        <f aca="false">IF(G735="S1",'Cài đặt'!$B$7,'Cài đặt'!$B$8)</f>
        <v>12:00</v>
      </c>
      <c r="I735" s="44" t="str">
        <f aca="false">'Cài đặt'!$B$32</f>
        <v>Carousel</v>
      </c>
      <c r="J735" s="44" t="str">
        <f aca="false">'Cài đặt'!$B$33</f>
        <v>A</v>
      </c>
      <c r="K735" s="41" t="s">
        <v>445</v>
      </c>
      <c r="L735" s="42" t="str">
        <f aca="false">C735&amp;"_"&amp;B735&amp;"_"&amp;IF(I735="Reel","R",IF(I735="Carousel","C","I"))&amp;"_"&amp;J735&amp;"_"&amp;IF(K735="AI tự động","AI","HU")&amp;"_"&amp;RIGHT(A735,3)</f>
        <v>P6_EXP3_C_A_AI_037</v>
      </c>
      <c r="M735" s="45"/>
      <c r="N735" s="45"/>
      <c r="O735" s="46"/>
      <c r="P735" s="46"/>
      <c r="Q735" s="46"/>
      <c r="R735" s="47"/>
      <c r="S735" s="45"/>
      <c r="T735" s="45"/>
      <c r="U735" s="48" t="str">
        <f aca="false">IF(O735&gt;0,P735/O735,"")</f>
        <v/>
      </c>
      <c r="V735" s="49" t="str">
        <f aca="false">IF(P735&gt;0,Q735/P735,"")</f>
        <v/>
      </c>
      <c r="W735" s="50" t="n">
        <f aca="false">IF(R735&lt;&gt;"",R735,Q735*'Cài đặt'!$B$12)</f>
        <v>0</v>
      </c>
      <c r="X735" s="50" t="str">
        <f aca="false">IF(O735&gt;0,W735/O735*1000,"")</f>
        <v/>
      </c>
      <c r="Y735" s="51" t="n">
        <f aca="false">IF(T735&lt;&gt;"",T735,INDEX('Cài đặt'!$B$20:$C$22,MATCH(I735,'Cài đặt'!$A$20:$A$22,0),IF(K735="AI tự động",1,2)))</f>
        <v>4</v>
      </c>
    </row>
    <row r="736" customFormat="false" ht="15" hidden="false" customHeight="false" outlineLevel="0" collapsed="false">
      <c r="A736" s="41" t="s">
        <v>1186</v>
      </c>
      <c r="B736" s="41" t="s">
        <v>958</v>
      </c>
      <c r="C736" s="41" t="s">
        <v>193</v>
      </c>
      <c r="D736" s="42" t="str">
        <f aca="false">INDEX('Page và Ngách'!$B$5:$B$10,MATCH(C736,'Page và Ngách'!$A$5:$A$10,0))</f>
        <v>Second chance / Secret baby</v>
      </c>
      <c r="E736" s="41" t="n">
        <v>19</v>
      </c>
      <c r="F736" s="43" t="n">
        <f aca="false">'Cài đặt'!$B$39+E736-1</f>
        <v>46395</v>
      </c>
      <c r="G736" s="41" t="s">
        <v>451</v>
      </c>
      <c r="H736" s="44" t="str">
        <f aca="false">IF(G736="S1",'Cài đặt'!$B$7,'Cài đặt'!$B$8)</f>
        <v>20:00</v>
      </c>
      <c r="I736" s="44" t="str">
        <f aca="false">'Cài đặt'!$B$32</f>
        <v>Carousel</v>
      </c>
      <c r="J736" s="44" t="str">
        <f aca="false">'Cài đặt'!$B$33</f>
        <v>A</v>
      </c>
      <c r="K736" s="41" t="s">
        <v>961</v>
      </c>
      <c r="L736" s="42" t="str">
        <f aca="false">C736&amp;"_"&amp;B736&amp;"_"&amp;IF(I736="Reel","R",IF(I736="Carousel","C","I"))&amp;"_"&amp;J736&amp;"_"&amp;IF(K736="AI tự động","AI","HU")&amp;"_"&amp;RIGHT(A736,3)</f>
        <v>P6_EXP3_C_A_HU_038</v>
      </c>
      <c r="M736" s="45"/>
      <c r="N736" s="45"/>
      <c r="O736" s="46"/>
      <c r="P736" s="46"/>
      <c r="Q736" s="46"/>
      <c r="R736" s="47"/>
      <c r="S736" s="45"/>
      <c r="T736" s="45"/>
      <c r="U736" s="48" t="str">
        <f aca="false">IF(O736&gt;0,P736/O736,"")</f>
        <v/>
      </c>
      <c r="V736" s="49" t="str">
        <f aca="false">IF(P736&gt;0,Q736/P736,"")</f>
        <v/>
      </c>
      <c r="W736" s="50" t="n">
        <f aca="false">IF(R736&lt;&gt;"",R736,Q736*'Cài đặt'!$B$12)</f>
        <v>0</v>
      </c>
      <c r="X736" s="50" t="str">
        <f aca="false">IF(O736&gt;0,W736/O736*1000,"")</f>
        <v/>
      </c>
      <c r="Y736" s="51" t="n">
        <f aca="false">IF(T736&lt;&gt;"",T736,INDEX('Cài đặt'!$B$20:$C$22,MATCH(I736,'Cài đặt'!$A$20:$A$22,0),IF(K736="AI tự động",1,2)))</f>
        <v>25</v>
      </c>
    </row>
    <row r="737" customFormat="false" ht="15" hidden="false" customHeight="false" outlineLevel="0" collapsed="false">
      <c r="A737" s="41" t="s">
        <v>1187</v>
      </c>
      <c r="B737" s="41" t="s">
        <v>958</v>
      </c>
      <c r="C737" s="41" t="s">
        <v>154</v>
      </c>
      <c r="D737" s="42" t="str">
        <f aca="false">INDEX('Page và Ngách'!$B$5:$B$10,MATCH(C737,'Page và Ngách'!$A$5:$A$10,0))</f>
        <v>Werewolf / Rejected mate</v>
      </c>
      <c r="E737" s="41" t="n">
        <v>20</v>
      </c>
      <c r="F737" s="43" t="n">
        <f aca="false">'Cài đặt'!$B$39+E737-1</f>
        <v>46396</v>
      </c>
      <c r="G737" s="41" t="s">
        <v>444</v>
      </c>
      <c r="H737" s="44" t="str">
        <f aca="false">IF(G737="S1",'Cài đặt'!$B$7,'Cài đặt'!$B$8)</f>
        <v>12:00</v>
      </c>
      <c r="I737" s="44" t="str">
        <f aca="false">'Cài đặt'!$B$32</f>
        <v>Carousel</v>
      </c>
      <c r="J737" s="44" t="str">
        <f aca="false">'Cài đặt'!$B$33</f>
        <v>A</v>
      </c>
      <c r="K737" s="41" t="s">
        <v>961</v>
      </c>
      <c r="L737" s="42" t="str">
        <f aca="false">C737&amp;"_"&amp;B737&amp;"_"&amp;IF(I737="Reel","R",IF(I737="Carousel","C","I"))&amp;"_"&amp;J737&amp;"_"&amp;IF(K737="AI tự động","AI","HU")&amp;"_"&amp;RIGHT(A737,3)</f>
        <v>P1_EXP3_C_A_HU_039</v>
      </c>
      <c r="M737" s="45"/>
      <c r="N737" s="45"/>
      <c r="O737" s="46"/>
      <c r="P737" s="46"/>
      <c r="Q737" s="46"/>
      <c r="R737" s="47"/>
      <c r="S737" s="45"/>
      <c r="T737" s="45"/>
      <c r="U737" s="48" t="str">
        <f aca="false">IF(O737&gt;0,P737/O737,"")</f>
        <v/>
      </c>
      <c r="V737" s="49" t="str">
        <f aca="false">IF(P737&gt;0,Q737/P737,"")</f>
        <v/>
      </c>
      <c r="W737" s="50" t="n">
        <f aca="false">IF(R737&lt;&gt;"",R737,Q737*'Cài đặt'!$B$12)</f>
        <v>0</v>
      </c>
      <c r="X737" s="50" t="str">
        <f aca="false">IF(O737&gt;0,W737/O737*1000,"")</f>
        <v/>
      </c>
      <c r="Y737" s="51" t="n">
        <f aca="false">IF(T737&lt;&gt;"",T737,INDEX('Cài đặt'!$B$20:$C$22,MATCH(I737,'Cài đặt'!$A$20:$A$22,0),IF(K737="AI tự động",1,2)))</f>
        <v>25</v>
      </c>
    </row>
    <row r="738" customFormat="false" ht="15" hidden="false" customHeight="false" outlineLevel="0" collapsed="false">
      <c r="A738" s="41" t="s">
        <v>1188</v>
      </c>
      <c r="B738" s="41" t="s">
        <v>958</v>
      </c>
      <c r="C738" s="41" t="s">
        <v>154</v>
      </c>
      <c r="D738" s="42" t="str">
        <f aca="false">INDEX('Page và Ngách'!$B$5:$B$10,MATCH(C738,'Page và Ngách'!$A$5:$A$10,0))</f>
        <v>Werewolf / Rejected mate</v>
      </c>
      <c r="E738" s="41" t="n">
        <v>20</v>
      </c>
      <c r="F738" s="43" t="n">
        <f aca="false">'Cài đặt'!$B$39+E738-1</f>
        <v>46396</v>
      </c>
      <c r="G738" s="41" t="s">
        <v>451</v>
      </c>
      <c r="H738" s="44" t="str">
        <f aca="false">IF(G738="S1",'Cài đặt'!$B$7,'Cài đặt'!$B$8)</f>
        <v>20:00</v>
      </c>
      <c r="I738" s="44" t="str">
        <f aca="false">'Cài đặt'!$B$32</f>
        <v>Carousel</v>
      </c>
      <c r="J738" s="44" t="str">
        <f aca="false">'Cài đặt'!$B$33</f>
        <v>A</v>
      </c>
      <c r="K738" s="41" t="s">
        <v>445</v>
      </c>
      <c r="L738" s="42" t="str">
        <f aca="false">C738&amp;"_"&amp;B738&amp;"_"&amp;IF(I738="Reel","R",IF(I738="Carousel","C","I"))&amp;"_"&amp;J738&amp;"_"&amp;IF(K738="AI tự động","AI","HU")&amp;"_"&amp;RIGHT(A738,3)</f>
        <v>P1_EXP3_C_A_AI_040</v>
      </c>
      <c r="M738" s="45"/>
      <c r="N738" s="45"/>
      <c r="O738" s="46"/>
      <c r="P738" s="46"/>
      <c r="Q738" s="46"/>
      <c r="R738" s="47"/>
      <c r="S738" s="45"/>
      <c r="T738" s="45"/>
      <c r="U738" s="48" t="str">
        <f aca="false">IF(O738&gt;0,P738/O738,"")</f>
        <v/>
      </c>
      <c r="V738" s="49" t="str">
        <f aca="false">IF(P738&gt;0,Q738/P738,"")</f>
        <v/>
      </c>
      <c r="W738" s="50" t="n">
        <f aca="false">IF(R738&lt;&gt;"",R738,Q738*'Cài đặt'!$B$12)</f>
        <v>0</v>
      </c>
      <c r="X738" s="50" t="str">
        <f aca="false">IF(O738&gt;0,W738/O738*1000,"")</f>
        <v/>
      </c>
      <c r="Y738" s="51" t="n">
        <f aca="false">IF(T738&lt;&gt;"",T738,INDEX('Cài đặt'!$B$20:$C$22,MATCH(I738,'Cài đặt'!$A$20:$A$22,0),IF(K738="AI tự động",1,2)))</f>
        <v>4</v>
      </c>
    </row>
    <row r="739" customFormat="false" ht="15" hidden="false" customHeight="false" outlineLevel="0" collapsed="false">
      <c r="A739" s="41" t="s">
        <v>1189</v>
      </c>
      <c r="B739" s="41" t="s">
        <v>958</v>
      </c>
      <c r="C739" s="41" t="s">
        <v>163</v>
      </c>
      <c r="D739" s="42" t="str">
        <f aca="false">INDEX('Page và Ngách'!$B$5:$B$10,MATCH(C739,'Page và Ngách'!$A$5:$A$10,0))</f>
        <v>Secret billionaire / CEO</v>
      </c>
      <c r="E739" s="41" t="n">
        <v>20</v>
      </c>
      <c r="F739" s="43" t="n">
        <f aca="false">'Cài đặt'!$B$39+E739-1</f>
        <v>46396</v>
      </c>
      <c r="G739" s="41" t="s">
        <v>444</v>
      </c>
      <c r="H739" s="44" t="str">
        <f aca="false">IF(G739="S1",'Cài đặt'!$B$7,'Cài đặt'!$B$8)</f>
        <v>12:00</v>
      </c>
      <c r="I739" s="44" t="str">
        <f aca="false">'Cài đặt'!$B$32</f>
        <v>Carousel</v>
      </c>
      <c r="J739" s="44" t="str">
        <f aca="false">'Cài đặt'!$B$33</f>
        <v>A</v>
      </c>
      <c r="K739" s="41" t="s">
        <v>445</v>
      </c>
      <c r="L739" s="42" t="str">
        <f aca="false">C739&amp;"_"&amp;B739&amp;"_"&amp;IF(I739="Reel","R",IF(I739="Carousel","C","I"))&amp;"_"&amp;J739&amp;"_"&amp;IF(K739="AI tự động","AI","HU")&amp;"_"&amp;RIGHT(A739,3)</f>
        <v>P2_EXP3_C_A_AI_039</v>
      </c>
      <c r="M739" s="45"/>
      <c r="N739" s="45"/>
      <c r="O739" s="46"/>
      <c r="P739" s="46"/>
      <c r="Q739" s="46"/>
      <c r="R739" s="47"/>
      <c r="S739" s="45"/>
      <c r="T739" s="45"/>
      <c r="U739" s="48" t="str">
        <f aca="false">IF(O739&gt;0,P739/O739,"")</f>
        <v/>
      </c>
      <c r="V739" s="49" t="str">
        <f aca="false">IF(P739&gt;0,Q739/P739,"")</f>
        <v/>
      </c>
      <c r="W739" s="50" t="n">
        <f aca="false">IF(R739&lt;&gt;"",R739,Q739*'Cài đặt'!$B$12)</f>
        <v>0</v>
      </c>
      <c r="X739" s="50" t="str">
        <f aca="false">IF(O739&gt;0,W739/O739*1000,"")</f>
        <v/>
      </c>
      <c r="Y739" s="51" t="n">
        <f aca="false">IF(T739&lt;&gt;"",T739,INDEX('Cài đặt'!$B$20:$C$22,MATCH(I739,'Cài đặt'!$A$20:$A$22,0),IF(K739="AI tự động",1,2)))</f>
        <v>4</v>
      </c>
    </row>
    <row r="740" customFormat="false" ht="15" hidden="false" customHeight="false" outlineLevel="0" collapsed="false">
      <c r="A740" s="41" t="s">
        <v>1190</v>
      </c>
      <c r="B740" s="41" t="s">
        <v>958</v>
      </c>
      <c r="C740" s="41" t="s">
        <v>163</v>
      </c>
      <c r="D740" s="42" t="str">
        <f aca="false">INDEX('Page và Ngách'!$B$5:$B$10,MATCH(C740,'Page và Ngách'!$A$5:$A$10,0))</f>
        <v>Secret billionaire / CEO</v>
      </c>
      <c r="E740" s="41" t="n">
        <v>20</v>
      </c>
      <c r="F740" s="43" t="n">
        <f aca="false">'Cài đặt'!$B$39+E740-1</f>
        <v>46396</v>
      </c>
      <c r="G740" s="41" t="s">
        <v>451</v>
      </c>
      <c r="H740" s="44" t="str">
        <f aca="false">IF(G740="S1",'Cài đặt'!$B$7,'Cài đặt'!$B$8)</f>
        <v>20:00</v>
      </c>
      <c r="I740" s="44" t="str">
        <f aca="false">'Cài đặt'!$B$32</f>
        <v>Carousel</v>
      </c>
      <c r="J740" s="44" t="str">
        <f aca="false">'Cài đặt'!$B$33</f>
        <v>A</v>
      </c>
      <c r="K740" s="41" t="s">
        <v>445</v>
      </c>
      <c r="L740" s="42" t="str">
        <f aca="false">C740&amp;"_"&amp;B740&amp;"_"&amp;IF(I740="Reel","R",IF(I740="Carousel","C","I"))&amp;"_"&amp;J740&amp;"_"&amp;IF(K740="AI tự động","AI","HU")&amp;"_"&amp;RIGHT(A740,3)</f>
        <v>P2_EXP3_C_A_AI_040</v>
      </c>
      <c r="M740" s="45"/>
      <c r="N740" s="45"/>
      <c r="O740" s="46"/>
      <c r="P740" s="46"/>
      <c r="Q740" s="46"/>
      <c r="R740" s="47"/>
      <c r="S740" s="45"/>
      <c r="T740" s="45"/>
      <c r="U740" s="48" t="str">
        <f aca="false">IF(O740&gt;0,P740/O740,"")</f>
        <v/>
      </c>
      <c r="V740" s="49" t="str">
        <f aca="false">IF(P740&gt;0,Q740/P740,"")</f>
        <v/>
      </c>
      <c r="W740" s="50" t="n">
        <f aca="false">IF(R740&lt;&gt;"",R740,Q740*'Cài đặt'!$B$12)</f>
        <v>0</v>
      </c>
      <c r="X740" s="50" t="str">
        <f aca="false">IF(O740&gt;0,W740/O740*1000,"")</f>
        <v/>
      </c>
      <c r="Y740" s="51" t="n">
        <f aca="false">IF(T740&lt;&gt;"",T740,INDEX('Cài đặt'!$B$20:$C$22,MATCH(I740,'Cài đặt'!$A$20:$A$22,0),IF(K740="AI tự động",1,2)))</f>
        <v>4</v>
      </c>
    </row>
    <row r="741" customFormat="false" ht="15" hidden="false" customHeight="false" outlineLevel="0" collapsed="false">
      <c r="A741" s="41" t="s">
        <v>1191</v>
      </c>
      <c r="B741" s="41" t="s">
        <v>958</v>
      </c>
      <c r="C741" s="41" t="s">
        <v>171</v>
      </c>
      <c r="D741" s="42" t="str">
        <f aca="false">INDEX('Page và Ngách'!$B$5:$B$10,MATCH(C741,'Page và Ngách'!$A$5:$A$10,0))</f>
        <v>Contract marriage / Fake relationship</v>
      </c>
      <c r="E741" s="41" t="n">
        <v>20</v>
      </c>
      <c r="F741" s="43" t="n">
        <f aca="false">'Cài đặt'!$B$39+E741-1</f>
        <v>46396</v>
      </c>
      <c r="G741" s="41" t="s">
        <v>444</v>
      </c>
      <c r="H741" s="44" t="str">
        <f aca="false">IF(G741="S1",'Cài đặt'!$B$7,'Cài đặt'!$B$8)</f>
        <v>12:00</v>
      </c>
      <c r="I741" s="44" t="str">
        <f aca="false">'Cài đặt'!$B$32</f>
        <v>Carousel</v>
      </c>
      <c r="J741" s="44" t="str">
        <f aca="false">'Cài đặt'!$B$33</f>
        <v>A</v>
      </c>
      <c r="K741" s="41" t="s">
        <v>445</v>
      </c>
      <c r="L741" s="42" t="str">
        <f aca="false">C741&amp;"_"&amp;B741&amp;"_"&amp;IF(I741="Reel","R",IF(I741="Carousel","C","I"))&amp;"_"&amp;J741&amp;"_"&amp;IF(K741="AI tự động","AI","HU")&amp;"_"&amp;RIGHT(A741,3)</f>
        <v>P3_EXP3_C_A_AI_039</v>
      </c>
      <c r="M741" s="45"/>
      <c r="N741" s="45"/>
      <c r="O741" s="46"/>
      <c r="P741" s="46"/>
      <c r="Q741" s="46"/>
      <c r="R741" s="47"/>
      <c r="S741" s="45"/>
      <c r="T741" s="45"/>
      <c r="U741" s="48" t="str">
        <f aca="false">IF(O741&gt;0,P741/O741,"")</f>
        <v/>
      </c>
      <c r="V741" s="49" t="str">
        <f aca="false">IF(P741&gt;0,Q741/P741,"")</f>
        <v/>
      </c>
      <c r="W741" s="50" t="n">
        <f aca="false">IF(R741&lt;&gt;"",R741,Q741*'Cài đặt'!$B$12)</f>
        <v>0</v>
      </c>
      <c r="X741" s="50" t="str">
        <f aca="false">IF(O741&gt;0,W741/O741*1000,"")</f>
        <v/>
      </c>
      <c r="Y741" s="51" t="n">
        <f aca="false">IF(T741&lt;&gt;"",T741,INDEX('Cài đặt'!$B$20:$C$22,MATCH(I741,'Cài đặt'!$A$20:$A$22,0),IF(K741="AI tự động",1,2)))</f>
        <v>4</v>
      </c>
    </row>
    <row r="742" customFormat="false" ht="15" hidden="false" customHeight="false" outlineLevel="0" collapsed="false">
      <c r="A742" s="41" t="s">
        <v>1192</v>
      </c>
      <c r="B742" s="41" t="s">
        <v>958</v>
      </c>
      <c r="C742" s="41" t="s">
        <v>171</v>
      </c>
      <c r="D742" s="42" t="str">
        <f aca="false">INDEX('Page và Ngách'!$B$5:$B$10,MATCH(C742,'Page và Ngách'!$A$5:$A$10,0))</f>
        <v>Contract marriage / Fake relationship</v>
      </c>
      <c r="E742" s="41" t="n">
        <v>20</v>
      </c>
      <c r="F742" s="43" t="n">
        <f aca="false">'Cài đặt'!$B$39+E742-1</f>
        <v>46396</v>
      </c>
      <c r="G742" s="41" t="s">
        <v>451</v>
      </c>
      <c r="H742" s="44" t="str">
        <f aca="false">IF(G742="S1",'Cài đặt'!$B$7,'Cài đặt'!$B$8)</f>
        <v>20:00</v>
      </c>
      <c r="I742" s="44" t="str">
        <f aca="false">'Cài đặt'!$B$32</f>
        <v>Carousel</v>
      </c>
      <c r="J742" s="44" t="str">
        <f aca="false">'Cài đặt'!$B$33</f>
        <v>A</v>
      </c>
      <c r="K742" s="41" t="s">
        <v>961</v>
      </c>
      <c r="L742" s="42" t="str">
        <f aca="false">C742&amp;"_"&amp;B742&amp;"_"&amp;IF(I742="Reel","R",IF(I742="Carousel","C","I"))&amp;"_"&amp;J742&amp;"_"&amp;IF(K742="AI tự động","AI","HU")&amp;"_"&amp;RIGHT(A742,3)</f>
        <v>P3_EXP3_C_A_HU_040</v>
      </c>
      <c r="M742" s="45"/>
      <c r="N742" s="45"/>
      <c r="O742" s="46"/>
      <c r="P742" s="46"/>
      <c r="Q742" s="46"/>
      <c r="R742" s="47"/>
      <c r="S742" s="45"/>
      <c r="T742" s="45"/>
      <c r="U742" s="48" t="str">
        <f aca="false">IF(O742&gt;0,P742/O742,"")</f>
        <v/>
      </c>
      <c r="V742" s="49" t="str">
        <f aca="false">IF(P742&gt;0,Q742/P742,"")</f>
        <v/>
      </c>
      <c r="W742" s="50" t="n">
        <f aca="false">IF(R742&lt;&gt;"",R742,Q742*'Cài đặt'!$B$12)</f>
        <v>0</v>
      </c>
      <c r="X742" s="50" t="str">
        <f aca="false">IF(O742&gt;0,W742/O742*1000,"")</f>
        <v/>
      </c>
      <c r="Y742" s="51" t="n">
        <f aca="false">IF(T742&lt;&gt;"",T742,INDEX('Cài đặt'!$B$20:$C$22,MATCH(I742,'Cài đặt'!$A$20:$A$22,0),IF(K742="AI tự động",1,2)))</f>
        <v>25</v>
      </c>
    </row>
    <row r="743" customFormat="false" ht="15" hidden="false" customHeight="false" outlineLevel="0" collapsed="false">
      <c r="A743" s="41" t="s">
        <v>1193</v>
      </c>
      <c r="B743" s="41" t="s">
        <v>958</v>
      </c>
      <c r="C743" s="41" t="s">
        <v>178</v>
      </c>
      <c r="D743" s="42" t="str">
        <f aca="false">INDEX('Page và Ngách'!$B$5:$B$10,MATCH(C743,'Page và Ngách'!$A$5:$A$10,0))</f>
        <v>Revenge / Betrayal ("you'll regret it")</v>
      </c>
      <c r="E743" s="41" t="n">
        <v>20</v>
      </c>
      <c r="F743" s="43" t="n">
        <f aca="false">'Cài đặt'!$B$39+E743-1</f>
        <v>46396</v>
      </c>
      <c r="G743" s="41" t="s">
        <v>444</v>
      </c>
      <c r="H743" s="44" t="str">
        <f aca="false">IF(G743="S1",'Cài đặt'!$B$7,'Cài đặt'!$B$8)</f>
        <v>12:00</v>
      </c>
      <c r="I743" s="44" t="str">
        <f aca="false">'Cài đặt'!$B$32</f>
        <v>Carousel</v>
      </c>
      <c r="J743" s="44" t="str">
        <f aca="false">'Cài đặt'!$B$33</f>
        <v>A</v>
      </c>
      <c r="K743" s="41" t="s">
        <v>445</v>
      </c>
      <c r="L743" s="42" t="str">
        <f aca="false">C743&amp;"_"&amp;B743&amp;"_"&amp;IF(I743="Reel","R",IF(I743="Carousel","C","I"))&amp;"_"&amp;J743&amp;"_"&amp;IF(K743="AI tự động","AI","HU")&amp;"_"&amp;RIGHT(A743,3)</f>
        <v>P4_EXP3_C_A_AI_039</v>
      </c>
      <c r="M743" s="45"/>
      <c r="N743" s="45"/>
      <c r="O743" s="46"/>
      <c r="P743" s="46"/>
      <c r="Q743" s="46"/>
      <c r="R743" s="47"/>
      <c r="S743" s="45"/>
      <c r="T743" s="45"/>
      <c r="U743" s="48" t="str">
        <f aca="false">IF(O743&gt;0,P743/O743,"")</f>
        <v/>
      </c>
      <c r="V743" s="49" t="str">
        <f aca="false">IF(P743&gt;0,Q743/P743,"")</f>
        <v/>
      </c>
      <c r="W743" s="50" t="n">
        <f aca="false">IF(R743&lt;&gt;"",R743,Q743*'Cài đặt'!$B$12)</f>
        <v>0</v>
      </c>
      <c r="X743" s="50" t="str">
        <f aca="false">IF(O743&gt;0,W743/O743*1000,"")</f>
        <v/>
      </c>
      <c r="Y743" s="51" t="n">
        <f aca="false">IF(T743&lt;&gt;"",T743,INDEX('Cài đặt'!$B$20:$C$22,MATCH(I743,'Cài đặt'!$A$20:$A$22,0),IF(K743="AI tự động",1,2)))</f>
        <v>4</v>
      </c>
    </row>
    <row r="744" customFormat="false" ht="15" hidden="false" customHeight="false" outlineLevel="0" collapsed="false">
      <c r="A744" s="41" t="s">
        <v>1194</v>
      </c>
      <c r="B744" s="41" t="s">
        <v>958</v>
      </c>
      <c r="C744" s="41" t="s">
        <v>178</v>
      </c>
      <c r="D744" s="42" t="str">
        <f aca="false">INDEX('Page và Ngách'!$B$5:$B$10,MATCH(C744,'Page và Ngách'!$A$5:$A$10,0))</f>
        <v>Revenge / Betrayal ("you'll regret it")</v>
      </c>
      <c r="E744" s="41" t="n">
        <v>20</v>
      </c>
      <c r="F744" s="43" t="n">
        <f aca="false">'Cài đặt'!$B$39+E744-1</f>
        <v>46396</v>
      </c>
      <c r="G744" s="41" t="s">
        <v>451</v>
      </c>
      <c r="H744" s="44" t="str">
        <f aca="false">IF(G744="S1",'Cài đặt'!$B$7,'Cài đặt'!$B$8)</f>
        <v>20:00</v>
      </c>
      <c r="I744" s="44" t="str">
        <f aca="false">'Cài đặt'!$B$32</f>
        <v>Carousel</v>
      </c>
      <c r="J744" s="44" t="str">
        <f aca="false">'Cài đặt'!$B$33</f>
        <v>A</v>
      </c>
      <c r="K744" s="41" t="s">
        <v>445</v>
      </c>
      <c r="L744" s="42" t="str">
        <f aca="false">C744&amp;"_"&amp;B744&amp;"_"&amp;IF(I744="Reel","R",IF(I744="Carousel","C","I"))&amp;"_"&amp;J744&amp;"_"&amp;IF(K744="AI tự động","AI","HU")&amp;"_"&amp;RIGHT(A744,3)</f>
        <v>P4_EXP3_C_A_AI_040</v>
      </c>
      <c r="M744" s="45"/>
      <c r="N744" s="45"/>
      <c r="O744" s="46"/>
      <c r="P744" s="46"/>
      <c r="Q744" s="46"/>
      <c r="R744" s="47"/>
      <c r="S744" s="45"/>
      <c r="T744" s="45"/>
      <c r="U744" s="48" t="str">
        <f aca="false">IF(O744&gt;0,P744/O744,"")</f>
        <v/>
      </c>
      <c r="V744" s="49" t="str">
        <f aca="false">IF(P744&gt;0,Q744/P744,"")</f>
        <v/>
      </c>
      <c r="W744" s="50" t="n">
        <f aca="false">IF(R744&lt;&gt;"",R744,Q744*'Cài đặt'!$B$12)</f>
        <v>0</v>
      </c>
      <c r="X744" s="50" t="str">
        <f aca="false">IF(O744&gt;0,W744/O744*1000,"")</f>
        <v/>
      </c>
      <c r="Y744" s="51" t="n">
        <f aca="false">IF(T744&lt;&gt;"",T744,INDEX('Cài đặt'!$B$20:$C$22,MATCH(I744,'Cài đặt'!$A$20:$A$22,0),IF(K744="AI tự động",1,2)))</f>
        <v>4</v>
      </c>
    </row>
    <row r="745" customFormat="false" ht="15" hidden="false" customHeight="false" outlineLevel="0" collapsed="false">
      <c r="A745" s="41" t="s">
        <v>1195</v>
      </c>
      <c r="B745" s="41" t="s">
        <v>958</v>
      </c>
      <c r="C745" s="41" t="s">
        <v>185</v>
      </c>
      <c r="D745" s="42" t="str">
        <f aca="false">INDEX('Page và Ngách'!$B$5:$B$10,MATCH(C745,'Page và Ngách'!$A$5:$A$10,0))</f>
        <v>Mafia / Dark romance (teaser PG-13)</v>
      </c>
      <c r="E745" s="41" t="n">
        <v>20</v>
      </c>
      <c r="F745" s="43" t="n">
        <f aca="false">'Cài đặt'!$B$39+E745-1</f>
        <v>46396</v>
      </c>
      <c r="G745" s="41" t="s">
        <v>444</v>
      </c>
      <c r="H745" s="44" t="str">
        <f aca="false">IF(G745="S1",'Cài đặt'!$B$7,'Cài đặt'!$B$8)</f>
        <v>12:00</v>
      </c>
      <c r="I745" s="44" t="str">
        <f aca="false">'Cài đặt'!$B$32</f>
        <v>Carousel</v>
      </c>
      <c r="J745" s="44" t="str">
        <f aca="false">'Cài đặt'!$B$33</f>
        <v>A</v>
      </c>
      <c r="K745" s="41" t="s">
        <v>445</v>
      </c>
      <c r="L745" s="42" t="str">
        <f aca="false">C745&amp;"_"&amp;B745&amp;"_"&amp;IF(I745="Reel","R",IF(I745="Carousel","C","I"))&amp;"_"&amp;J745&amp;"_"&amp;IF(K745="AI tự động","AI","HU")&amp;"_"&amp;RIGHT(A745,3)</f>
        <v>P5_EXP3_C_A_AI_039</v>
      </c>
      <c r="M745" s="45"/>
      <c r="N745" s="45"/>
      <c r="O745" s="46"/>
      <c r="P745" s="46"/>
      <c r="Q745" s="46"/>
      <c r="R745" s="47"/>
      <c r="S745" s="45"/>
      <c r="T745" s="45"/>
      <c r="U745" s="48" t="str">
        <f aca="false">IF(O745&gt;0,P745/O745,"")</f>
        <v/>
      </c>
      <c r="V745" s="49" t="str">
        <f aca="false">IF(P745&gt;0,Q745/P745,"")</f>
        <v/>
      </c>
      <c r="W745" s="50" t="n">
        <f aca="false">IF(R745&lt;&gt;"",R745,Q745*'Cài đặt'!$B$12)</f>
        <v>0</v>
      </c>
      <c r="X745" s="50" t="str">
        <f aca="false">IF(O745&gt;0,W745/O745*1000,"")</f>
        <v/>
      </c>
      <c r="Y745" s="51" t="n">
        <f aca="false">IF(T745&lt;&gt;"",T745,INDEX('Cài đặt'!$B$20:$C$22,MATCH(I745,'Cài đặt'!$A$20:$A$22,0),IF(K745="AI tự động",1,2)))</f>
        <v>4</v>
      </c>
    </row>
    <row r="746" customFormat="false" ht="15" hidden="false" customHeight="false" outlineLevel="0" collapsed="false">
      <c r="A746" s="41" t="s">
        <v>1196</v>
      </c>
      <c r="B746" s="41" t="s">
        <v>958</v>
      </c>
      <c r="C746" s="41" t="s">
        <v>185</v>
      </c>
      <c r="D746" s="42" t="str">
        <f aca="false">INDEX('Page và Ngách'!$B$5:$B$10,MATCH(C746,'Page và Ngách'!$A$5:$A$10,0))</f>
        <v>Mafia / Dark romance (teaser PG-13)</v>
      </c>
      <c r="E746" s="41" t="n">
        <v>20</v>
      </c>
      <c r="F746" s="43" t="n">
        <f aca="false">'Cài đặt'!$B$39+E746-1</f>
        <v>46396</v>
      </c>
      <c r="G746" s="41" t="s">
        <v>451</v>
      </c>
      <c r="H746" s="44" t="str">
        <f aca="false">IF(G746="S1",'Cài đặt'!$B$7,'Cài đặt'!$B$8)</f>
        <v>20:00</v>
      </c>
      <c r="I746" s="44" t="str">
        <f aca="false">'Cài đặt'!$B$32</f>
        <v>Carousel</v>
      </c>
      <c r="J746" s="44" t="str">
        <f aca="false">'Cài đặt'!$B$33</f>
        <v>A</v>
      </c>
      <c r="K746" s="41" t="s">
        <v>445</v>
      </c>
      <c r="L746" s="42" t="str">
        <f aca="false">C746&amp;"_"&amp;B746&amp;"_"&amp;IF(I746="Reel","R",IF(I746="Carousel","C","I"))&amp;"_"&amp;J746&amp;"_"&amp;IF(K746="AI tự động","AI","HU")&amp;"_"&amp;RIGHT(A746,3)</f>
        <v>P5_EXP3_C_A_AI_040</v>
      </c>
      <c r="M746" s="45"/>
      <c r="N746" s="45"/>
      <c r="O746" s="46"/>
      <c r="P746" s="46"/>
      <c r="Q746" s="46"/>
      <c r="R746" s="47"/>
      <c r="S746" s="45"/>
      <c r="T746" s="45"/>
      <c r="U746" s="48" t="str">
        <f aca="false">IF(O746&gt;0,P746/O746,"")</f>
        <v/>
      </c>
      <c r="V746" s="49" t="str">
        <f aca="false">IF(P746&gt;0,Q746/P746,"")</f>
        <v/>
      </c>
      <c r="W746" s="50" t="n">
        <f aca="false">IF(R746&lt;&gt;"",R746,Q746*'Cài đặt'!$B$12)</f>
        <v>0</v>
      </c>
      <c r="X746" s="50" t="str">
        <f aca="false">IF(O746&gt;0,W746/O746*1000,"")</f>
        <v/>
      </c>
      <c r="Y746" s="51" t="n">
        <f aca="false">IF(T746&lt;&gt;"",T746,INDEX('Cài đặt'!$B$20:$C$22,MATCH(I746,'Cài đặt'!$A$20:$A$22,0),IF(K746="AI tự động",1,2)))</f>
        <v>4</v>
      </c>
    </row>
    <row r="747" customFormat="false" ht="15" hidden="false" customHeight="false" outlineLevel="0" collapsed="false">
      <c r="A747" s="41" t="s">
        <v>1197</v>
      </c>
      <c r="B747" s="41" t="s">
        <v>958</v>
      </c>
      <c r="C747" s="41" t="s">
        <v>193</v>
      </c>
      <c r="D747" s="42" t="str">
        <f aca="false">INDEX('Page và Ngách'!$B$5:$B$10,MATCH(C747,'Page và Ngách'!$A$5:$A$10,0))</f>
        <v>Second chance / Secret baby</v>
      </c>
      <c r="E747" s="41" t="n">
        <v>20</v>
      </c>
      <c r="F747" s="43" t="n">
        <f aca="false">'Cài đặt'!$B$39+E747-1</f>
        <v>46396</v>
      </c>
      <c r="G747" s="41" t="s">
        <v>444</v>
      </c>
      <c r="H747" s="44" t="str">
        <f aca="false">IF(G747="S1",'Cài đặt'!$B$7,'Cài đặt'!$B$8)</f>
        <v>12:00</v>
      </c>
      <c r="I747" s="44" t="str">
        <f aca="false">'Cài đặt'!$B$32</f>
        <v>Carousel</v>
      </c>
      <c r="J747" s="44" t="str">
        <f aca="false">'Cài đặt'!$B$33</f>
        <v>A</v>
      </c>
      <c r="K747" s="41" t="s">
        <v>445</v>
      </c>
      <c r="L747" s="42" t="str">
        <f aca="false">C747&amp;"_"&amp;B747&amp;"_"&amp;IF(I747="Reel","R",IF(I747="Carousel","C","I"))&amp;"_"&amp;J747&amp;"_"&amp;IF(K747="AI tự động","AI","HU")&amp;"_"&amp;RIGHT(A747,3)</f>
        <v>P6_EXP3_C_A_AI_039</v>
      </c>
      <c r="M747" s="45"/>
      <c r="N747" s="45"/>
      <c r="O747" s="46"/>
      <c r="P747" s="46"/>
      <c r="Q747" s="46"/>
      <c r="R747" s="47"/>
      <c r="S747" s="45"/>
      <c r="T747" s="45"/>
      <c r="U747" s="48" t="str">
        <f aca="false">IF(O747&gt;0,P747/O747,"")</f>
        <v/>
      </c>
      <c r="V747" s="49" t="str">
        <f aca="false">IF(P747&gt;0,Q747/P747,"")</f>
        <v/>
      </c>
      <c r="W747" s="50" t="n">
        <f aca="false">IF(R747&lt;&gt;"",R747,Q747*'Cài đặt'!$B$12)</f>
        <v>0</v>
      </c>
      <c r="X747" s="50" t="str">
        <f aca="false">IF(O747&gt;0,W747/O747*1000,"")</f>
        <v/>
      </c>
      <c r="Y747" s="51" t="n">
        <f aca="false">IF(T747&lt;&gt;"",T747,INDEX('Cài đặt'!$B$20:$C$22,MATCH(I747,'Cài đặt'!$A$20:$A$22,0),IF(K747="AI tự động",1,2)))</f>
        <v>4</v>
      </c>
    </row>
    <row r="748" customFormat="false" ht="15" hidden="false" customHeight="false" outlineLevel="0" collapsed="false">
      <c r="A748" s="41" t="s">
        <v>1198</v>
      </c>
      <c r="B748" s="41" t="s">
        <v>958</v>
      </c>
      <c r="C748" s="41" t="s">
        <v>193</v>
      </c>
      <c r="D748" s="42" t="str">
        <f aca="false">INDEX('Page và Ngách'!$B$5:$B$10,MATCH(C748,'Page và Ngách'!$A$5:$A$10,0))</f>
        <v>Second chance / Secret baby</v>
      </c>
      <c r="E748" s="41" t="n">
        <v>20</v>
      </c>
      <c r="F748" s="43" t="n">
        <f aca="false">'Cài đặt'!$B$39+E748-1</f>
        <v>46396</v>
      </c>
      <c r="G748" s="41" t="s">
        <v>451</v>
      </c>
      <c r="H748" s="44" t="str">
        <f aca="false">IF(G748="S1",'Cài đặt'!$B$7,'Cài đặt'!$B$8)</f>
        <v>20:00</v>
      </c>
      <c r="I748" s="44" t="str">
        <f aca="false">'Cài đặt'!$B$32</f>
        <v>Carousel</v>
      </c>
      <c r="J748" s="44" t="str">
        <f aca="false">'Cài đặt'!$B$33</f>
        <v>A</v>
      </c>
      <c r="K748" s="41" t="s">
        <v>445</v>
      </c>
      <c r="L748" s="42" t="str">
        <f aca="false">C748&amp;"_"&amp;B748&amp;"_"&amp;IF(I748="Reel","R",IF(I748="Carousel","C","I"))&amp;"_"&amp;J748&amp;"_"&amp;IF(K748="AI tự động","AI","HU")&amp;"_"&amp;RIGHT(A748,3)</f>
        <v>P6_EXP3_C_A_AI_040</v>
      </c>
      <c r="M748" s="45"/>
      <c r="N748" s="45"/>
      <c r="O748" s="46"/>
      <c r="P748" s="46"/>
      <c r="Q748" s="46"/>
      <c r="R748" s="47"/>
      <c r="S748" s="45"/>
      <c r="T748" s="45"/>
      <c r="U748" s="48" t="str">
        <f aca="false">IF(O748&gt;0,P748/O748,"")</f>
        <v/>
      </c>
      <c r="V748" s="49" t="str">
        <f aca="false">IF(P748&gt;0,Q748/P748,"")</f>
        <v/>
      </c>
      <c r="W748" s="50" t="n">
        <f aca="false">IF(R748&lt;&gt;"",R748,Q748*'Cài đặt'!$B$12)</f>
        <v>0</v>
      </c>
      <c r="X748" s="50" t="str">
        <f aca="false">IF(O748&gt;0,W748/O748*1000,"")</f>
        <v/>
      </c>
      <c r="Y748" s="51" t="n">
        <f aca="false">IF(T748&lt;&gt;"",T748,INDEX('Cài đặt'!$B$20:$C$22,MATCH(I748,'Cài đặt'!$A$20:$A$22,0),IF(K748="AI tự động",1,2)))</f>
        <v>4</v>
      </c>
    </row>
    <row r="749" customFormat="false" ht="15" hidden="false" customHeight="false" outlineLevel="0" collapsed="false">
      <c r="A749" s="41" t="s">
        <v>1199</v>
      </c>
      <c r="B749" s="41" t="s">
        <v>958</v>
      </c>
      <c r="C749" s="41" t="s">
        <v>154</v>
      </c>
      <c r="D749" s="42" t="str">
        <f aca="false">INDEX('Page và Ngách'!$B$5:$B$10,MATCH(C749,'Page và Ngách'!$A$5:$A$10,0))</f>
        <v>Werewolf / Rejected mate</v>
      </c>
      <c r="E749" s="41" t="n">
        <v>21</v>
      </c>
      <c r="F749" s="43" t="n">
        <f aca="false">'Cài đặt'!$B$39+E749-1</f>
        <v>46397</v>
      </c>
      <c r="G749" s="41" t="s">
        <v>444</v>
      </c>
      <c r="H749" s="44" t="str">
        <f aca="false">IF(G749="S1",'Cài đặt'!$B$7,'Cài đặt'!$B$8)</f>
        <v>12:00</v>
      </c>
      <c r="I749" s="44" t="str">
        <f aca="false">'Cài đặt'!$B$32</f>
        <v>Carousel</v>
      </c>
      <c r="J749" s="44" t="str">
        <f aca="false">'Cài đặt'!$B$33</f>
        <v>A</v>
      </c>
      <c r="K749" s="41" t="s">
        <v>445</v>
      </c>
      <c r="L749" s="42" t="str">
        <f aca="false">C749&amp;"_"&amp;B749&amp;"_"&amp;IF(I749="Reel","R",IF(I749="Carousel","C","I"))&amp;"_"&amp;J749&amp;"_"&amp;IF(K749="AI tự động","AI","HU")&amp;"_"&amp;RIGHT(A749,3)</f>
        <v>P1_EXP3_C_A_AI_041</v>
      </c>
      <c r="M749" s="45"/>
      <c r="N749" s="45"/>
      <c r="O749" s="46"/>
      <c r="P749" s="46"/>
      <c r="Q749" s="46"/>
      <c r="R749" s="47"/>
      <c r="S749" s="45"/>
      <c r="T749" s="45"/>
      <c r="U749" s="48" t="str">
        <f aca="false">IF(O749&gt;0,P749/O749,"")</f>
        <v/>
      </c>
      <c r="V749" s="49" t="str">
        <f aca="false">IF(P749&gt;0,Q749/P749,"")</f>
        <v/>
      </c>
      <c r="W749" s="50" t="n">
        <f aca="false">IF(R749&lt;&gt;"",R749,Q749*'Cài đặt'!$B$12)</f>
        <v>0</v>
      </c>
      <c r="X749" s="50" t="str">
        <f aca="false">IF(O749&gt;0,W749/O749*1000,"")</f>
        <v/>
      </c>
      <c r="Y749" s="51" t="n">
        <f aca="false">IF(T749&lt;&gt;"",T749,INDEX('Cài đặt'!$B$20:$C$22,MATCH(I749,'Cài đặt'!$A$20:$A$22,0),IF(K749="AI tự động",1,2)))</f>
        <v>4</v>
      </c>
    </row>
    <row r="750" customFormat="false" ht="15" hidden="false" customHeight="false" outlineLevel="0" collapsed="false">
      <c r="A750" s="41" t="s">
        <v>1200</v>
      </c>
      <c r="B750" s="41" t="s">
        <v>958</v>
      </c>
      <c r="C750" s="41" t="s">
        <v>154</v>
      </c>
      <c r="D750" s="42" t="str">
        <f aca="false">INDEX('Page và Ngách'!$B$5:$B$10,MATCH(C750,'Page và Ngách'!$A$5:$A$10,0))</f>
        <v>Werewolf / Rejected mate</v>
      </c>
      <c r="E750" s="41" t="n">
        <v>21</v>
      </c>
      <c r="F750" s="43" t="n">
        <f aca="false">'Cài đặt'!$B$39+E750-1</f>
        <v>46397</v>
      </c>
      <c r="G750" s="41" t="s">
        <v>451</v>
      </c>
      <c r="H750" s="44" t="str">
        <f aca="false">IF(G750="S1",'Cài đặt'!$B$7,'Cài đặt'!$B$8)</f>
        <v>20:00</v>
      </c>
      <c r="I750" s="44" t="str">
        <f aca="false">'Cài đặt'!$B$32</f>
        <v>Carousel</v>
      </c>
      <c r="J750" s="44" t="str">
        <f aca="false">'Cài đặt'!$B$33</f>
        <v>A</v>
      </c>
      <c r="K750" s="41" t="s">
        <v>445</v>
      </c>
      <c r="L750" s="42" t="str">
        <f aca="false">C750&amp;"_"&amp;B750&amp;"_"&amp;IF(I750="Reel","R",IF(I750="Carousel","C","I"))&amp;"_"&amp;J750&amp;"_"&amp;IF(K750="AI tự động","AI","HU")&amp;"_"&amp;RIGHT(A750,3)</f>
        <v>P1_EXP3_C_A_AI_042</v>
      </c>
      <c r="M750" s="45"/>
      <c r="N750" s="45"/>
      <c r="O750" s="46"/>
      <c r="P750" s="46"/>
      <c r="Q750" s="46"/>
      <c r="R750" s="47"/>
      <c r="S750" s="45"/>
      <c r="T750" s="45"/>
      <c r="U750" s="48" t="str">
        <f aca="false">IF(O750&gt;0,P750/O750,"")</f>
        <v/>
      </c>
      <c r="V750" s="49" t="str">
        <f aca="false">IF(P750&gt;0,Q750/P750,"")</f>
        <v/>
      </c>
      <c r="W750" s="50" t="n">
        <f aca="false">IF(R750&lt;&gt;"",R750,Q750*'Cài đặt'!$B$12)</f>
        <v>0</v>
      </c>
      <c r="X750" s="50" t="str">
        <f aca="false">IF(O750&gt;0,W750/O750*1000,"")</f>
        <v/>
      </c>
      <c r="Y750" s="51" t="n">
        <f aca="false">IF(T750&lt;&gt;"",T750,INDEX('Cài đặt'!$B$20:$C$22,MATCH(I750,'Cài đặt'!$A$20:$A$22,0),IF(K750="AI tự động",1,2)))</f>
        <v>4</v>
      </c>
    </row>
    <row r="751" customFormat="false" ht="15" hidden="false" customHeight="false" outlineLevel="0" collapsed="false">
      <c r="A751" s="41" t="s">
        <v>1201</v>
      </c>
      <c r="B751" s="41" t="s">
        <v>958</v>
      </c>
      <c r="C751" s="41" t="s">
        <v>163</v>
      </c>
      <c r="D751" s="42" t="str">
        <f aca="false">INDEX('Page và Ngách'!$B$5:$B$10,MATCH(C751,'Page và Ngách'!$A$5:$A$10,0))</f>
        <v>Secret billionaire / CEO</v>
      </c>
      <c r="E751" s="41" t="n">
        <v>21</v>
      </c>
      <c r="F751" s="43" t="n">
        <f aca="false">'Cài đặt'!$B$39+E751-1</f>
        <v>46397</v>
      </c>
      <c r="G751" s="41" t="s">
        <v>444</v>
      </c>
      <c r="H751" s="44" t="str">
        <f aca="false">IF(G751="S1",'Cài đặt'!$B$7,'Cài đặt'!$B$8)</f>
        <v>12:00</v>
      </c>
      <c r="I751" s="44" t="str">
        <f aca="false">'Cài đặt'!$B$32</f>
        <v>Carousel</v>
      </c>
      <c r="J751" s="44" t="str">
        <f aca="false">'Cài đặt'!$B$33</f>
        <v>A</v>
      </c>
      <c r="K751" s="41" t="s">
        <v>445</v>
      </c>
      <c r="L751" s="42" t="str">
        <f aca="false">C751&amp;"_"&amp;B751&amp;"_"&amp;IF(I751="Reel","R",IF(I751="Carousel","C","I"))&amp;"_"&amp;J751&amp;"_"&amp;IF(K751="AI tự động","AI","HU")&amp;"_"&amp;RIGHT(A751,3)</f>
        <v>P2_EXP3_C_A_AI_041</v>
      </c>
      <c r="M751" s="45"/>
      <c r="N751" s="45"/>
      <c r="O751" s="46"/>
      <c r="P751" s="46"/>
      <c r="Q751" s="46"/>
      <c r="R751" s="47"/>
      <c r="S751" s="45"/>
      <c r="T751" s="45"/>
      <c r="U751" s="48" t="str">
        <f aca="false">IF(O751&gt;0,P751/O751,"")</f>
        <v/>
      </c>
      <c r="V751" s="49" t="str">
        <f aca="false">IF(P751&gt;0,Q751/P751,"")</f>
        <v/>
      </c>
      <c r="W751" s="50" t="n">
        <f aca="false">IF(R751&lt;&gt;"",R751,Q751*'Cài đặt'!$B$12)</f>
        <v>0</v>
      </c>
      <c r="X751" s="50" t="str">
        <f aca="false">IF(O751&gt;0,W751/O751*1000,"")</f>
        <v/>
      </c>
      <c r="Y751" s="51" t="n">
        <f aca="false">IF(T751&lt;&gt;"",T751,INDEX('Cài đặt'!$B$20:$C$22,MATCH(I751,'Cài đặt'!$A$20:$A$22,0),IF(K751="AI tự động",1,2)))</f>
        <v>4</v>
      </c>
    </row>
    <row r="752" customFormat="false" ht="15" hidden="false" customHeight="false" outlineLevel="0" collapsed="false">
      <c r="A752" s="41" t="s">
        <v>1202</v>
      </c>
      <c r="B752" s="41" t="s">
        <v>958</v>
      </c>
      <c r="C752" s="41" t="s">
        <v>163</v>
      </c>
      <c r="D752" s="42" t="str">
        <f aca="false">INDEX('Page và Ngách'!$B$5:$B$10,MATCH(C752,'Page và Ngách'!$A$5:$A$10,0))</f>
        <v>Secret billionaire / CEO</v>
      </c>
      <c r="E752" s="41" t="n">
        <v>21</v>
      </c>
      <c r="F752" s="43" t="n">
        <f aca="false">'Cài đặt'!$B$39+E752-1</f>
        <v>46397</v>
      </c>
      <c r="G752" s="41" t="s">
        <v>451</v>
      </c>
      <c r="H752" s="44" t="str">
        <f aca="false">IF(G752="S1",'Cài đặt'!$B$7,'Cài đặt'!$B$8)</f>
        <v>20:00</v>
      </c>
      <c r="I752" s="44" t="str">
        <f aca="false">'Cài đặt'!$B$32</f>
        <v>Carousel</v>
      </c>
      <c r="J752" s="44" t="str">
        <f aca="false">'Cài đặt'!$B$33</f>
        <v>A</v>
      </c>
      <c r="K752" s="41" t="s">
        <v>961</v>
      </c>
      <c r="L752" s="42" t="str">
        <f aca="false">C752&amp;"_"&amp;B752&amp;"_"&amp;IF(I752="Reel","R",IF(I752="Carousel","C","I"))&amp;"_"&amp;J752&amp;"_"&amp;IF(K752="AI tự động","AI","HU")&amp;"_"&amp;RIGHT(A752,3)</f>
        <v>P2_EXP3_C_A_HU_042</v>
      </c>
      <c r="M752" s="45"/>
      <c r="N752" s="45"/>
      <c r="O752" s="46"/>
      <c r="P752" s="46"/>
      <c r="Q752" s="46"/>
      <c r="R752" s="47"/>
      <c r="S752" s="45"/>
      <c r="T752" s="45"/>
      <c r="U752" s="48" t="str">
        <f aca="false">IF(O752&gt;0,P752/O752,"")</f>
        <v/>
      </c>
      <c r="V752" s="49" t="str">
        <f aca="false">IF(P752&gt;0,Q752/P752,"")</f>
        <v/>
      </c>
      <c r="W752" s="50" t="n">
        <f aca="false">IF(R752&lt;&gt;"",R752,Q752*'Cài đặt'!$B$12)</f>
        <v>0</v>
      </c>
      <c r="X752" s="50" t="str">
        <f aca="false">IF(O752&gt;0,W752/O752*1000,"")</f>
        <v/>
      </c>
      <c r="Y752" s="51" t="n">
        <f aca="false">IF(T752&lt;&gt;"",T752,INDEX('Cài đặt'!$B$20:$C$22,MATCH(I752,'Cài đặt'!$A$20:$A$22,0),IF(K752="AI tự động",1,2)))</f>
        <v>25</v>
      </c>
    </row>
    <row r="753" customFormat="false" ht="15" hidden="false" customHeight="false" outlineLevel="0" collapsed="false">
      <c r="A753" s="41" t="s">
        <v>1203</v>
      </c>
      <c r="B753" s="41" t="s">
        <v>958</v>
      </c>
      <c r="C753" s="41" t="s">
        <v>171</v>
      </c>
      <c r="D753" s="42" t="str">
        <f aca="false">INDEX('Page và Ngách'!$B$5:$B$10,MATCH(C753,'Page và Ngách'!$A$5:$A$10,0))</f>
        <v>Contract marriage / Fake relationship</v>
      </c>
      <c r="E753" s="41" t="n">
        <v>21</v>
      </c>
      <c r="F753" s="43" t="n">
        <f aca="false">'Cài đặt'!$B$39+E753-1</f>
        <v>46397</v>
      </c>
      <c r="G753" s="41" t="s">
        <v>444</v>
      </c>
      <c r="H753" s="44" t="str">
        <f aca="false">IF(G753="S1",'Cài đặt'!$B$7,'Cài đặt'!$B$8)</f>
        <v>12:00</v>
      </c>
      <c r="I753" s="44" t="str">
        <f aca="false">'Cài đặt'!$B$32</f>
        <v>Carousel</v>
      </c>
      <c r="J753" s="44" t="str">
        <f aca="false">'Cài đặt'!$B$33</f>
        <v>A</v>
      </c>
      <c r="K753" s="41" t="s">
        <v>445</v>
      </c>
      <c r="L753" s="42" t="str">
        <f aca="false">C753&amp;"_"&amp;B753&amp;"_"&amp;IF(I753="Reel","R",IF(I753="Carousel","C","I"))&amp;"_"&amp;J753&amp;"_"&amp;IF(K753="AI tự động","AI","HU")&amp;"_"&amp;RIGHT(A753,3)</f>
        <v>P3_EXP3_C_A_AI_041</v>
      </c>
      <c r="M753" s="45"/>
      <c r="N753" s="45"/>
      <c r="O753" s="46"/>
      <c r="P753" s="46"/>
      <c r="Q753" s="46"/>
      <c r="R753" s="47"/>
      <c r="S753" s="45"/>
      <c r="T753" s="45"/>
      <c r="U753" s="48" t="str">
        <f aca="false">IF(O753&gt;0,P753/O753,"")</f>
        <v/>
      </c>
      <c r="V753" s="49" t="str">
        <f aca="false">IF(P753&gt;0,Q753/P753,"")</f>
        <v/>
      </c>
      <c r="W753" s="50" t="n">
        <f aca="false">IF(R753&lt;&gt;"",R753,Q753*'Cài đặt'!$B$12)</f>
        <v>0</v>
      </c>
      <c r="X753" s="50" t="str">
        <f aca="false">IF(O753&gt;0,W753/O753*1000,"")</f>
        <v/>
      </c>
      <c r="Y753" s="51" t="n">
        <f aca="false">IF(T753&lt;&gt;"",T753,INDEX('Cài đặt'!$B$20:$C$22,MATCH(I753,'Cài đặt'!$A$20:$A$22,0),IF(K753="AI tự động",1,2)))</f>
        <v>4</v>
      </c>
    </row>
    <row r="754" customFormat="false" ht="15" hidden="false" customHeight="false" outlineLevel="0" collapsed="false">
      <c r="A754" s="41" t="s">
        <v>1204</v>
      </c>
      <c r="B754" s="41" t="s">
        <v>958</v>
      </c>
      <c r="C754" s="41" t="s">
        <v>171</v>
      </c>
      <c r="D754" s="42" t="str">
        <f aca="false">INDEX('Page và Ngách'!$B$5:$B$10,MATCH(C754,'Page và Ngách'!$A$5:$A$10,0))</f>
        <v>Contract marriage / Fake relationship</v>
      </c>
      <c r="E754" s="41" t="n">
        <v>21</v>
      </c>
      <c r="F754" s="43" t="n">
        <f aca="false">'Cài đặt'!$B$39+E754-1</f>
        <v>46397</v>
      </c>
      <c r="G754" s="41" t="s">
        <v>451</v>
      </c>
      <c r="H754" s="44" t="str">
        <f aca="false">IF(G754="S1",'Cài đặt'!$B$7,'Cài đặt'!$B$8)</f>
        <v>20:00</v>
      </c>
      <c r="I754" s="44" t="str">
        <f aca="false">'Cài đặt'!$B$32</f>
        <v>Carousel</v>
      </c>
      <c r="J754" s="44" t="str">
        <f aca="false">'Cài đặt'!$B$33</f>
        <v>A</v>
      </c>
      <c r="K754" s="41" t="s">
        <v>445</v>
      </c>
      <c r="L754" s="42" t="str">
        <f aca="false">C754&amp;"_"&amp;B754&amp;"_"&amp;IF(I754="Reel","R",IF(I754="Carousel","C","I"))&amp;"_"&amp;J754&amp;"_"&amp;IF(K754="AI tự động","AI","HU")&amp;"_"&amp;RIGHT(A754,3)</f>
        <v>P3_EXP3_C_A_AI_042</v>
      </c>
      <c r="M754" s="45"/>
      <c r="N754" s="45"/>
      <c r="O754" s="46"/>
      <c r="P754" s="46"/>
      <c r="Q754" s="46"/>
      <c r="R754" s="47"/>
      <c r="S754" s="45"/>
      <c r="T754" s="45"/>
      <c r="U754" s="48" t="str">
        <f aca="false">IF(O754&gt;0,P754/O754,"")</f>
        <v/>
      </c>
      <c r="V754" s="49" t="str">
        <f aca="false">IF(P754&gt;0,Q754/P754,"")</f>
        <v/>
      </c>
      <c r="W754" s="50" t="n">
        <f aca="false">IF(R754&lt;&gt;"",R754,Q754*'Cài đặt'!$B$12)</f>
        <v>0</v>
      </c>
      <c r="X754" s="50" t="str">
        <f aca="false">IF(O754&gt;0,W754/O754*1000,"")</f>
        <v/>
      </c>
      <c r="Y754" s="51" t="n">
        <f aca="false">IF(T754&lt;&gt;"",T754,INDEX('Cài đặt'!$B$20:$C$22,MATCH(I754,'Cài đặt'!$A$20:$A$22,0),IF(K754="AI tự động",1,2)))</f>
        <v>4</v>
      </c>
    </row>
    <row r="755" customFormat="false" ht="15" hidden="false" customHeight="false" outlineLevel="0" collapsed="false">
      <c r="A755" s="41" t="s">
        <v>1205</v>
      </c>
      <c r="B755" s="41" t="s">
        <v>958</v>
      </c>
      <c r="C755" s="41" t="s">
        <v>178</v>
      </c>
      <c r="D755" s="42" t="str">
        <f aca="false">INDEX('Page và Ngách'!$B$5:$B$10,MATCH(C755,'Page và Ngách'!$A$5:$A$10,0))</f>
        <v>Revenge / Betrayal ("you'll regret it")</v>
      </c>
      <c r="E755" s="41" t="n">
        <v>21</v>
      </c>
      <c r="F755" s="43" t="n">
        <f aca="false">'Cài đặt'!$B$39+E755-1</f>
        <v>46397</v>
      </c>
      <c r="G755" s="41" t="s">
        <v>444</v>
      </c>
      <c r="H755" s="44" t="str">
        <f aca="false">IF(G755="S1",'Cài đặt'!$B$7,'Cài đặt'!$B$8)</f>
        <v>12:00</v>
      </c>
      <c r="I755" s="44" t="str">
        <f aca="false">'Cài đặt'!$B$32</f>
        <v>Carousel</v>
      </c>
      <c r="J755" s="44" t="str">
        <f aca="false">'Cài đặt'!$B$33</f>
        <v>A</v>
      </c>
      <c r="K755" s="41" t="s">
        <v>445</v>
      </c>
      <c r="L755" s="42" t="str">
        <f aca="false">C755&amp;"_"&amp;B755&amp;"_"&amp;IF(I755="Reel","R",IF(I755="Carousel","C","I"))&amp;"_"&amp;J755&amp;"_"&amp;IF(K755="AI tự động","AI","HU")&amp;"_"&amp;RIGHT(A755,3)</f>
        <v>P4_EXP3_C_A_AI_041</v>
      </c>
      <c r="M755" s="45"/>
      <c r="N755" s="45"/>
      <c r="O755" s="46"/>
      <c r="P755" s="46"/>
      <c r="Q755" s="46"/>
      <c r="R755" s="47"/>
      <c r="S755" s="45"/>
      <c r="T755" s="45"/>
      <c r="U755" s="48" t="str">
        <f aca="false">IF(O755&gt;0,P755/O755,"")</f>
        <v/>
      </c>
      <c r="V755" s="49" t="str">
        <f aca="false">IF(P755&gt;0,Q755/P755,"")</f>
        <v/>
      </c>
      <c r="W755" s="50" t="n">
        <f aca="false">IF(R755&lt;&gt;"",R755,Q755*'Cài đặt'!$B$12)</f>
        <v>0</v>
      </c>
      <c r="X755" s="50" t="str">
        <f aca="false">IF(O755&gt;0,W755/O755*1000,"")</f>
        <v/>
      </c>
      <c r="Y755" s="51" t="n">
        <f aca="false">IF(T755&lt;&gt;"",T755,INDEX('Cài đặt'!$B$20:$C$22,MATCH(I755,'Cài đặt'!$A$20:$A$22,0),IF(K755="AI tự động",1,2)))</f>
        <v>4</v>
      </c>
    </row>
    <row r="756" customFormat="false" ht="15" hidden="false" customHeight="false" outlineLevel="0" collapsed="false">
      <c r="A756" s="41" t="s">
        <v>1206</v>
      </c>
      <c r="B756" s="41" t="s">
        <v>958</v>
      </c>
      <c r="C756" s="41" t="s">
        <v>178</v>
      </c>
      <c r="D756" s="42" t="str">
        <f aca="false">INDEX('Page và Ngách'!$B$5:$B$10,MATCH(C756,'Page và Ngách'!$A$5:$A$10,0))</f>
        <v>Revenge / Betrayal ("you'll regret it")</v>
      </c>
      <c r="E756" s="41" t="n">
        <v>21</v>
      </c>
      <c r="F756" s="43" t="n">
        <f aca="false">'Cài đặt'!$B$39+E756-1</f>
        <v>46397</v>
      </c>
      <c r="G756" s="41" t="s">
        <v>451</v>
      </c>
      <c r="H756" s="44" t="str">
        <f aca="false">IF(G756="S1",'Cài đặt'!$B$7,'Cài đặt'!$B$8)</f>
        <v>20:00</v>
      </c>
      <c r="I756" s="44" t="str">
        <f aca="false">'Cài đặt'!$B$32</f>
        <v>Carousel</v>
      </c>
      <c r="J756" s="44" t="str">
        <f aca="false">'Cài đặt'!$B$33</f>
        <v>A</v>
      </c>
      <c r="K756" s="41" t="s">
        <v>445</v>
      </c>
      <c r="L756" s="42" t="str">
        <f aca="false">C756&amp;"_"&amp;B756&amp;"_"&amp;IF(I756="Reel","R",IF(I756="Carousel","C","I"))&amp;"_"&amp;J756&amp;"_"&amp;IF(K756="AI tự động","AI","HU")&amp;"_"&amp;RIGHT(A756,3)</f>
        <v>P4_EXP3_C_A_AI_042</v>
      </c>
      <c r="M756" s="45"/>
      <c r="N756" s="45"/>
      <c r="O756" s="46"/>
      <c r="P756" s="46"/>
      <c r="Q756" s="46"/>
      <c r="R756" s="47"/>
      <c r="S756" s="45"/>
      <c r="T756" s="45"/>
      <c r="U756" s="48" t="str">
        <f aca="false">IF(O756&gt;0,P756/O756,"")</f>
        <v/>
      </c>
      <c r="V756" s="49" t="str">
        <f aca="false">IF(P756&gt;0,Q756/P756,"")</f>
        <v/>
      </c>
      <c r="W756" s="50" t="n">
        <f aca="false">IF(R756&lt;&gt;"",R756,Q756*'Cài đặt'!$B$12)</f>
        <v>0</v>
      </c>
      <c r="X756" s="50" t="str">
        <f aca="false">IF(O756&gt;0,W756/O756*1000,"")</f>
        <v/>
      </c>
      <c r="Y756" s="51" t="n">
        <f aca="false">IF(T756&lt;&gt;"",T756,INDEX('Cài đặt'!$B$20:$C$22,MATCH(I756,'Cài đặt'!$A$20:$A$22,0),IF(K756="AI tự động",1,2)))</f>
        <v>4</v>
      </c>
    </row>
    <row r="757" customFormat="false" ht="15" hidden="false" customHeight="false" outlineLevel="0" collapsed="false">
      <c r="A757" s="41" t="s">
        <v>1207</v>
      </c>
      <c r="B757" s="41" t="s">
        <v>958</v>
      </c>
      <c r="C757" s="41" t="s">
        <v>185</v>
      </c>
      <c r="D757" s="42" t="str">
        <f aca="false">INDEX('Page và Ngách'!$B$5:$B$10,MATCH(C757,'Page và Ngách'!$A$5:$A$10,0))</f>
        <v>Mafia / Dark romance (teaser PG-13)</v>
      </c>
      <c r="E757" s="41" t="n">
        <v>21</v>
      </c>
      <c r="F757" s="43" t="n">
        <f aca="false">'Cài đặt'!$B$39+E757-1</f>
        <v>46397</v>
      </c>
      <c r="G757" s="41" t="s">
        <v>444</v>
      </c>
      <c r="H757" s="44" t="str">
        <f aca="false">IF(G757="S1",'Cài đặt'!$B$7,'Cài đặt'!$B$8)</f>
        <v>12:00</v>
      </c>
      <c r="I757" s="44" t="str">
        <f aca="false">'Cài đặt'!$B$32</f>
        <v>Carousel</v>
      </c>
      <c r="J757" s="44" t="str">
        <f aca="false">'Cài đặt'!$B$33</f>
        <v>A</v>
      </c>
      <c r="K757" s="41" t="s">
        <v>961</v>
      </c>
      <c r="L757" s="42" t="str">
        <f aca="false">C757&amp;"_"&amp;B757&amp;"_"&amp;IF(I757="Reel","R",IF(I757="Carousel","C","I"))&amp;"_"&amp;J757&amp;"_"&amp;IF(K757="AI tự động","AI","HU")&amp;"_"&amp;RIGHT(A757,3)</f>
        <v>P5_EXP3_C_A_HU_041</v>
      </c>
      <c r="M757" s="45"/>
      <c r="N757" s="45"/>
      <c r="O757" s="46"/>
      <c r="P757" s="46"/>
      <c r="Q757" s="46"/>
      <c r="R757" s="47"/>
      <c r="S757" s="45"/>
      <c r="T757" s="45"/>
      <c r="U757" s="48" t="str">
        <f aca="false">IF(O757&gt;0,P757/O757,"")</f>
        <v/>
      </c>
      <c r="V757" s="49" t="str">
        <f aca="false">IF(P757&gt;0,Q757/P757,"")</f>
        <v/>
      </c>
      <c r="W757" s="50" t="n">
        <f aca="false">IF(R757&lt;&gt;"",R757,Q757*'Cài đặt'!$B$12)</f>
        <v>0</v>
      </c>
      <c r="X757" s="50" t="str">
        <f aca="false">IF(O757&gt;0,W757/O757*1000,"")</f>
        <v/>
      </c>
      <c r="Y757" s="51" t="n">
        <f aca="false">IF(T757&lt;&gt;"",T757,INDEX('Cài đặt'!$B$20:$C$22,MATCH(I757,'Cài đặt'!$A$20:$A$22,0),IF(K757="AI tự động",1,2)))</f>
        <v>25</v>
      </c>
    </row>
    <row r="758" customFormat="false" ht="15" hidden="false" customHeight="false" outlineLevel="0" collapsed="false">
      <c r="A758" s="41" t="s">
        <v>1208</v>
      </c>
      <c r="B758" s="41" t="s">
        <v>958</v>
      </c>
      <c r="C758" s="41" t="s">
        <v>185</v>
      </c>
      <c r="D758" s="42" t="str">
        <f aca="false">INDEX('Page và Ngách'!$B$5:$B$10,MATCH(C758,'Page và Ngách'!$A$5:$A$10,0))</f>
        <v>Mafia / Dark romance (teaser PG-13)</v>
      </c>
      <c r="E758" s="41" t="n">
        <v>21</v>
      </c>
      <c r="F758" s="43" t="n">
        <f aca="false">'Cài đặt'!$B$39+E758-1</f>
        <v>46397</v>
      </c>
      <c r="G758" s="41" t="s">
        <v>451</v>
      </c>
      <c r="H758" s="44" t="str">
        <f aca="false">IF(G758="S1",'Cài đặt'!$B$7,'Cài đặt'!$B$8)</f>
        <v>20:00</v>
      </c>
      <c r="I758" s="44" t="str">
        <f aca="false">'Cài đặt'!$B$32</f>
        <v>Carousel</v>
      </c>
      <c r="J758" s="44" t="str">
        <f aca="false">'Cài đặt'!$B$33</f>
        <v>A</v>
      </c>
      <c r="K758" s="41" t="s">
        <v>445</v>
      </c>
      <c r="L758" s="42" t="str">
        <f aca="false">C758&amp;"_"&amp;B758&amp;"_"&amp;IF(I758="Reel","R",IF(I758="Carousel","C","I"))&amp;"_"&amp;J758&amp;"_"&amp;IF(K758="AI tự động","AI","HU")&amp;"_"&amp;RIGHT(A758,3)</f>
        <v>P5_EXP3_C_A_AI_042</v>
      </c>
      <c r="M758" s="45"/>
      <c r="N758" s="45"/>
      <c r="O758" s="46"/>
      <c r="P758" s="46"/>
      <c r="Q758" s="46"/>
      <c r="R758" s="47"/>
      <c r="S758" s="45"/>
      <c r="T758" s="45"/>
      <c r="U758" s="48" t="str">
        <f aca="false">IF(O758&gt;0,P758/O758,"")</f>
        <v/>
      </c>
      <c r="V758" s="49" t="str">
        <f aca="false">IF(P758&gt;0,Q758/P758,"")</f>
        <v/>
      </c>
      <c r="W758" s="50" t="n">
        <f aca="false">IF(R758&lt;&gt;"",R758,Q758*'Cài đặt'!$B$12)</f>
        <v>0</v>
      </c>
      <c r="X758" s="50" t="str">
        <f aca="false">IF(O758&gt;0,W758/O758*1000,"")</f>
        <v/>
      </c>
      <c r="Y758" s="51" t="n">
        <f aca="false">IF(T758&lt;&gt;"",T758,INDEX('Cài đặt'!$B$20:$C$22,MATCH(I758,'Cài đặt'!$A$20:$A$22,0),IF(K758="AI tự động",1,2)))</f>
        <v>4</v>
      </c>
    </row>
    <row r="759" customFormat="false" ht="15" hidden="false" customHeight="false" outlineLevel="0" collapsed="false">
      <c r="A759" s="41" t="s">
        <v>1209</v>
      </c>
      <c r="B759" s="41" t="s">
        <v>958</v>
      </c>
      <c r="C759" s="41" t="s">
        <v>193</v>
      </c>
      <c r="D759" s="42" t="str">
        <f aca="false">INDEX('Page và Ngách'!$B$5:$B$10,MATCH(C759,'Page và Ngách'!$A$5:$A$10,0))</f>
        <v>Second chance / Secret baby</v>
      </c>
      <c r="E759" s="41" t="n">
        <v>21</v>
      </c>
      <c r="F759" s="43" t="n">
        <f aca="false">'Cài đặt'!$B$39+E759-1</f>
        <v>46397</v>
      </c>
      <c r="G759" s="41" t="s">
        <v>444</v>
      </c>
      <c r="H759" s="44" t="str">
        <f aca="false">IF(G759="S1",'Cài đặt'!$B$7,'Cài đặt'!$B$8)</f>
        <v>12:00</v>
      </c>
      <c r="I759" s="44" t="str">
        <f aca="false">'Cài đặt'!$B$32</f>
        <v>Carousel</v>
      </c>
      <c r="J759" s="44" t="str">
        <f aca="false">'Cài đặt'!$B$33</f>
        <v>A</v>
      </c>
      <c r="K759" s="41" t="s">
        <v>445</v>
      </c>
      <c r="L759" s="42" t="str">
        <f aca="false">C759&amp;"_"&amp;B759&amp;"_"&amp;IF(I759="Reel","R",IF(I759="Carousel","C","I"))&amp;"_"&amp;J759&amp;"_"&amp;IF(K759="AI tự động","AI","HU")&amp;"_"&amp;RIGHT(A759,3)</f>
        <v>P6_EXP3_C_A_AI_041</v>
      </c>
      <c r="M759" s="45"/>
      <c r="N759" s="45"/>
      <c r="O759" s="46"/>
      <c r="P759" s="46"/>
      <c r="Q759" s="46"/>
      <c r="R759" s="47"/>
      <c r="S759" s="45"/>
      <c r="T759" s="45"/>
      <c r="U759" s="48" t="str">
        <f aca="false">IF(O759&gt;0,P759/O759,"")</f>
        <v/>
      </c>
      <c r="V759" s="49" t="str">
        <f aca="false">IF(P759&gt;0,Q759/P759,"")</f>
        <v/>
      </c>
      <c r="W759" s="50" t="n">
        <f aca="false">IF(R759&lt;&gt;"",R759,Q759*'Cài đặt'!$B$12)</f>
        <v>0</v>
      </c>
      <c r="X759" s="50" t="str">
        <f aca="false">IF(O759&gt;0,W759/O759*1000,"")</f>
        <v/>
      </c>
      <c r="Y759" s="51" t="n">
        <f aca="false">IF(T759&lt;&gt;"",T759,INDEX('Cài đặt'!$B$20:$C$22,MATCH(I759,'Cài đặt'!$A$20:$A$22,0),IF(K759="AI tự động",1,2)))</f>
        <v>4</v>
      </c>
    </row>
    <row r="760" customFormat="false" ht="15" hidden="false" customHeight="false" outlineLevel="0" collapsed="false">
      <c r="A760" s="41" t="s">
        <v>1210</v>
      </c>
      <c r="B760" s="41" t="s">
        <v>958</v>
      </c>
      <c r="C760" s="41" t="s">
        <v>193</v>
      </c>
      <c r="D760" s="42" t="str">
        <f aca="false">INDEX('Page và Ngách'!$B$5:$B$10,MATCH(C760,'Page và Ngách'!$A$5:$A$10,0))</f>
        <v>Second chance / Secret baby</v>
      </c>
      <c r="E760" s="41" t="n">
        <v>21</v>
      </c>
      <c r="F760" s="43" t="n">
        <f aca="false">'Cài đặt'!$B$39+E760-1</f>
        <v>46397</v>
      </c>
      <c r="G760" s="41" t="s">
        <v>451</v>
      </c>
      <c r="H760" s="44" t="str">
        <f aca="false">IF(G760="S1",'Cài đặt'!$B$7,'Cài đặt'!$B$8)</f>
        <v>20:00</v>
      </c>
      <c r="I760" s="44" t="str">
        <f aca="false">'Cài đặt'!$B$32</f>
        <v>Carousel</v>
      </c>
      <c r="J760" s="44" t="str">
        <f aca="false">'Cài đặt'!$B$33</f>
        <v>A</v>
      </c>
      <c r="K760" s="41" t="s">
        <v>445</v>
      </c>
      <c r="L760" s="42" t="str">
        <f aca="false">C760&amp;"_"&amp;B760&amp;"_"&amp;IF(I760="Reel","R",IF(I760="Carousel","C","I"))&amp;"_"&amp;J760&amp;"_"&amp;IF(K760="AI tự động","AI","HU")&amp;"_"&amp;RIGHT(A760,3)</f>
        <v>P6_EXP3_C_A_AI_042</v>
      </c>
      <c r="M760" s="45"/>
      <c r="N760" s="45"/>
      <c r="O760" s="46"/>
      <c r="P760" s="46"/>
      <c r="Q760" s="46"/>
      <c r="R760" s="47"/>
      <c r="S760" s="45"/>
      <c r="T760" s="45"/>
      <c r="U760" s="48" t="str">
        <f aca="false">IF(O760&gt;0,P760/O760,"")</f>
        <v/>
      </c>
      <c r="V760" s="49" t="str">
        <f aca="false">IF(P760&gt;0,Q760/P760,"")</f>
        <v/>
      </c>
      <c r="W760" s="50" t="n">
        <f aca="false">IF(R760&lt;&gt;"",R760,Q760*'Cài đặt'!$B$12)</f>
        <v>0</v>
      </c>
      <c r="X760" s="50" t="str">
        <f aca="false">IF(O760&gt;0,W760/O760*1000,"")</f>
        <v/>
      </c>
      <c r="Y760" s="51" t="n">
        <f aca="false">IF(T760&lt;&gt;"",T760,INDEX('Cài đặt'!$B$20:$C$22,MATCH(I760,'Cài đặt'!$A$20:$A$22,0),IF(K760="AI tự động",1,2)))</f>
        <v>4</v>
      </c>
    </row>
    <row r="761" customFormat="false" ht="15" hidden="false" customHeight="false" outlineLevel="0" collapsed="false">
      <c r="A761" s="41" t="s">
        <v>1211</v>
      </c>
      <c r="B761" s="41" t="s">
        <v>958</v>
      </c>
      <c r="C761" s="41" t="s">
        <v>154</v>
      </c>
      <c r="D761" s="42" t="str">
        <f aca="false">INDEX('Page và Ngách'!$B$5:$B$10,MATCH(C761,'Page và Ngách'!$A$5:$A$10,0))</f>
        <v>Werewolf / Rejected mate</v>
      </c>
      <c r="E761" s="41" t="n">
        <v>22</v>
      </c>
      <c r="F761" s="43" t="n">
        <f aca="false">'Cài đặt'!$B$39+E761-1</f>
        <v>46398</v>
      </c>
      <c r="G761" s="41" t="s">
        <v>444</v>
      </c>
      <c r="H761" s="44" t="str">
        <f aca="false">IF(G761="S1",'Cài đặt'!$B$7,'Cài đặt'!$B$8)</f>
        <v>12:00</v>
      </c>
      <c r="I761" s="44" t="str">
        <f aca="false">'Cài đặt'!$B$32</f>
        <v>Carousel</v>
      </c>
      <c r="J761" s="44" t="str">
        <f aca="false">'Cài đặt'!$B$33</f>
        <v>A</v>
      </c>
      <c r="K761" s="41" t="s">
        <v>445</v>
      </c>
      <c r="L761" s="42" t="str">
        <f aca="false">C761&amp;"_"&amp;B761&amp;"_"&amp;IF(I761="Reel","R",IF(I761="Carousel","C","I"))&amp;"_"&amp;J761&amp;"_"&amp;IF(K761="AI tự động","AI","HU")&amp;"_"&amp;RIGHT(A761,3)</f>
        <v>P1_EXP3_C_A_AI_043</v>
      </c>
      <c r="M761" s="45"/>
      <c r="N761" s="45"/>
      <c r="O761" s="46"/>
      <c r="P761" s="46"/>
      <c r="Q761" s="46"/>
      <c r="R761" s="47"/>
      <c r="S761" s="45"/>
      <c r="T761" s="45"/>
      <c r="U761" s="48" t="str">
        <f aca="false">IF(O761&gt;0,P761/O761,"")</f>
        <v/>
      </c>
      <c r="V761" s="49" t="str">
        <f aca="false">IF(P761&gt;0,Q761/P761,"")</f>
        <v/>
      </c>
      <c r="W761" s="50" t="n">
        <f aca="false">IF(R761&lt;&gt;"",R761,Q761*'Cài đặt'!$B$12)</f>
        <v>0</v>
      </c>
      <c r="X761" s="50" t="str">
        <f aca="false">IF(O761&gt;0,W761/O761*1000,"")</f>
        <v/>
      </c>
      <c r="Y761" s="51" t="n">
        <f aca="false">IF(T761&lt;&gt;"",T761,INDEX('Cài đặt'!$B$20:$C$22,MATCH(I761,'Cài đặt'!$A$20:$A$22,0),IF(K761="AI tự động",1,2)))</f>
        <v>4</v>
      </c>
    </row>
    <row r="762" customFormat="false" ht="15" hidden="false" customHeight="false" outlineLevel="0" collapsed="false">
      <c r="A762" s="41" t="s">
        <v>1212</v>
      </c>
      <c r="B762" s="41" t="s">
        <v>958</v>
      </c>
      <c r="C762" s="41" t="s">
        <v>154</v>
      </c>
      <c r="D762" s="42" t="str">
        <f aca="false">INDEX('Page và Ngách'!$B$5:$B$10,MATCH(C762,'Page và Ngách'!$A$5:$A$10,0))</f>
        <v>Werewolf / Rejected mate</v>
      </c>
      <c r="E762" s="41" t="n">
        <v>22</v>
      </c>
      <c r="F762" s="43" t="n">
        <f aca="false">'Cài đặt'!$B$39+E762-1</f>
        <v>46398</v>
      </c>
      <c r="G762" s="41" t="s">
        <v>451</v>
      </c>
      <c r="H762" s="44" t="str">
        <f aca="false">IF(G762="S1",'Cài đặt'!$B$7,'Cài đặt'!$B$8)</f>
        <v>20:00</v>
      </c>
      <c r="I762" s="44" t="str">
        <f aca="false">'Cài đặt'!$B$32</f>
        <v>Carousel</v>
      </c>
      <c r="J762" s="44" t="str">
        <f aca="false">'Cài đặt'!$B$33</f>
        <v>A</v>
      </c>
      <c r="K762" s="41" t="s">
        <v>961</v>
      </c>
      <c r="L762" s="42" t="str">
        <f aca="false">C762&amp;"_"&amp;B762&amp;"_"&amp;IF(I762="Reel","R",IF(I762="Carousel","C","I"))&amp;"_"&amp;J762&amp;"_"&amp;IF(K762="AI tự động","AI","HU")&amp;"_"&amp;RIGHT(A762,3)</f>
        <v>P1_EXP3_C_A_HU_044</v>
      </c>
      <c r="M762" s="45"/>
      <c r="N762" s="45"/>
      <c r="O762" s="46"/>
      <c r="P762" s="46"/>
      <c r="Q762" s="46"/>
      <c r="R762" s="47"/>
      <c r="S762" s="45"/>
      <c r="T762" s="45"/>
      <c r="U762" s="48" t="str">
        <f aca="false">IF(O762&gt;0,P762/O762,"")</f>
        <v/>
      </c>
      <c r="V762" s="49" t="str">
        <f aca="false">IF(P762&gt;0,Q762/P762,"")</f>
        <v/>
      </c>
      <c r="W762" s="50" t="n">
        <f aca="false">IF(R762&lt;&gt;"",R762,Q762*'Cài đặt'!$B$12)</f>
        <v>0</v>
      </c>
      <c r="X762" s="50" t="str">
        <f aca="false">IF(O762&gt;0,W762/O762*1000,"")</f>
        <v/>
      </c>
      <c r="Y762" s="51" t="n">
        <f aca="false">IF(T762&lt;&gt;"",T762,INDEX('Cài đặt'!$B$20:$C$22,MATCH(I762,'Cài đặt'!$A$20:$A$22,0),IF(K762="AI tự động",1,2)))</f>
        <v>25</v>
      </c>
    </row>
    <row r="763" customFormat="false" ht="15" hidden="false" customHeight="false" outlineLevel="0" collapsed="false">
      <c r="A763" s="41" t="s">
        <v>1213</v>
      </c>
      <c r="B763" s="41" t="s">
        <v>958</v>
      </c>
      <c r="C763" s="41" t="s">
        <v>163</v>
      </c>
      <c r="D763" s="42" t="str">
        <f aca="false">INDEX('Page và Ngách'!$B$5:$B$10,MATCH(C763,'Page và Ngách'!$A$5:$A$10,0))</f>
        <v>Secret billionaire / CEO</v>
      </c>
      <c r="E763" s="41" t="n">
        <v>22</v>
      </c>
      <c r="F763" s="43" t="n">
        <f aca="false">'Cài đặt'!$B$39+E763-1</f>
        <v>46398</v>
      </c>
      <c r="G763" s="41" t="s">
        <v>444</v>
      </c>
      <c r="H763" s="44" t="str">
        <f aca="false">IF(G763="S1",'Cài đặt'!$B$7,'Cài đặt'!$B$8)</f>
        <v>12:00</v>
      </c>
      <c r="I763" s="44" t="str">
        <f aca="false">'Cài đặt'!$B$32</f>
        <v>Carousel</v>
      </c>
      <c r="J763" s="44" t="str">
        <f aca="false">'Cài đặt'!$B$33</f>
        <v>A</v>
      </c>
      <c r="K763" s="41" t="s">
        <v>445</v>
      </c>
      <c r="L763" s="42" t="str">
        <f aca="false">C763&amp;"_"&amp;B763&amp;"_"&amp;IF(I763="Reel","R",IF(I763="Carousel","C","I"))&amp;"_"&amp;J763&amp;"_"&amp;IF(K763="AI tự động","AI","HU")&amp;"_"&amp;RIGHT(A763,3)</f>
        <v>P2_EXP3_C_A_AI_043</v>
      </c>
      <c r="M763" s="45"/>
      <c r="N763" s="45"/>
      <c r="O763" s="46"/>
      <c r="P763" s="46"/>
      <c r="Q763" s="46"/>
      <c r="R763" s="47"/>
      <c r="S763" s="45"/>
      <c r="T763" s="45"/>
      <c r="U763" s="48" t="str">
        <f aca="false">IF(O763&gt;0,P763/O763,"")</f>
        <v/>
      </c>
      <c r="V763" s="49" t="str">
        <f aca="false">IF(P763&gt;0,Q763/P763,"")</f>
        <v/>
      </c>
      <c r="W763" s="50" t="n">
        <f aca="false">IF(R763&lt;&gt;"",R763,Q763*'Cài đặt'!$B$12)</f>
        <v>0</v>
      </c>
      <c r="X763" s="50" t="str">
        <f aca="false">IF(O763&gt;0,W763/O763*1000,"")</f>
        <v/>
      </c>
      <c r="Y763" s="51" t="n">
        <f aca="false">IF(T763&lt;&gt;"",T763,INDEX('Cài đặt'!$B$20:$C$22,MATCH(I763,'Cài đặt'!$A$20:$A$22,0),IF(K763="AI tự động",1,2)))</f>
        <v>4</v>
      </c>
    </row>
    <row r="764" customFormat="false" ht="15" hidden="false" customHeight="false" outlineLevel="0" collapsed="false">
      <c r="A764" s="41" t="s">
        <v>1214</v>
      </c>
      <c r="B764" s="41" t="s">
        <v>958</v>
      </c>
      <c r="C764" s="41" t="s">
        <v>163</v>
      </c>
      <c r="D764" s="42" t="str">
        <f aca="false">INDEX('Page và Ngách'!$B$5:$B$10,MATCH(C764,'Page và Ngách'!$A$5:$A$10,0))</f>
        <v>Secret billionaire / CEO</v>
      </c>
      <c r="E764" s="41" t="n">
        <v>22</v>
      </c>
      <c r="F764" s="43" t="n">
        <f aca="false">'Cài đặt'!$B$39+E764-1</f>
        <v>46398</v>
      </c>
      <c r="G764" s="41" t="s">
        <v>451</v>
      </c>
      <c r="H764" s="44" t="str">
        <f aca="false">IF(G764="S1",'Cài đặt'!$B$7,'Cài đặt'!$B$8)</f>
        <v>20:00</v>
      </c>
      <c r="I764" s="44" t="str">
        <f aca="false">'Cài đặt'!$B$32</f>
        <v>Carousel</v>
      </c>
      <c r="J764" s="44" t="str">
        <f aca="false">'Cài đặt'!$B$33</f>
        <v>A</v>
      </c>
      <c r="K764" s="41" t="s">
        <v>445</v>
      </c>
      <c r="L764" s="42" t="str">
        <f aca="false">C764&amp;"_"&amp;B764&amp;"_"&amp;IF(I764="Reel","R",IF(I764="Carousel","C","I"))&amp;"_"&amp;J764&amp;"_"&amp;IF(K764="AI tự động","AI","HU")&amp;"_"&amp;RIGHT(A764,3)</f>
        <v>P2_EXP3_C_A_AI_044</v>
      </c>
      <c r="M764" s="45"/>
      <c r="N764" s="45"/>
      <c r="O764" s="46"/>
      <c r="P764" s="46"/>
      <c r="Q764" s="46"/>
      <c r="R764" s="47"/>
      <c r="S764" s="45"/>
      <c r="T764" s="45"/>
      <c r="U764" s="48" t="str">
        <f aca="false">IF(O764&gt;0,P764/O764,"")</f>
        <v/>
      </c>
      <c r="V764" s="49" t="str">
        <f aca="false">IF(P764&gt;0,Q764/P764,"")</f>
        <v/>
      </c>
      <c r="W764" s="50" t="n">
        <f aca="false">IF(R764&lt;&gt;"",R764,Q764*'Cài đặt'!$B$12)</f>
        <v>0</v>
      </c>
      <c r="X764" s="50" t="str">
        <f aca="false">IF(O764&gt;0,W764/O764*1000,"")</f>
        <v/>
      </c>
      <c r="Y764" s="51" t="n">
        <f aca="false">IF(T764&lt;&gt;"",T764,INDEX('Cài đặt'!$B$20:$C$22,MATCH(I764,'Cài đặt'!$A$20:$A$22,0),IF(K764="AI tự động",1,2)))</f>
        <v>4</v>
      </c>
    </row>
    <row r="765" customFormat="false" ht="15" hidden="false" customHeight="false" outlineLevel="0" collapsed="false">
      <c r="A765" s="41" t="s">
        <v>1215</v>
      </c>
      <c r="B765" s="41" t="s">
        <v>958</v>
      </c>
      <c r="C765" s="41" t="s">
        <v>171</v>
      </c>
      <c r="D765" s="42" t="str">
        <f aca="false">INDEX('Page và Ngách'!$B$5:$B$10,MATCH(C765,'Page và Ngách'!$A$5:$A$10,0))</f>
        <v>Contract marriage / Fake relationship</v>
      </c>
      <c r="E765" s="41" t="n">
        <v>22</v>
      </c>
      <c r="F765" s="43" t="n">
        <f aca="false">'Cài đặt'!$B$39+E765-1</f>
        <v>46398</v>
      </c>
      <c r="G765" s="41" t="s">
        <v>444</v>
      </c>
      <c r="H765" s="44" t="str">
        <f aca="false">IF(G765="S1",'Cài đặt'!$B$7,'Cài đặt'!$B$8)</f>
        <v>12:00</v>
      </c>
      <c r="I765" s="44" t="str">
        <f aca="false">'Cài đặt'!$B$32</f>
        <v>Carousel</v>
      </c>
      <c r="J765" s="44" t="str">
        <f aca="false">'Cài đặt'!$B$33</f>
        <v>A</v>
      </c>
      <c r="K765" s="41" t="s">
        <v>445</v>
      </c>
      <c r="L765" s="42" t="str">
        <f aca="false">C765&amp;"_"&amp;B765&amp;"_"&amp;IF(I765="Reel","R",IF(I765="Carousel","C","I"))&amp;"_"&amp;J765&amp;"_"&amp;IF(K765="AI tự động","AI","HU")&amp;"_"&amp;RIGHT(A765,3)</f>
        <v>P3_EXP3_C_A_AI_043</v>
      </c>
      <c r="M765" s="45"/>
      <c r="N765" s="45"/>
      <c r="O765" s="46"/>
      <c r="P765" s="46"/>
      <c r="Q765" s="46"/>
      <c r="R765" s="47"/>
      <c r="S765" s="45"/>
      <c r="T765" s="45"/>
      <c r="U765" s="48" t="str">
        <f aca="false">IF(O765&gt;0,P765/O765,"")</f>
        <v/>
      </c>
      <c r="V765" s="49" t="str">
        <f aca="false">IF(P765&gt;0,Q765/P765,"")</f>
        <v/>
      </c>
      <c r="W765" s="50" t="n">
        <f aca="false">IF(R765&lt;&gt;"",R765,Q765*'Cài đặt'!$B$12)</f>
        <v>0</v>
      </c>
      <c r="X765" s="50" t="str">
        <f aca="false">IF(O765&gt;0,W765/O765*1000,"")</f>
        <v/>
      </c>
      <c r="Y765" s="51" t="n">
        <f aca="false">IF(T765&lt;&gt;"",T765,INDEX('Cài đặt'!$B$20:$C$22,MATCH(I765,'Cài đặt'!$A$20:$A$22,0),IF(K765="AI tự động",1,2)))</f>
        <v>4</v>
      </c>
    </row>
    <row r="766" customFormat="false" ht="15" hidden="false" customHeight="false" outlineLevel="0" collapsed="false">
      <c r="A766" s="41" t="s">
        <v>1216</v>
      </c>
      <c r="B766" s="41" t="s">
        <v>958</v>
      </c>
      <c r="C766" s="41" t="s">
        <v>171</v>
      </c>
      <c r="D766" s="42" t="str">
        <f aca="false">INDEX('Page và Ngách'!$B$5:$B$10,MATCH(C766,'Page và Ngách'!$A$5:$A$10,0))</f>
        <v>Contract marriage / Fake relationship</v>
      </c>
      <c r="E766" s="41" t="n">
        <v>22</v>
      </c>
      <c r="F766" s="43" t="n">
        <f aca="false">'Cài đặt'!$B$39+E766-1</f>
        <v>46398</v>
      </c>
      <c r="G766" s="41" t="s">
        <v>451</v>
      </c>
      <c r="H766" s="44" t="str">
        <f aca="false">IF(G766="S1",'Cài đặt'!$B$7,'Cài đặt'!$B$8)</f>
        <v>20:00</v>
      </c>
      <c r="I766" s="44" t="str">
        <f aca="false">'Cài đặt'!$B$32</f>
        <v>Carousel</v>
      </c>
      <c r="J766" s="44" t="str">
        <f aca="false">'Cài đặt'!$B$33</f>
        <v>A</v>
      </c>
      <c r="K766" s="41" t="s">
        <v>445</v>
      </c>
      <c r="L766" s="42" t="str">
        <f aca="false">C766&amp;"_"&amp;B766&amp;"_"&amp;IF(I766="Reel","R",IF(I766="Carousel","C","I"))&amp;"_"&amp;J766&amp;"_"&amp;IF(K766="AI tự động","AI","HU")&amp;"_"&amp;RIGHT(A766,3)</f>
        <v>P3_EXP3_C_A_AI_044</v>
      </c>
      <c r="M766" s="45"/>
      <c r="N766" s="45"/>
      <c r="O766" s="46"/>
      <c r="P766" s="46"/>
      <c r="Q766" s="46"/>
      <c r="R766" s="47"/>
      <c r="S766" s="45"/>
      <c r="T766" s="45"/>
      <c r="U766" s="48" t="str">
        <f aca="false">IF(O766&gt;0,P766/O766,"")</f>
        <v/>
      </c>
      <c r="V766" s="49" t="str">
        <f aca="false">IF(P766&gt;0,Q766/P766,"")</f>
        <v/>
      </c>
      <c r="W766" s="50" t="n">
        <f aca="false">IF(R766&lt;&gt;"",R766,Q766*'Cài đặt'!$B$12)</f>
        <v>0</v>
      </c>
      <c r="X766" s="50" t="str">
        <f aca="false">IF(O766&gt;0,W766/O766*1000,"")</f>
        <v/>
      </c>
      <c r="Y766" s="51" t="n">
        <f aca="false">IF(T766&lt;&gt;"",T766,INDEX('Cài đặt'!$B$20:$C$22,MATCH(I766,'Cài đặt'!$A$20:$A$22,0),IF(K766="AI tự động",1,2)))</f>
        <v>4</v>
      </c>
    </row>
    <row r="767" customFormat="false" ht="15" hidden="false" customHeight="false" outlineLevel="0" collapsed="false">
      <c r="A767" s="41" t="s">
        <v>1217</v>
      </c>
      <c r="B767" s="41" t="s">
        <v>958</v>
      </c>
      <c r="C767" s="41" t="s">
        <v>178</v>
      </c>
      <c r="D767" s="42" t="str">
        <f aca="false">INDEX('Page và Ngách'!$B$5:$B$10,MATCH(C767,'Page và Ngách'!$A$5:$A$10,0))</f>
        <v>Revenge / Betrayal ("you'll regret it")</v>
      </c>
      <c r="E767" s="41" t="n">
        <v>22</v>
      </c>
      <c r="F767" s="43" t="n">
        <f aca="false">'Cài đặt'!$B$39+E767-1</f>
        <v>46398</v>
      </c>
      <c r="G767" s="41" t="s">
        <v>444</v>
      </c>
      <c r="H767" s="44" t="str">
        <f aca="false">IF(G767="S1",'Cài đặt'!$B$7,'Cài đặt'!$B$8)</f>
        <v>12:00</v>
      </c>
      <c r="I767" s="44" t="str">
        <f aca="false">'Cài đặt'!$B$32</f>
        <v>Carousel</v>
      </c>
      <c r="J767" s="44" t="str">
        <f aca="false">'Cài đặt'!$B$33</f>
        <v>A</v>
      </c>
      <c r="K767" s="41" t="s">
        <v>961</v>
      </c>
      <c r="L767" s="42" t="str">
        <f aca="false">C767&amp;"_"&amp;B767&amp;"_"&amp;IF(I767="Reel","R",IF(I767="Carousel","C","I"))&amp;"_"&amp;J767&amp;"_"&amp;IF(K767="AI tự động","AI","HU")&amp;"_"&amp;RIGHT(A767,3)</f>
        <v>P4_EXP3_C_A_HU_043</v>
      </c>
      <c r="M767" s="45"/>
      <c r="N767" s="45"/>
      <c r="O767" s="46"/>
      <c r="P767" s="46"/>
      <c r="Q767" s="46"/>
      <c r="R767" s="47"/>
      <c r="S767" s="45"/>
      <c r="T767" s="45"/>
      <c r="U767" s="48" t="str">
        <f aca="false">IF(O767&gt;0,P767/O767,"")</f>
        <v/>
      </c>
      <c r="V767" s="49" t="str">
        <f aca="false">IF(P767&gt;0,Q767/P767,"")</f>
        <v/>
      </c>
      <c r="W767" s="50" t="n">
        <f aca="false">IF(R767&lt;&gt;"",R767,Q767*'Cài đặt'!$B$12)</f>
        <v>0</v>
      </c>
      <c r="X767" s="50" t="str">
        <f aca="false">IF(O767&gt;0,W767/O767*1000,"")</f>
        <v/>
      </c>
      <c r="Y767" s="51" t="n">
        <f aca="false">IF(T767&lt;&gt;"",T767,INDEX('Cài đặt'!$B$20:$C$22,MATCH(I767,'Cài đặt'!$A$20:$A$22,0),IF(K767="AI tự động",1,2)))</f>
        <v>25</v>
      </c>
    </row>
    <row r="768" customFormat="false" ht="15" hidden="false" customHeight="false" outlineLevel="0" collapsed="false">
      <c r="A768" s="41" t="s">
        <v>1218</v>
      </c>
      <c r="B768" s="41" t="s">
        <v>958</v>
      </c>
      <c r="C768" s="41" t="s">
        <v>178</v>
      </c>
      <c r="D768" s="42" t="str">
        <f aca="false">INDEX('Page và Ngách'!$B$5:$B$10,MATCH(C768,'Page và Ngách'!$A$5:$A$10,0))</f>
        <v>Revenge / Betrayal ("you'll regret it")</v>
      </c>
      <c r="E768" s="41" t="n">
        <v>22</v>
      </c>
      <c r="F768" s="43" t="n">
        <f aca="false">'Cài đặt'!$B$39+E768-1</f>
        <v>46398</v>
      </c>
      <c r="G768" s="41" t="s">
        <v>451</v>
      </c>
      <c r="H768" s="44" t="str">
        <f aca="false">IF(G768="S1",'Cài đặt'!$B$7,'Cài đặt'!$B$8)</f>
        <v>20:00</v>
      </c>
      <c r="I768" s="44" t="str">
        <f aca="false">'Cài đặt'!$B$32</f>
        <v>Carousel</v>
      </c>
      <c r="J768" s="44" t="str">
        <f aca="false">'Cài đặt'!$B$33</f>
        <v>A</v>
      </c>
      <c r="K768" s="41" t="s">
        <v>445</v>
      </c>
      <c r="L768" s="42" t="str">
        <f aca="false">C768&amp;"_"&amp;B768&amp;"_"&amp;IF(I768="Reel","R",IF(I768="Carousel","C","I"))&amp;"_"&amp;J768&amp;"_"&amp;IF(K768="AI tự động","AI","HU")&amp;"_"&amp;RIGHT(A768,3)</f>
        <v>P4_EXP3_C_A_AI_044</v>
      </c>
      <c r="M768" s="45"/>
      <c r="N768" s="45"/>
      <c r="O768" s="46"/>
      <c r="P768" s="46"/>
      <c r="Q768" s="46"/>
      <c r="R768" s="47"/>
      <c r="S768" s="45"/>
      <c r="T768" s="45"/>
      <c r="U768" s="48" t="str">
        <f aca="false">IF(O768&gt;0,P768/O768,"")</f>
        <v/>
      </c>
      <c r="V768" s="49" t="str">
        <f aca="false">IF(P768&gt;0,Q768/P768,"")</f>
        <v/>
      </c>
      <c r="W768" s="50" t="n">
        <f aca="false">IF(R768&lt;&gt;"",R768,Q768*'Cài đặt'!$B$12)</f>
        <v>0</v>
      </c>
      <c r="X768" s="50" t="str">
        <f aca="false">IF(O768&gt;0,W768/O768*1000,"")</f>
        <v/>
      </c>
      <c r="Y768" s="51" t="n">
        <f aca="false">IF(T768&lt;&gt;"",T768,INDEX('Cài đặt'!$B$20:$C$22,MATCH(I768,'Cài đặt'!$A$20:$A$22,0),IF(K768="AI tự động",1,2)))</f>
        <v>4</v>
      </c>
    </row>
    <row r="769" customFormat="false" ht="15" hidden="false" customHeight="false" outlineLevel="0" collapsed="false">
      <c r="A769" s="41" t="s">
        <v>1219</v>
      </c>
      <c r="B769" s="41" t="s">
        <v>958</v>
      </c>
      <c r="C769" s="41" t="s">
        <v>185</v>
      </c>
      <c r="D769" s="42" t="str">
        <f aca="false">INDEX('Page và Ngách'!$B$5:$B$10,MATCH(C769,'Page và Ngách'!$A$5:$A$10,0))</f>
        <v>Mafia / Dark romance (teaser PG-13)</v>
      </c>
      <c r="E769" s="41" t="n">
        <v>22</v>
      </c>
      <c r="F769" s="43" t="n">
        <f aca="false">'Cài đặt'!$B$39+E769-1</f>
        <v>46398</v>
      </c>
      <c r="G769" s="41" t="s">
        <v>444</v>
      </c>
      <c r="H769" s="44" t="str">
        <f aca="false">IF(G769="S1",'Cài đặt'!$B$7,'Cài đặt'!$B$8)</f>
        <v>12:00</v>
      </c>
      <c r="I769" s="44" t="str">
        <f aca="false">'Cài đặt'!$B$32</f>
        <v>Carousel</v>
      </c>
      <c r="J769" s="44" t="str">
        <f aca="false">'Cài đặt'!$B$33</f>
        <v>A</v>
      </c>
      <c r="K769" s="41" t="s">
        <v>445</v>
      </c>
      <c r="L769" s="42" t="str">
        <f aca="false">C769&amp;"_"&amp;B769&amp;"_"&amp;IF(I769="Reel","R",IF(I769="Carousel","C","I"))&amp;"_"&amp;J769&amp;"_"&amp;IF(K769="AI tự động","AI","HU")&amp;"_"&amp;RIGHT(A769,3)</f>
        <v>P5_EXP3_C_A_AI_043</v>
      </c>
      <c r="M769" s="45"/>
      <c r="N769" s="45"/>
      <c r="O769" s="46"/>
      <c r="P769" s="46"/>
      <c r="Q769" s="46"/>
      <c r="R769" s="47"/>
      <c r="S769" s="45"/>
      <c r="T769" s="45"/>
      <c r="U769" s="48" t="str">
        <f aca="false">IF(O769&gt;0,P769/O769,"")</f>
        <v/>
      </c>
      <c r="V769" s="49" t="str">
        <f aca="false">IF(P769&gt;0,Q769/P769,"")</f>
        <v/>
      </c>
      <c r="W769" s="50" t="n">
        <f aca="false">IF(R769&lt;&gt;"",R769,Q769*'Cài đặt'!$B$12)</f>
        <v>0</v>
      </c>
      <c r="X769" s="50" t="str">
        <f aca="false">IF(O769&gt;0,W769/O769*1000,"")</f>
        <v/>
      </c>
      <c r="Y769" s="51" t="n">
        <f aca="false">IF(T769&lt;&gt;"",T769,INDEX('Cài đặt'!$B$20:$C$22,MATCH(I769,'Cài đặt'!$A$20:$A$22,0),IF(K769="AI tự động",1,2)))</f>
        <v>4</v>
      </c>
    </row>
    <row r="770" customFormat="false" ht="15" hidden="false" customHeight="false" outlineLevel="0" collapsed="false">
      <c r="A770" s="41" t="s">
        <v>1220</v>
      </c>
      <c r="B770" s="41" t="s">
        <v>958</v>
      </c>
      <c r="C770" s="41" t="s">
        <v>185</v>
      </c>
      <c r="D770" s="42" t="str">
        <f aca="false">INDEX('Page và Ngách'!$B$5:$B$10,MATCH(C770,'Page và Ngách'!$A$5:$A$10,0))</f>
        <v>Mafia / Dark romance (teaser PG-13)</v>
      </c>
      <c r="E770" s="41" t="n">
        <v>22</v>
      </c>
      <c r="F770" s="43" t="n">
        <f aca="false">'Cài đặt'!$B$39+E770-1</f>
        <v>46398</v>
      </c>
      <c r="G770" s="41" t="s">
        <v>451</v>
      </c>
      <c r="H770" s="44" t="str">
        <f aca="false">IF(G770="S1",'Cài đặt'!$B$7,'Cài đặt'!$B$8)</f>
        <v>20:00</v>
      </c>
      <c r="I770" s="44" t="str">
        <f aca="false">'Cài đặt'!$B$32</f>
        <v>Carousel</v>
      </c>
      <c r="J770" s="44" t="str">
        <f aca="false">'Cài đặt'!$B$33</f>
        <v>A</v>
      </c>
      <c r="K770" s="41" t="s">
        <v>445</v>
      </c>
      <c r="L770" s="42" t="str">
        <f aca="false">C770&amp;"_"&amp;B770&amp;"_"&amp;IF(I770="Reel","R",IF(I770="Carousel","C","I"))&amp;"_"&amp;J770&amp;"_"&amp;IF(K770="AI tự động","AI","HU")&amp;"_"&amp;RIGHT(A770,3)</f>
        <v>P5_EXP3_C_A_AI_044</v>
      </c>
      <c r="M770" s="45"/>
      <c r="N770" s="45"/>
      <c r="O770" s="46"/>
      <c r="P770" s="46"/>
      <c r="Q770" s="46"/>
      <c r="R770" s="47"/>
      <c r="S770" s="45"/>
      <c r="T770" s="45"/>
      <c r="U770" s="48" t="str">
        <f aca="false">IF(O770&gt;0,P770/O770,"")</f>
        <v/>
      </c>
      <c r="V770" s="49" t="str">
        <f aca="false">IF(P770&gt;0,Q770/P770,"")</f>
        <v/>
      </c>
      <c r="W770" s="50" t="n">
        <f aca="false">IF(R770&lt;&gt;"",R770,Q770*'Cài đặt'!$B$12)</f>
        <v>0</v>
      </c>
      <c r="X770" s="50" t="str">
        <f aca="false">IF(O770&gt;0,W770/O770*1000,"")</f>
        <v/>
      </c>
      <c r="Y770" s="51" t="n">
        <f aca="false">IF(T770&lt;&gt;"",T770,INDEX('Cài đặt'!$B$20:$C$22,MATCH(I770,'Cài đặt'!$A$20:$A$22,0),IF(K770="AI tự động",1,2)))</f>
        <v>4</v>
      </c>
    </row>
    <row r="771" customFormat="false" ht="15" hidden="false" customHeight="false" outlineLevel="0" collapsed="false">
      <c r="A771" s="41" t="s">
        <v>1221</v>
      </c>
      <c r="B771" s="41" t="s">
        <v>958</v>
      </c>
      <c r="C771" s="41" t="s">
        <v>193</v>
      </c>
      <c r="D771" s="42" t="str">
        <f aca="false">INDEX('Page và Ngách'!$B$5:$B$10,MATCH(C771,'Page và Ngách'!$A$5:$A$10,0))</f>
        <v>Second chance / Secret baby</v>
      </c>
      <c r="E771" s="41" t="n">
        <v>22</v>
      </c>
      <c r="F771" s="43" t="n">
        <f aca="false">'Cài đặt'!$B$39+E771-1</f>
        <v>46398</v>
      </c>
      <c r="G771" s="41" t="s">
        <v>444</v>
      </c>
      <c r="H771" s="44" t="str">
        <f aca="false">IF(G771="S1",'Cài đặt'!$B$7,'Cài đặt'!$B$8)</f>
        <v>12:00</v>
      </c>
      <c r="I771" s="44" t="str">
        <f aca="false">'Cài đặt'!$B$32</f>
        <v>Carousel</v>
      </c>
      <c r="J771" s="44" t="str">
        <f aca="false">'Cài đặt'!$B$33</f>
        <v>A</v>
      </c>
      <c r="K771" s="41" t="s">
        <v>445</v>
      </c>
      <c r="L771" s="42" t="str">
        <f aca="false">C771&amp;"_"&amp;B771&amp;"_"&amp;IF(I771="Reel","R",IF(I771="Carousel","C","I"))&amp;"_"&amp;J771&amp;"_"&amp;IF(K771="AI tự động","AI","HU")&amp;"_"&amp;RIGHT(A771,3)</f>
        <v>P6_EXP3_C_A_AI_043</v>
      </c>
      <c r="M771" s="45"/>
      <c r="N771" s="45"/>
      <c r="O771" s="46"/>
      <c r="P771" s="46"/>
      <c r="Q771" s="46"/>
      <c r="R771" s="47"/>
      <c r="S771" s="45"/>
      <c r="T771" s="45"/>
      <c r="U771" s="48" t="str">
        <f aca="false">IF(O771&gt;0,P771/O771,"")</f>
        <v/>
      </c>
      <c r="V771" s="49" t="str">
        <f aca="false">IF(P771&gt;0,Q771/P771,"")</f>
        <v/>
      </c>
      <c r="W771" s="50" t="n">
        <f aca="false">IF(R771&lt;&gt;"",R771,Q771*'Cài đặt'!$B$12)</f>
        <v>0</v>
      </c>
      <c r="X771" s="50" t="str">
        <f aca="false">IF(O771&gt;0,W771/O771*1000,"")</f>
        <v/>
      </c>
      <c r="Y771" s="51" t="n">
        <f aca="false">IF(T771&lt;&gt;"",T771,INDEX('Cài đặt'!$B$20:$C$22,MATCH(I771,'Cài đặt'!$A$20:$A$22,0),IF(K771="AI tự động",1,2)))</f>
        <v>4</v>
      </c>
    </row>
    <row r="772" customFormat="false" ht="15" hidden="false" customHeight="false" outlineLevel="0" collapsed="false">
      <c r="A772" s="41" t="s">
        <v>1222</v>
      </c>
      <c r="B772" s="41" t="s">
        <v>958</v>
      </c>
      <c r="C772" s="41" t="s">
        <v>193</v>
      </c>
      <c r="D772" s="42" t="str">
        <f aca="false">INDEX('Page và Ngách'!$B$5:$B$10,MATCH(C772,'Page và Ngách'!$A$5:$A$10,0))</f>
        <v>Second chance / Secret baby</v>
      </c>
      <c r="E772" s="41" t="n">
        <v>22</v>
      </c>
      <c r="F772" s="43" t="n">
        <f aca="false">'Cài đặt'!$B$39+E772-1</f>
        <v>46398</v>
      </c>
      <c r="G772" s="41" t="s">
        <v>451</v>
      </c>
      <c r="H772" s="44" t="str">
        <f aca="false">IF(G772="S1",'Cài đặt'!$B$7,'Cài đặt'!$B$8)</f>
        <v>20:00</v>
      </c>
      <c r="I772" s="44" t="str">
        <f aca="false">'Cài đặt'!$B$32</f>
        <v>Carousel</v>
      </c>
      <c r="J772" s="44" t="str">
        <f aca="false">'Cài đặt'!$B$33</f>
        <v>A</v>
      </c>
      <c r="K772" s="41" t="s">
        <v>961</v>
      </c>
      <c r="L772" s="42" t="str">
        <f aca="false">C772&amp;"_"&amp;B772&amp;"_"&amp;IF(I772="Reel","R",IF(I772="Carousel","C","I"))&amp;"_"&amp;J772&amp;"_"&amp;IF(K772="AI tự động","AI","HU")&amp;"_"&amp;RIGHT(A772,3)</f>
        <v>P6_EXP3_C_A_HU_044</v>
      </c>
      <c r="M772" s="45"/>
      <c r="N772" s="45"/>
      <c r="O772" s="46"/>
      <c r="P772" s="46"/>
      <c r="Q772" s="46"/>
      <c r="R772" s="47"/>
      <c r="S772" s="45"/>
      <c r="T772" s="45"/>
      <c r="U772" s="48" t="str">
        <f aca="false">IF(O772&gt;0,P772/O772,"")</f>
        <v/>
      </c>
      <c r="V772" s="49" t="str">
        <f aca="false">IF(P772&gt;0,Q772/P772,"")</f>
        <v/>
      </c>
      <c r="W772" s="50" t="n">
        <f aca="false">IF(R772&lt;&gt;"",R772,Q772*'Cài đặt'!$B$12)</f>
        <v>0</v>
      </c>
      <c r="X772" s="50" t="str">
        <f aca="false">IF(O772&gt;0,W772/O772*1000,"")</f>
        <v/>
      </c>
      <c r="Y772" s="51" t="n">
        <f aca="false">IF(T772&lt;&gt;"",T772,INDEX('Cài đặt'!$B$20:$C$22,MATCH(I772,'Cài đặt'!$A$20:$A$22,0),IF(K772="AI tự động",1,2)))</f>
        <v>25</v>
      </c>
    </row>
    <row r="773" customFormat="false" ht="15" hidden="false" customHeight="false" outlineLevel="0" collapsed="false">
      <c r="A773" s="41" t="s">
        <v>1223</v>
      </c>
      <c r="B773" s="41" t="s">
        <v>958</v>
      </c>
      <c r="C773" s="41" t="s">
        <v>154</v>
      </c>
      <c r="D773" s="42" t="str">
        <f aca="false">INDEX('Page và Ngách'!$B$5:$B$10,MATCH(C773,'Page và Ngách'!$A$5:$A$10,0))</f>
        <v>Werewolf / Rejected mate</v>
      </c>
      <c r="E773" s="41" t="n">
        <v>23</v>
      </c>
      <c r="F773" s="43" t="n">
        <f aca="false">'Cài đặt'!$B$39+E773-1</f>
        <v>46399</v>
      </c>
      <c r="G773" s="41" t="s">
        <v>444</v>
      </c>
      <c r="H773" s="44" t="str">
        <f aca="false">IF(G773="S1",'Cài đặt'!$B$7,'Cài đặt'!$B$8)</f>
        <v>12:00</v>
      </c>
      <c r="I773" s="44" t="str">
        <f aca="false">'Cài đặt'!$B$32</f>
        <v>Carousel</v>
      </c>
      <c r="J773" s="44" t="str">
        <f aca="false">'Cài đặt'!$B$33</f>
        <v>A</v>
      </c>
      <c r="K773" s="41" t="s">
        <v>445</v>
      </c>
      <c r="L773" s="42" t="str">
        <f aca="false">C773&amp;"_"&amp;B773&amp;"_"&amp;IF(I773="Reel","R",IF(I773="Carousel","C","I"))&amp;"_"&amp;J773&amp;"_"&amp;IF(K773="AI tự động","AI","HU")&amp;"_"&amp;RIGHT(A773,3)</f>
        <v>P1_EXP3_C_A_AI_045</v>
      </c>
      <c r="M773" s="45"/>
      <c r="N773" s="45"/>
      <c r="O773" s="46"/>
      <c r="P773" s="46"/>
      <c r="Q773" s="46"/>
      <c r="R773" s="47"/>
      <c r="S773" s="45"/>
      <c r="T773" s="45"/>
      <c r="U773" s="48" t="str">
        <f aca="false">IF(O773&gt;0,P773/O773,"")</f>
        <v/>
      </c>
      <c r="V773" s="49" t="str">
        <f aca="false">IF(P773&gt;0,Q773/P773,"")</f>
        <v/>
      </c>
      <c r="W773" s="50" t="n">
        <f aca="false">IF(R773&lt;&gt;"",R773,Q773*'Cài đặt'!$B$12)</f>
        <v>0</v>
      </c>
      <c r="X773" s="50" t="str">
        <f aca="false">IF(O773&gt;0,W773/O773*1000,"")</f>
        <v/>
      </c>
      <c r="Y773" s="51" t="n">
        <f aca="false">IF(T773&lt;&gt;"",T773,INDEX('Cài đặt'!$B$20:$C$22,MATCH(I773,'Cài đặt'!$A$20:$A$22,0),IF(K773="AI tự động",1,2)))</f>
        <v>4</v>
      </c>
    </row>
    <row r="774" customFormat="false" ht="15" hidden="false" customHeight="false" outlineLevel="0" collapsed="false">
      <c r="A774" s="41" t="s">
        <v>1224</v>
      </c>
      <c r="B774" s="41" t="s">
        <v>958</v>
      </c>
      <c r="C774" s="41" t="s">
        <v>154</v>
      </c>
      <c r="D774" s="42" t="str">
        <f aca="false">INDEX('Page và Ngách'!$B$5:$B$10,MATCH(C774,'Page và Ngách'!$A$5:$A$10,0))</f>
        <v>Werewolf / Rejected mate</v>
      </c>
      <c r="E774" s="41" t="n">
        <v>23</v>
      </c>
      <c r="F774" s="43" t="n">
        <f aca="false">'Cài đặt'!$B$39+E774-1</f>
        <v>46399</v>
      </c>
      <c r="G774" s="41" t="s">
        <v>451</v>
      </c>
      <c r="H774" s="44" t="str">
        <f aca="false">IF(G774="S1",'Cài đặt'!$B$7,'Cài đặt'!$B$8)</f>
        <v>20:00</v>
      </c>
      <c r="I774" s="44" t="str">
        <f aca="false">'Cài đặt'!$B$32</f>
        <v>Carousel</v>
      </c>
      <c r="J774" s="44" t="str">
        <f aca="false">'Cài đặt'!$B$33</f>
        <v>A</v>
      </c>
      <c r="K774" s="41" t="s">
        <v>445</v>
      </c>
      <c r="L774" s="42" t="str">
        <f aca="false">C774&amp;"_"&amp;B774&amp;"_"&amp;IF(I774="Reel","R",IF(I774="Carousel","C","I"))&amp;"_"&amp;J774&amp;"_"&amp;IF(K774="AI tự động","AI","HU")&amp;"_"&amp;RIGHT(A774,3)</f>
        <v>P1_EXP3_C_A_AI_046</v>
      </c>
      <c r="M774" s="45"/>
      <c r="N774" s="45"/>
      <c r="O774" s="46"/>
      <c r="P774" s="46"/>
      <c r="Q774" s="46"/>
      <c r="R774" s="47"/>
      <c r="S774" s="45"/>
      <c r="T774" s="45"/>
      <c r="U774" s="48" t="str">
        <f aca="false">IF(O774&gt;0,P774/O774,"")</f>
        <v/>
      </c>
      <c r="V774" s="49" t="str">
        <f aca="false">IF(P774&gt;0,Q774/P774,"")</f>
        <v/>
      </c>
      <c r="W774" s="50" t="n">
        <f aca="false">IF(R774&lt;&gt;"",R774,Q774*'Cài đặt'!$B$12)</f>
        <v>0</v>
      </c>
      <c r="X774" s="50" t="str">
        <f aca="false">IF(O774&gt;0,W774/O774*1000,"")</f>
        <v/>
      </c>
      <c r="Y774" s="51" t="n">
        <f aca="false">IF(T774&lt;&gt;"",T774,INDEX('Cài đặt'!$B$20:$C$22,MATCH(I774,'Cài đặt'!$A$20:$A$22,0),IF(K774="AI tự động",1,2)))</f>
        <v>4</v>
      </c>
    </row>
    <row r="775" customFormat="false" ht="15" hidden="false" customHeight="false" outlineLevel="0" collapsed="false">
      <c r="A775" s="41" t="s">
        <v>1225</v>
      </c>
      <c r="B775" s="41" t="s">
        <v>958</v>
      </c>
      <c r="C775" s="41" t="s">
        <v>163</v>
      </c>
      <c r="D775" s="42" t="str">
        <f aca="false">INDEX('Page và Ngách'!$B$5:$B$10,MATCH(C775,'Page và Ngách'!$A$5:$A$10,0))</f>
        <v>Secret billionaire / CEO</v>
      </c>
      <c r="E775" s="41" t="n">
        <v>23</v>
      </c>
      <c r="F775" s="43" t="n">
        <f aca="false">'Cài đặt'!$B$39+E775-1</f>
        <v>46399</v>
      </c>
      <c r="G775" s="41" t="s">
        <v>444</v>
      </c>
      <c r="H775" s="44" t="str">
        <f aca="false">IF(G775="S1",'Cài đặt'!$B$7,'Cài đặt'!$B$8)</f>
        <v>12:00</v>
      </c>
      <c r="I775" s="44" t="str">
        <f aca="false">'Cài đặt'!$B$32</f>
        <v>Carousel</v>
      </c>
      <c r="J775" s="44" t="str">
        <f aca="false">'Cài đặt'!$B$33</f>
        <v>A</v>
      </c>
      <c r="K775" s="41" t="s">
        <v>445</v>
      </c>
      <c r="L775" s="42" t="str">
        <f aca="false">C775&amp;"_"&amp;B775&amp;"_"&amp;IF(I775="Reel","R",IF(I775="Carousel","C","I"))&amp;"_"&amp;J775&amp;"_"&amp;IF(K775="AI tự động","AI","HU")&amp;"_"&amp;RIGHT(A775,3)</f>
        <v>P2_EXP3_C_A_AI_045</v>
      </c>
      <c r="M775" s="45"/>
      <c r="N775" s="45"/>
      <c r="O775" s="46"/>
      <c r="P775" s="46"/>
      <c r="Q775" s="46"/>
      <c r="R775" s="47"/>
      <c r="S775" s="45"/>
      <c r="T775" s="45"/>
      <c r="U775" s="48" t="str">
        <f aca="false">IF(O775&gt;0,P775/O775,"")</f>
        <v/>
      </c>
      <c r="V775" s="49" t="str">
        <f aca="false">IF(P775&gt;0,Q775/P775,"")</f>
        <v/>
      </c>
      <c r="W775" s="50" t="n">
        <f aca="false">IF(R775&lt;&gt;"",R775,Q775*'Cài đặt'!$B$12)</f>
        <v>0</v>
      </c>
      <c r="X775" s="50" t="str">
        <f aca="false">IF(O775&gt;0,W775/O775*1000,"")</f>
        <v/>
      </c>
      <c r="Y775" s="51" t="n">
        <f aca="false">IF(T775&lt;&gt;"",T775,INDEX('Cài đặt'!$B$20:$C$22,MATCH(I775,'Cài đặt'!$A$20:$A$22,0),IF(K775="AI tự động",1,2)))</f>
        <v>4</v>
      </c>
    </row>
    <row r="776" customFormat="false" ht="15" hidden="false" customHeight="false" outlineLevel="0" collapsed="false">
      <c r="A776" s="41" t="s">
        <v>1226</v>
      </c>
      <c r="B776" s="41" t="s">
        <v>958</v>
      </c>
      <c r="C776" s="41" t="s">
        <v>163</v>
      </c>
      <c r="D776" s="42" t="str">
        <f aca="false">INDEX('Page và Ngách'!$B$5:$B$10,MATCH(C776,'Page và Ngách'!$A$5:$A$10,0))</f>
        <v>Secret billionaire / CEO</v>
      </c>
      <c r="E776" s="41" t="n">
        <v>23</v>
      </c>
      <c r="F776" s="43" t="n">
        <f aca="false">'Cài đặt'!$B$39+E776-1</f>
        <v>46399</v>
      </c>
      <c r="G776" s="41" t="s">
        <v>451</v>
      </c>
      <c r="H776" s="44" t="str">
        <f aca="false">IF(G776="S1",'Cài đặt'!$B$7,'Cài đặt'!$B$8)</f>
        <v>20:00</v>
      </c>
      <c r="I776" s="44" t="str">
        <f aca="false">'Cài đặt'!$B$32</f>
        <v>Carousel</v>
      </c>
      <c r="J776" s="44" t="str">
        <f aca="false">'Cài đặt'!$B$33</f>
        <v>A</v>
      </c>
      <c r="K776" s="41" t="s">
        <v>445</v>
      </c>
      <c r="L776" s="42" t="str">
        <f aca="false">C776&amp;"_"&amp;B776&amp;"_"&amp;IF(I776="Reel","R",IF(I776="Carousel","C","I"))&amp;"_"&amp;J776&amp;"_"&amp;IF(K776="AI tự động","AI","HU")&amp;"_"&amp;RIGHT(A776,3)</f>
        <v>P2_EXP3_C_A_AI_046</v>
      </c>
      <c r="M776" s="45"/>
      <c r="N776" s="45"/>
      <c r="O776" s="46"/>
      <c r="P776" s="46"/>
      <c r="Q776" s="46"/>
      <c r="R776" s="47"/>
      <c r="S776" s="45"/>
      <c r="T776" s="45"/>
      <c r="U776" s="48" t="str">
        <f aca="false">IF(O776&gt;0,P776/O776,"")</f>
        <v/>
      </c>
      <c r="V776" s="49" t="str">
        <f aca="false">IF(P776&gt;0,Q776/P776,"")</f>
        <v/>
      </c>
      <c r="W776" s="50" t="n">
        <f aca="false">IF(R776&lt;&gt;"",R776,Q776*'Cài đặt'!$B$12)</f>
        <v>0</v>
      </c>
      <c r="X776" s="50" t="str">
        <f aca="false">IF(O776&gt;0,W776/O776*1000,"")</f>
        <v/>
      </c>
      <c r="Y776" s="51" t="n">
        <f aca="false">IF(T776&lt;&gt;"",T776,INDEX('Cài đặt'!$B$20:$C$22,MATCH(I776,'Cài đặt'!$A$20:$A$22,0),IF(K776="AI tự động",1,2)))</f>
        <v>4</v>
      </c>
    </row>
    <row r="777" customFormat="false" ht="15" hidden="false" customHeight="false" outlineLevel="0" collapsed="false">
      <c r="A777" s="41" t="s">
        <v>1227</v>
      </c>
      <c r="B777" s="41" t="s">
        <v>958</v>
      </c>
      <c r="C777" s="41" t="s">
        <v>171</v>
      </c>
      <c r="D777" s="42" t="str">
        <f aca="false">INDEX('Page và Ngách'!$B$5:$B$10,MATCH(C777,'Page và Ngách'!$A$5:$A$10,0))</f>
        <v>Contract marriage / Fake relationship</v>
      </c>
      <c r="E777" s="41" t="n">
        <v>23</v>
      </c>
      <c r="F777" s="43" t="n">
        <f aca="false">'Cài đặt'!$B$39+E777-1</f>
        <v>46399</v>
      </c>
      <c r="G777" s="41" t="s">
        <v>444</v>
      </c>
      <c r="H777" s="44" t="str">
        <f aca="false">IF(G777="S1",'Cài đặt'!$B$7,'Cài đặt'!$B$8)</f>
        <v>12:00</v>
      </c>
      <c r="I777" s="44" t="str">
        <f aca="false">'Cài đặt'!$B$32</f>
        <v>Carousel</v>
      </c>
      <c r="J777" s="44" t="str">
        <f aca="false">'Cài đặt'!$B$33</f>
        <v>A</v>
      </c>
      <c r="K777" s="41" t="s">
        <v>961</v>
      </c>
      <c r="L777" s="42" t="str">
        <f aca="false">C777&amp;"_"&amp;B777&amp;"_"&amp;IF(I777="Reel","R",IF(I777="Carousel","C","I"))&amp;"_"&amp;J777&amp;"_"&amp;IF(K777="AI tự động","AI","HU")&amp;"_"&amp;RIGHT(A777,3)</f>
        <v>P3_EXP3_C_A_HU_045</v>
      </c>
      <c r="M777" s="45"/>
      <c r="N777" s="45"/>
      <c r="O777" s="46"/>
      <c r="P777" s="46"/>
      <c r="Q777" s="46"/>
      <c r="R777" s="47"/>
      <c r="S777" s="45"/>
      <c r="T777" s="45"/>
      <c r="U777" s="48" t="str">
        <f aca="false">IF(O777&gt;0,P777/O777,"")</f>
        <v/>
      </c>
      <c r="V777" s="49" t="str">
        <f aca="false">IF(P777&gt;0,Q777/P777,"")</f>
        <v/>
      </c>
      <c r="W777" s="50" t="n">
        <f aca="false">IF(R777&lt;&gt;"",R777,Q777*'Cài đặt'!$B$12)</f>
        <v>0</v>
      </c>
      <c r="X777" s="50" t="str">
        <f aca="false">IF(O777&gt;0,W777/O777*1000,"")</f>
        <v/>
      </c>
      <c r="Y777" s="51" t="n">
        <f aca="false">IF(T777&lt;&gt;"",T777,INDEX('Cài đặt'!$B$20:$C$22,MATCH(I777,'Cài đặt'!$A$20:$A$22,0),IF(K777="AI tự động",1,2)))</f>
        <v>25</v>
      </c>
    </row>
    <row r="778" customFormat="false" ht="15" hidden="false" customHeight="false" outlineLevel="0" collapsed="false">
      <c r="A778" s="41" t="s">
        <v>1228</v>
      </c>
      <c r="B778" s="41" t="s">
        <v>958</v>
      </c>
      <c r="C778" s="41" t="s">
        <v>171</v>
      </c>
      <c r="D778" s="42" t="str">
        <f aca="false">INDEX('Page và Ngách'!$B$5:$B$10,MATCH(C778,'Page và Ngách'!$A$5:$A$10,0))</f>
        <v>Contract marriage / Fake relationship</v>
      </c>
      <c r="E778" s="41" t="n">
        <v>23</v>
      </c>
      <c r="F778" s="43" t="n">
        <f aca="false">'Cài đặt'!$B$39+E778-1</f>
        <v>46399</v>
      </c>
      <c r="G778" s="41" t="s">
        <v>451</v>
      </c>
      <c r="H778" s="44" t="str">
        <f aca="false">IF(G778="S1",'Cài đặt'!$B$7,'Cài đặt'!$B$8)</f>
        <v>20:00</v>
      </c>
      <c r="I778" s="44" t="str">
        <f aca="false">'Cài đặt'!$B$32</f>
        <v>Carousel</v>
      </c>
      <c r="J778" s="44" t="str">
        <f aca="false">'Cài đặt'!$B$33</f>
        <v>A</v>
      </c>
      <c r="K778" s="41" t="s">
        <v>445</v>
      </c>
      <c r="L778" s="42" t="str">
        <f aca="false">C778&amp;"_"&amp;B778&amp;"_"&amp;IF(I778="Reel","R",IF(I778="Carousel","C","I"))&amp;"_"&amp;J778&amp;"_"&amp;IF(K778="AI tự động","AI","HU")&amp;"_"&amp;RIGHT(A778,3)</f>
        <v>P3_EXP3_C_A_AI_046</v>
      </c>
      <c r="M778" s="45"/>
      <c r="N778" s="45"/>
      <c r="O778" s="46"/>
      <c r="P778" s="46"/>
      <c r="Q778" s="46"/>
      <c r="R778" s="47"/>
      <c r="S778" s="45"/>
      <c r="T778" s="45"/>
      <c r="U778" s="48" t="str">
        <f aca="false">IF(O778&gt;0,P778/O778,"")</f>
        <v/>
      </c>
      <c r="V778" s="49" t="str">
        <f aca="false">IF(P778&gt;0,Q778/P778,"")</f>
        <v/>
      </c>
      <c r="W778" s="50" t="n">
        <f aca="false">IF(R778&lt;&gt;"",R778,Q778*'Cài đặt'!$B$12)</f>
        <v>0</v>
      </c>
      <c r="X778" s="50" t="str">
        <f aca="false">IF(O778&gt;0,W778/O778*1000,"")</f>
        <v/>
      </c>
      <c r="Y778" s="51" t="n">
        <f aca="false">IF(T778&lt;&gt;"",T778,INDEX('Cài đặt'!$B$20:$C$22,MATCH(I778,'Cài đặt'!$A$20:$A$22,0),IF(K778="AI tự động",1,2)))</f>
        <v>4</v>
      </c>
    </row>
    <row r="779" customFormat="false" ht="15" hidden="false" customHeight="false" outlineLevel="0" collapsed="false">
      <c r="A779" s="41" t="s">
        <v>1229</v>
      </c>
      <c r="B779" s="41" t="s">
        <v>958</v>
      </c>
      <c r="C779" s="41" t="s">
        <v>178</v>
      </c>
      <c r="D779" s="42" t="str">
        <f aca="false">INDEX('Page và Ngách'!$B$5:$B$10,MATCH(C779,'Page và Ngách'!$A$5:$A$10,0))</f>
        <v>Revenge / Betrayal ("you'll regret it")</v>
      </c>
      <c r="E779" s="41" t="n">
        <v>23</v>
      </c>
      <c r="F779" s="43" t="n">
        <f aca="false">'Cài đặt'!$B$39+E779-1</f>
        <v>46399</v>
      </c>
      <c r="G779" s="41" t="s">
        <v>444</v>
      </c>
      <c r="H779" s="44" t="str">
        <f aca="false">IF(G779="S1",'Cài đặt'!$B$7,'Cài đặt'!$B$8)</f>
        <v>12:00</v>
      </c>
      <c r="I779" s="44" t="str">
        <f aca="false">'Cài đặt'!$B$32</f>
        <v>Carousel</v>
      </c>
      <c r="J779" s="44" t="str">
        <f aca="false">'Cài đặt'!$B$33</f>
        <v>A</v>
      </c>
      <c r="K779" s="41" t="s">
        <v>445</v>
      </c>
      <c r="L779" s="42" t="str">
        <f aca="false">C779&amp;"_"&amp;B779&amp;"_"&amp;IF(I779="Reel","R",IF(I779="Carousel","C","I"))&amp;"_"&amp;J779&amp;"_"&amp;IF(K779="AI tự động","AI","HU")&amp;"_"&amp;RIGHT(A779,3)</f>
        <v>P4_EXP3_C_A_AI_045</v>
      </c>
      <c r="M779" s="45"/>
      <c r="N779" s="45"/>
      <c r="O779" s="46"/>
      <c r="P779" s="46"/>
      <c r="Q779" s="46"/>
      <c r="R779" s="47"/>
      <c r="S779" s="45"/>
      <c r="T779" s="45"/>
      <c r="U779" s="48" t="str">
        <f aca="false">IF(O779&gt;0,P779/O779,"")</f>
        <v/>
      </c>
      <c r="V779" s="49" t="str">
        <f aca="false">IF(P779&gt;0,Q779/P779,"")</f>
        <v/>
      </c>
      <c r="W779" s="50" t="n">
        <f aca="false">IF(R779&lt;&gt;"",R779,Q779*'Cài đặt'!$B$12)</f>
        <v>0</v>
      </c>
      <c r="X779" s="50" t="str">
        <f aca="false">IF(O779&gt;0,W779/O779*1000,"")</f>
        <v/>
      </c>
      <c r="Y779" s="51" t="n">
        <f aca="false">IF(T779&lt;&gt;"",T779,INDEX('Cài đặt'!$B$20:$C$22,MATCH(I779,'Cài đặt'!$A$20:$A$22,0),IF(K779="AI tự động",1,2)))</f>
        <v>4</v>
      </c>
    </row>
    <row r="780" customFormat="false" ht="15" hidden="false" customHeight="false" outlineLevel="0" collapsed="false">
      <c r="A780" s="41" t="s">
        <v>1230</v>
      </c>
      <c r="B780" s="41" t="s">
        <v>958</v>
      </c>
      <c r="C780" s="41" t="s">
        <v>178</v>
      </c>
      <c r="D780" s="42" t="str">
        <f aca="false">INDEX('Page và Ngách'!$B$5:$B$10,MATCH(C780,'Page và Ngách'!$A$5:$A$10,0))</f>
        <v>Revenge / Betrayal ("you'll regret it")</v>
      </c>
      <c r="E780" s="41" t="n">
        <v>23</v>
      </c>
      <c r="F780" s="43" t="n">
        <f aca="false">'Cài đặt'!$B$39+E780-1</f>
        <v>46399</v>
      </c>
      <c r="G780" s="41" t="s">
        <v>451</v>
      </c>
      <c r="H780" s="44" t="str">
        <f aca="false">IF(G780="S1",'Cài đặt'!$B$7,'Cài đặt'!$B$8)</f>
        <v>20:00</v>
      </c>
      <c r="I780" s="44" t="str">
        <f aca="false">'Cài đặt'!$B$32</f>
        <v>Carousel</v>
      </c>
      <c r="J780" s="44" t="str">
        <f aca="false">'Cài đặt'!$B$33</f>
        <v>A</v>
      </c>
      <c r="K780" s="41" t="s">
        <v>445</v>
      </c>
      <c r="L780" s="42" t="str">
        <f aca="false">C780&amp;"_"&amp;B780&amp;"_"&amp;IF(I780="Reel","R",IF(I780="Carousel","C","I"))&amp;"_"&amp;J780&amp;"_"&amp;IF(K780="AI tự động","AI","HU")&amp;"_"&amp;RIGHT(A780,3)</f>
        <v>P4_EXP3_C_A_AI_046</v>
      </c>
      <c r="M780" s="45"/>
      <c r="N780" s="45"/>
      <c r="O780" s="46"/>
      <c r="P780" s="46"/>
      <c r="Q780" s="46"/>
      <c r="R780" s="47"/>
      <c r="S780" s="45"/>
      <c r="T780" s="45"/>
      <c r="U780" s="48" t="str">
        <f aca="false">IF(O780&gt;0,P780/O780,"")</f>
        <v/>
      </c>
      <c r="V780" s="49" t="str">
        <f aca="false">IF(P780&gt;0,Q780/P780,"")</f>
        <v/>
      </c>
      <c r="W780" s="50" t="n">
        <f aca="false">IF(R780&lt;&gt;"",R780,Q780*'Cài đặt'!$B$12)</f>
        <v>0</v>
      </c>
      <c r="X780" s="50" t="str">
        <f aca="false">IF(O780&gt;0,W780/O780*1000,"")</f>
        <v/>
      </c>
      <c r="Y780" s="51" t="n">
        <f aca="false">IF(T780&lt;&gt;"",T780,INDEX('Cài đặt'!$B$20:$C$22,MATCH(I780,'Cài đặt'!$A$20:$A$22,0),IF(K780="AI tự động",1,2)))</f>
        <v>4</v>
      </c>
    </row>
    <row r="781" customFormat="false" ht="15" hidden="false" customHeight="false" outlineLevel="0" collapsed="false">
      <c r="A781" s="41" t="s">
        <v>1231</v>
      </c>
      <c r="B781" s="41" t="s">
        <v>958</v>
      </c>
      <c r="C781" s="41" t="s">
        <v>185</v>
      </c>
      <c r="D781" s="42" t="str">
        <f aca="false">INDEX('Page và Ngách'!$B$5:$B$10,MATCH(C781,'Page và Ngách'!$A$5:$A$10,0))</f>
        <v>Mafia / Dark romance (teaser PG-13)</v>
      </c>
      <c r="E781" s="41" t="n">
        <v>23</v>
      </c>
      <c r="F781" s="43" t="n">
        <f aca="false">'Cài đặt'!$B$39+E781-1</f>
        <v>46399</v>
      </c>
      <c r="G781" s="41" t="s">
        <v>444</v>
      </c>
      <c r="H781" s="44" t="str">
        <f aca="false">IF(G781="S1",'Cài đặt'!$B$7,'Cài đặt'!$B$8)</f>
        <v>12:00</v>
      </c>
      <c r="I781" s="44" t="str">
        <f aca="false">'Cài đặt'!$B$32</f>
        <v>Carousel</v>
      </c>
      <c r="J781" s="44" t="str">
        <f aca="false">'Cài đặt'!$B$33</f>
        <v>A</v>
      </c>
      <c r="K781" s="41" t="s">
        <v>445</v>
      </c>
      <c r="L781" s="42" t="str">
        <f aca="false">C781&amp;"_"&amp;B781&amp;"_"&amp;IF(I781="Reel","R",IF(I781="Carousel","C","I"))&amp;"_"&amp;J781&amp;"_"&amp;IF(K781="AI tự động","AI","HU")&amp;"_"&amp;RIGHT(A781,3)</f>
        <v>P5_EXP3_C_A_AI_045</v>
      </c>
      <c r="M781" s="45"/>
      <c r="N781" s="45"/>
      <c r="O781" s="46"/>
      <c r="P781" s="46"/>
      <c r="Q781" s="46"/>
      <c r="R781" s="47"/>
      <c r="S781" s="45"/>
      <c r="T781" s="45"/>
      <c r="U781" s="48" t="str">
        <f aca="false">IF(O781&gt;0,P781/O781,"")</f>
        <v/>
      </c>
      <c r="V781" s="49" t="str">
        <f aca="false">IF(P781&gt;0,Q781/P781,"")</f>
        <v/>
      </c>
      <c r="W781" s="50" t="n">
        <f aca="false">IF(R781&lt;&gt;"",R781,Q781*'Cài đặt'!$B$12)</f>
        <v>0</v>
      </c>
      <c r="X781" s="50" t="str">
        <f aca="false">IF(O781&gt;0,W781/O781*1000,"")</f>
        <v/>
      </c>
      <c r="Y781" s="51" t="n">
        <f aca="false">IF(T781&lt;&gt;"",T781,INDEX('Cài đặt'!$B$20:$C$22,MATCH(I781,'Cài đặt'!$A$20:$A$22,0),IF(K781="AI tự động",1,2)))</f>
        <v>4</v>
      </c>
    </row>
    <row r="782" customFormat="false" ht="15" hidden="false" customHeight="false" outlineLevel="0" collapsed="false">
      <c r="A782" s="41" t="s">
        <v>1232</v>
      </c>
      <c r="B782" s="41" t="s">
        <v>958</v>
      </c>
      <c r="C782" s="41" t="s">
        <v>185</v>
      </c>
      <c r="D782" s="42" t="str">
        <f aca="false">INDEX('Page và Ngách'!$B$5:$B$10,MATCH(C782,'Page và Ngách'!$A$5:$A$10,0))</f>
        <v>Mafia / Dark romance (teaser PG-13)</v>
      </c>
      <c r="E782" s="41" t="n">
        <v>23</v>
      </c>
      <c r="F782" s="43" t="n">
        <f aca="false">'Cài đặt'!$B$39+E782-1</f>
        <v>46399</v>
      </c>
      <c r="G782" s="41" t="s">
        <v>451</v>
      </c>
      <c r="H782" s="44" t="str">
        <f aca="false">IF(G782="S1",'Cài đặt'!$B$7,'Cài đặt'!$B$8)</f>
        <v>20:00</v>
      </c>
      <c r="I782" s="44" t="str">
        <f aca="false">'Cài đặt'!$B$32</f>
        <v>Carousel</v>
      </c>
      <c r="J782" s="44" t="str">
        <f aca="false">'Cài đặt'!$B$33</f>
        <v>A</v>
      </c>
      <c r="K782" s="41" t="s">
        <v>961</v>
      </c>
      <c r="L782" s="42" t="str">
        <f aca="false">C782&amp;"_"&amp;B782&amp;"_"&amp;IF(I782="Reel","R",IF(I782="Carousel","C","I"))&amp;"_"&amp;J782&amp;"_"&amp;IF(K782="AI tự động","AI","HU")&amp;"_"&amp;RIGHT(A782,3)</f>
        <v>P5_EXP3_C_A_HU_046</v>
      </c>
      <c r="M782" s="45"/>
      <c r="N782" s="45"/>
      <c r="O782" s="46"/>
      <c r="P782" s="46"/>
      <c r="Q782" s="46"/>
      <c r="R782" s="47"/>
      <c r="S782" s="45"/>
      <c r="T782" s="45"/>
      <c r="U782" s="48" t="str">
        <f aca="false">IF(O782&gt;0,P782/O782,"")</f>
        <v/>
      </c>
      <c r="V782" s="49" t="str">
        <f aca="false">IF(P782&gt;0,Q782/P782,"")</f>
        <v/>
      </c>
      <c r="W782" s="50" t="n">
        <f aca="false">IF(R782&lt;&gt;"",R782,Q782*'Cài đặt'!$B$12)</f>
        <v>0</v>
      </c>
      <c r="X782" s="50" t="str">
        <f aca="false">IF(O782&gt;0,W782/O782*1000,"")</f>
        <v/>
      </c>
      <c r="Y782" s="51" t="n">
        <f aca="false">IF(T782&lt;&gt;"",T782,INDEX('Cài đặt'!$B$20:$C$22,MATCH(I782,'Cài đặt'!$A$20:$A$22,0),IF(K782="AI tự động",1,2)))</f>
        <v>25</v>
      </c>
    </row>
    <row r="783" customFormat="false" ht="15" hidden="false" customHeight="false" outlineLevel="0" collapsed="false">
      <c r="A783" s="41" t="s">
        <v>1233</v>
      </c>
      <c r="B783" s="41" t="s">
        <v>958</v>
      </c>
      <c r="C783" s="41" t="s">
        <v>193</v>
      </c>
      <c r="D783" s="42" t="str">
        <f aca="false">INDEX('Page và Ngách'!$B$5:$B$10,MATCH(C783,'Page và Ngách'!$A$5:$A$10,0))</f>
        <v>Second chance / Secret baby</v>
      </c>
      <c r="E783" s="41" t="n">
        <v>23</v>
      </c>
      <c r="F783" s="43" t="n">
        <f aca="false">'Cài đặt'!$B$39+E783-1</f>
        <v>46399</v>
      </c>
      <c r="G783" s="41" t="s">
        <v>444</v>
      </c>
      <c r="H783" s="44" t="str">
        <f aca="false">IF(G783="S1",'Cài đặt'!$B$7,'Cài đặt'!$B$8)</f>
        <v>12:00</v>
      </c>
      <c r="I783" s="44" t="str">
        <f aca="false">'Cài đặt'!$B$32</f>
        <v>Carousel</v>
      </c>
      <c r="J783" s="44" t="str">
        <f aca="false">'Cài đặt'!$B$33</f>
        <v>A</v>
      </c>
      <c r="K783" s="41" t="s">
        <v>445</v>
      </c>
      <c r="L783" s="42" t="str">
        <f aca="false">C783&amp;"_"&amp;B783&amp;"_"&amp;IF(I783="Reel","R",IF(I783="Carousel","C","I"))&amp;"_"&amp;J783&amp;"_"&amp;IF(K783="AI tự động","AI","HU")&amp;"_"&amp;RIGHT(A783,3)</f>
        <v>P6_EXP3_C_A_AI_045</v>
      </c>
      <c r="M783" s="45"/>
      <c r="N783" s="45"/>
      <c r="O783" s="46"/>
      <c r="P783" s="46"/>
      <c r="Q783" s="46"/>
      <c r="R783" s="47"/>
      <c r="S783" s="45"/>
      <c r="T783" s="45"/>
      <c r="U783" s="48" t="str">
        <f aca="false">IF(O783&gt;0,P783/O783,"")</f>
        <v/>
      </c>
      <c r="V783" s="49" t="str">
        <f aca="false">IF(P783&gt;0,Q783/P783,"")</f>
        <v/>
      </c>
      <c r="W783" s="50" t="n">
        <f aca="false">IF(R783&lt;&gt;"",R783,Q783*'Cài đặt'!$B$12)</f>
        <v>0</v>
      </c>
      <c r="X783" s="50" t="str">
        <f aca="false">IF(O783&gt;0,W783/O783*1000,"")</f>
        <v/>
      </c>
      <c r="Y783" s="51" t="n">
        <f aca="false">IF(T783&lt;&gt;"",T783,INDEX('Cài đặt'!$B$20:$C$22,MATCH(I783,'Cài đặt'!$A$20:$A$22,0),IF(K783="AI tự động",1,2)))</f>
        <v>4</v>
      </c>
    </row>
    <row r="784" customFormat="false" ht="15" hidden="false" customHeight="false" outlineLevel="0" collapsed="false">
      <c r="A784" s="41" t="s">
        <v>1234</v>
      </c>
      <c r="B784" s="41" t="s">
        <v>958</v>
      </c>
      <c r="C784" s="41" t="s">
        <v>193</v>
      </c>
      <c r="D784" s="42" t="str">
        <f aca="false">INDEX('Page và Ngách'!$B$5:$B$10,MATCH(C784,'Page và Ngách'!$A$5:$A$10,0))</f>
        <v>Second chance / Secret baby</v>
      </c>
      <c r="E784" s="41" t="n">
        <v>23</v>
      </c>
      <c r="F784" s="43" t="n">
        <f aca="false">'Cài đặt'!$B$39+E784-1</f>
        <v>46399</v>
      </c>
      <c r="G784" s="41" t="s">
        <v>451</v>
      </c>
      <c r="H784" s="44" t="str">
        <f aca="false">IF(G784="S1",'Cài đặt'!$B$7,'Cài đặt'!$B$8)</f>
        <v>20:00</v>
      </c>
      <c r="I784" s="44" t="str">
        <f aca="false">'Cài đặt'!$B$32</f>
        <v>Carousel</v>
      </c>
      <c r="J784" s="44" t="str">
        <f aca="false">'Cài đặt'!$B$33</f>
        <v>A</v>
      </c>
      <c r="K784" s="41" t="s">
        <v>445</v>
      </c>
      <c r="L784" s="42" t="str">
        <f aca="false">C784&amp;"_"&amp;B784&amp;"_"&amp;IF(I784="Reel","R",IF(I784="Carousel","C","I"))&amp;"_"&amp;J784&amp;"_"&amp;IF(K784="AI tự động","AI","HU")&amp;"_"&amp;RIGHT(A784,3)</f>
        <v>P6_EXP3_C_A_AI_046</v>
      </c>
      <c r="M784" s="45"/>
      <c r="N784" s="45"/>
      <c r="O784" s="46"/>
      <c r="P784" s="46"/>
      <c r="Q784" s="46"/>
      <c r="R784" s="47"/>
      <c r="S784" s="45"/>
      <c r="T784" s="45"/>
      <c r="U784" s="48" t="str">
        <f aca="false">IF(O784&gt;0,P784/O784,"")</f>
        <v/>
      </c>
      <c r="V784" s="49" t="str">
        <f aca="false">IF(P784&gt;0,Q784/P784,"")</f>
        <v/>
      </c>
      <c r="W784" s="50" t="n">
        <f aca="false">IF(R784&lt;&gt;"",R784,Q784*'Cài đặt'!$B$12)</f>
        <v>0</v>
      </c>
      <c r="X784" s="50" t="str">
        <f aca="false">IF(O784&gt;0,W784/O784*1000,"")</f>
        <v/>
      </c>
      <c r="Y784" s="51" t="n">
        <f aca="false">IF(T784&lt;&gt;"",T784,INDEX('Cài đặt'!$B$20:$C$22,MATCH(I784,'Cài đặt'!$A$20:$A$22,0),IF(K784="AI tự động",1,2)))</f>
        <v>4</v>
      </c>
    </row>
    <row r="785" customFormat="false" ht="15" hidden="false" customHeight="false" outlineLevel="0" collapsed="false">
      <c r="A785" s="41" t="s">
        <v>1235</v>
      </c>
      <c r="B785" s="41" t="s">
        <v>958</v>
      </c>
      <c r="C785" s="41" t="s">
        <v>154</v>
      </c>
      <c r="D785" s="42" t="str">
        <f aca="false">INDEX('Page và Ngách'!$B$5:$B$10,MATCH(C785,'Page và Ngách'!$A$5:$A$10,0))</f>
        <v>Werewolf / Rejected mate</v>
      </c>
      <c r="E785" s="41" t="n">
        <v>24</v>
      </c>
      <c r="F785" s="43" t="n">
        <f aca="false">'Cài đặt'!$B$39+E785-1</f>
        <v>46400</v>
      </c>
      <c r="G785" s="41" t="s">
        <v>444</v>
      </c>
      <c r="H785" s="44" t="str">
        <f aca="false">IF(G785="S1",'Cài đặt'!$B$7,'Cài đặt'!$B$8)</f>
        <v>12:00</v>
      </c>
      <c r="I785" s="44" t="str">
        <f aca="false">'Cài đặt'!$B$32</f>
        <v>Carousel</v>
      </c>
      <c r="J785" s="44" t="str">
        <f aca="false">'Cài đặt'!$B$33</f>
        <v>A</v>
      </c>
      <c r="K785" s="41" t="s">
        <v>445</v>
      </c>
      <c r="L785" s="42" t="str">
        <f aca="false">C785&amp;"_"&amp;B785&amp;"_"&amp;IF(I785="Reel","R",IF(I785="Carousel","C","I"))&amp;"_"&amp;J785&amp;"_"&amp;IF(K785="AI tự động","AI","HU")&amp;"_"&amp;RIGHT(A785,3)</f>
        <v>P1_EXP3_C_A_AI_047</v>
      </c>
      <c r="M785" s="45"/>
      <c r="N785" s="45"/>
      <c r="O785" s="46"/>
      <c r="P785" s="46"/>
      <c r="Q785" s="46"/>
      <c r="R785" s="47"/>
      <c r="S785" s="45"/>
      <c r="T785" s="45"/>
      <c r="U785" s="48" t="str">
        <f aca="false">IF(O785&gt;0,P785/O785,"")</f>
        <v/>
      </c>
      <c r="V785" s="49" t="str">
        <f aca="false">IF(P785&gt;0,Q785/P785,"")</f>
        <v/>
      </c>
      <c r="W785" s="50" t="n">
        <f aca="false">IF(R785&lt;&gt;"",R785,Q785*'Cài đặt'!$B$12)</f>
        <v>0</v>
      </c>
      <c r="X785" s="50" t="str">
        <f aca="false">IF(O785&gt;0,W785/O785*1000,"")</f>
        <v/>
      </c>
      <c r="Y785" s="51" t="n">
        <f aca="false">IF(T785&lt;&gt;"",T785,INDEX('Cài đặt'!$B$20:$C$22,MATCH(I785,'Cài đặt'!$A$20:$A$22,0),IF(K785="AI tự động",1,2)))</f>
        <v>4</v>
      </c>
    </row>
    <row r="786" customFormat="false" ht="15" hidden="false" customHeight="false" outlineLevel="0" collapsed="false">
      <c r="A786" s="41" t="s">
        <v>1236</v>
      </c>
      <c r="B786" s="41" t="s">
        <v>958</v>
      </c>
      <c r="C786" s="41" t="s">
        <v>154</v>
      </c>
      <c r="D786" s="42" t="str">
        <f aca="false">INDEX('Page và Ngách'!$B$5:$B$10,MATCH(C786,'Page và Ngách'!$A$5:$A$10,0))</f>
        <v>Werewolf / Rejected mate</v>
      </c>
      <c r="E786" s="41" t="n">
        <v>24</v>
      </c>
      <c r="F786" s="43" t="n">
        <f aca="false">'Cài đặt'!$B$39+E786-1</f>
        <v>46400</v>
      </c>
      <c r="G786" s="41" t="s">
        <v>451</v>
      </c>
      <c r="H786" s="44" t="str">
        <f aca="false">IF(G786="S1",'Cài đặt'!$B$7,'Cài đặt'!$B$8)</f>
        <v>20:00</v>
      </c>
      <c r="I786" s="44" t="str">
        <f aca="false">'Cài đặt'!$B$32</f>
        <v>Carousel</v>
      </c>
      <c r="J786" s="44" t="str">
        <f aca="false">'Cài đặt'!$B$33</f>
        <v>A</v>
      </c>
      <c r="K786" s="41" t="s">
        <v>445</v>
      </c>
      <c r="L786" s="42" t="str">
        <f aca="false">C786&amp;"_"&amp;B786&amp;"_"&amp;IF(I786="Reel","R",IF(I786="Carousel","C","I"))&amp;"_"&amp;J786&amp;"_"&amp;IF(K786="AI tự động","AI","HU")&amp;"_"&amp;RIGHT(A786,3)</f>
        <v>P1_EXP3_C_A_AI_048</v>
      </c>
      <c r="M786" s="45"/>
      <c r="N786" s="45"/>
      <c r="O786" s="46"/>
      <c r="P786" s="46"/>
      <c r="Q786" s="46"/>
      <c r="R786" s="47"/>
      <c r="S786" s="45"/>
      <c r="T786" s="45"/>
      <c r="U786" s="48" t="str">
        <f aca="false">IF(O786&gt;0,P786/O786,"")</f>
        <v/>
      </c>
      <c r="V786" s="49" t="str">
        <f aca="false">IF(P786&gt;0,Q786/P786,"")</f>
        <v/>
      </c>
      <c r="W786" s="50" t="n">
        <f aca="false">IF(R786&lt;&gt;"",R786,Q786*'Cài đặt'!$B$12)</f>
        <v>0</v>
      </c>
      <c r="X786" s="50" t="str">
        <f aca="false">IF(O786&gt;0,W786/O786*1000,"")</f>
        <v/>
      </c>
      <c r="Y786" s="51" t="n">
        <f aca="false">IF(T786&lt;&gt;"",T786,INDEX('Cài đặt'!$B$20:$C$22,MATCH(I786,'Cài đặt'!$A$20:$A$22,0),IF(K786="AI tự động",1,2)))</f>
        <v>4</v>
      </c>
    </row>
    <row r="787" customFormat="false" ht="15" hidden="false" customHeight="false" outlineLevel="0" collapsed="false">
      <c r="A787" s="41" t="s">
        <v>1237</v>
      </c>
      <c r="B787" s="41" t="s">
        <v>958</v>
      </c>
      <c r="C787" s="41" t="s">
        <v>163</v>
      </c>
      <c r="D787" s="42" t="str">
        <f aca="false">INDEX('Page và Ngách'!$B$5:$B$10,MATCH(C787,'Page và Ngách'!$A$5:$A$10,0))</f>
        <v>Secret billionaire / CEO</v>
      </c>
      <c r="E787" s="41" t="n">
        <v>24</v>
      </c>
      <c r="F787" s="43" t="n">
        <f aca="false">'Cài đặt'!$B$39+E787-1</f>
        <v>46400</v>
      </c>
      <c r="G787" s="41" t="s">
        <v>444</v>
      </c>
      <c r="H787" s="44" t="str">
        <f aca="false">IF(G787="S1",'Cài đặt'!$B$7,'Cài đặt'!$B$8)</f>
        <v>12:00</v>
      </c>
      <c r="I787" s="44" t="str">
        <f aca="false">'Cài đặt'!$B$32</f>
        <v>Carousel</v>
      </c>
      <c r="J787" s="44" t="str">
        <f aca="false">'Cài đặt'!$B$33</f>
        <v>A</v>
      </c>
      <c r="K787" s="41" t="s">
        <v>961</v>
      </c>
      <c r="L787" s="42" t="str">
        <f aca="false">C787&amp;"_"&amp;B787&amp;"_"&amp;IF(I787="Reel","R",IF(I787="Carousel","C","I"))&amp;"_"&amp;J787&amp;"_"&amp;IF(K787="AI tự động","AI","HU")&amp;"_"&amp;RIGHT(A787,3)</f>
        <v>P2_EXP3_C_A_HU_047</v>
      </c>
      <c r="M787" s="45"/>
      <c r="N787" s="45"/>
      <c r="O787" s="46"/>
      <c r="P787" s="46"/>
      <c r="Q787" s="46"/>
      <c r="R787" s="47"/>
      <c r="S787" s="45"/>
      <c r="T787" s="45"/>
      <c r="U787" s="48" t="str">
        <f aca="false">IF(O787&gt;0,P787/O787,"")</f>
        <v/>
      </c>
      <c r="V787" s="49" t="str">
        <f aca="false">IF(P787&gt;0,Q787/P787,"")</f>
        <v/>
      </c>
      <c r="W787" s="50" t="n">
        <f aca="false">IF(R787&lt;&gt;"",R787,Q787*'Cài đặt'!$B$12)</f>
        <v>0</v>
      </c>
      <c r="X787" s="50" t="str">
        <f aca="false">IF(O787&gt;0,W787/O787*1000,"")</f>
        <v/>
      </c>
      <c r="Y787" s="51" t="n">
        <f aca="false">IF(T787&lt;&gt;"",T787,INDEX('Cài đặt'!$B$20:$C$22,MATCH(I787,'Cài đặt'!$A$20:$A$22,0),IF(K787="AI tự động",1,2)))</f>
        <v>25</v>
      </c>
    </row>
    <row r="788" customFormat="false" ht="15" hidden="false" customHeight="false" outlineLevel="0" collapsed="false">
      <c r="A788" s="41" t="s">
        <v>1238</v>
      </c>
      <c r="B788" s="41" t="s">
        <v>958</v>
      </c>
      <c r="C788" s="41" t="s">
        <v>163</v>
      </c>
      <c r="D788" s="42" t="str">
        <f aca="false">INDEX('Page và Ngách'!$B$5:$B$10,MATCH(C788,'Page và Ngách'!$A$5:$A$10,0))</f>
        <v>Secret billionaire / CEO</v>
      </c>
      <c r="E788" s="41" t="n">
        <v>24</v>
      </c>
      <c r="F788" s="43" t="n">
        <f aca="false">'Cài đặt'!$B$39+E788-1</f>
        <v>46400</v>
      </c>
      <c r="G788" s="41" t="s">
        <v>451</v>
      </c>
      <c r="H788" s="44" t="str">
        <f aca="false">IF(G788="S1",'Cài đặt'!$B$7,'Cài đặt'!$B$8)</f>
        <v>20:00</v>
      </c>
      <c r="I788" s="44" t="str">
        <f aca="false">'Cài đặt'!$B$32</f>
        <v>Carousel</v>
      </c>
      <c r="J788" s="44" t="str">
        <f aca="false">'Cài đặt'!$B$33</f>
        <v>A</v>
      </c>
      <c r="K788" s="41" t="s">
        <v>445</v>
      </c>
      <c r="L788" s="42" t="str">
        <f aca="false">C788&amp;"_"&amp;B788&amp;"_"&amp;IF(I788="Reel","R",IF(I788="Carousel","C","I"))&amp;"_"&amp;J788&amp;"_"&amp;IF(K788="AI tự động","AI","HU")&amp;"_"&amp;RIGHT(A788,3)</f>
        <v>P2_EXP3_C_A_AI_048</v>
      </c>
      <c r="M788" s="45"/>
      <c r="N788" s="45"/>
      <c r="O788" s="46"/>
      <c r="P788" s="46"/>
      <c r="Q788" s="46"/>
      <c r="R788" s="47"/>
      <c r="S788" s="45"/>
      <c r="T788" s="45"/>
      <c r="U788" s="48" t="str">
        <f aca="false">IF(O788&gt;0,P788/O788,"")</f>
        <v/>
      </c>
      <c r="V788" s="49" t="str">
        <f aca="false">IF(P788&gt;0,Q788/P788,"")</f>
        <v/>
      </c>
      <c r="W788" s="50" t="n">
        <f aca="false">IF(R788&lt;&gt;"",R788,Q788*'Cài đặt'!$B$12)</f>
        <v>0</v>
      </c>
      <c r="X788" s="50" t="str">
        <f aca="false">IF(O788&gt;0,W788/O788*1000,"")</f>
        <v/>
      </c>
      <c r="Y788" s="51" t="n">
        <f aca="false">IF(T788&lt;&gt;"",T788,INDEX('Cài đặt'!$B$20:$C$22,MATCH(I788,'Cài đặt'!$A$20:$A$22,0),IF(K788="AI tự động",1,2)))</f>
        <v>4</v>
      </c>
    </row>
    <row r="789" customFormat="false" ht="15" hidden="false" customHeight="false" outlineLevel="0" collapsed="false">
      <c r="A789" s="41" t="s">
        <v>1239</v>
      </c>
      <c r="B789" s="41" t="s">
        <v>958</v>
      </c>
      <c r="C789" s="41" t="s">
        <v>171</v>
      </c>
      <c r="D789" s="42" t="str">
        <f aca="false">INDEX('Page và Ngách'!$B$5:$B$10,MATCH(C789,'Page và Ngách'!$A$5:$A$10,0))</f>
        <v>Contract marriage / Fake relationship</v>
      </c>
      <c r="E789" s="41" t="n">
        <v>24</v>
      </c>
      <c r="F789" s="43" t="n">
        <f aca="false">'Cài đặt'!$B$39+E789-1</f>
        <v>46400</v>
      </c>
      <c r="G789" s="41" t="s">
        <v>444</v>
      </c>
      <c r="H789" s="44" t="str">
        <f aca="false">IF(G789="S1",'Cài đặt'!$B$7,'Cài đặt'!$B$8)</f>
        <v>12:00</v>
      </c>
      <c r="I789" s="44" t="str">
        <f aca="false">'Cài đặt'!$B$32</f>
        <v>Carousel</v>
      </c>
      <c r="J789" s="44" t="str">
        <f aca="false">'Cài đặt'!$B$33</f>
        <v>A</v>
      </c>
      <c r="K789" s="41" t="s">
        <v>445</v>
      </c>
      <c r="L789" s="42" t="str">
        <f aca="false">C789&amp;"_"&amp;B789&amp;"_"&amp;IF(I789="Reel","R",IF(I789="Carousel","C","I"))&amp;"_"&amp;J789&amp;"_"&amp;IF(K789="AI tự động","AI","HU")&amp;"_"&amp;RIGHT(A789,3)</f>
        <v>P3_EXP3_C_A_AI_047</v>
      </c>
      <c r="M789" s="45"/>
      <c r="N789" s="45"/>
      <c r="O789" s="46"/>
      <c r="P789" s="46"/>
      <c r="Q789" s="46"/>
      <c r="R789" s="47"/>
      <c r="S789" s="45"/>
      <c r="T789" s="45"/>
      <c r="U789" s="48" t="str">
        <f aca="false">IF(O789&gt;0,P789/O789,"")</f>
        <v/>
      </c>
      <c r="V789" s="49" t="str">
        <f aca="false">IF(P789&gt;0,Q789/P789,"")</f>
        <v/>
      </c>
      <c r="W789" s="50" t="n">
        <f aca="false">IF(R789&lt;&gt;"",R789,Q789*'Cài đặt'!$B$12)</f>
        <v>0</v>
      </c>
      <c r="X789" s="50" t="str">
        <f aca="false">IF(O789&gt;0,W789/O789*1000,"")</f>
        <v/>
      </c>
      <c r="Y789" s="51" t="n">
        <f aca="false">IF(T789&lt;&gt;"",T789,INDEX('Cài đặt'!$B$20:$C$22,MATCH(I789,'Cài đặt'!$A$20:$A$22,0),IF(K789="AI tự động",1,2)))</f>
        <v>4</v>
      </c>
    </row>
    <row r="790" customFormat="false" ht="15" hidden="false" customHeight="false" outlineLevel="0" collapsed="false">
      <c r="A790" s="41" t="s">
        <v>1240</v>
      </c>
      <c r="B790" s="41" t="s">
        <v>958</v>
      </c>
      <c r="C790" s="41" t="s">
        <v>171</v>
      </c>
      <c r="D790" s="42" t="str">
        <f aca="false">INDEX('Page và Ngách'!$B$5:$B$10,MATCH(C790,'Page và Ngách'!$A$5:$A$10,0))</f>
        <v>Contract marriage / Fake relationship</v>
      </c>
      <c r="E790" s="41" t="n">
        <v>24</v>
      </c>
      <c r="F790" s="43" t="n">
        <f aca="false">'Cài đặt'!$B$39+E790-1</f>
        <v>46400</v>
      </c>
      <c r="G790" s="41" t="s">
        <v>451</v>
      </c>
      <c r="H790" s="44" t="str">
        <f aca="false">IF(G790="S1",'Cài đặt'!$B$7,'Cài đặt'!$B$8)</f>
        <v>20:00</v>
      </c>
      <c r="I790" s="44" t="str">
        <f aca="false">'Cài đặt'!$B$32</f>
        <v>Carousel</v>
      </c>
      <c r="J790" s="44" t="str">
        <f aca="false">'Cài đặt'!$B$33</f>
        <v>A</v>
      </c>
      <c r="K790" s="41" t="s">
        <v>445</v>
      </c>
      <c r="L790" s="42" t="str">
        <f aca="false">C790&amp;"_"&amp;B790&amp;"_"&amp;IF(I790="Reel","R",IF(I790="Carousel","C","I"))&amp;"_"&amp;J790&amp;"_"&amp;IF(K790="AI tự động","AI","HU")&amp;"_"&amp;RIGHT(A790,3)</f>
        <v>P3_EXP3_C_A_AI_048</v>
      </c>
      <c r="M790" s="45"/>
      <c r="N790" s="45"/>
      <c r="O790" s="46"/>
      <c r="P790" s="46"/>
      <c r="Q790" s="46"/>
      <c r="R790" s="47"/>
      <c r="S790" s="45"/>
      <c r="T790" s="45"/>
      <c r="U790" s="48" t="str">
        <f aca="false">IF(O790&gt;0,P790/O790,"")</f>
        <v/>
      </c>
      <c r="V790" s="49" t="str">
        <f aca="false">IF(P790&gt;0,Q790/P790,"")</f>
        <v/>
      </c>
      <c r="W790" s="50" t="n">
        <f aca="false">IF(R790&lt;&gt;"",R790,Q790*'Cài đặt'!$B$12)</f>
        <v>0</v>
      </c>
      <c r="X790" s="50" t="str">
        <f aca="false">IF(O790&gt;0,W790/O790*1000,"")</f>
        <v/>
      </c>
      <c r="Y790" s="51" t="n">
        <f aca="false">IF(T790&lt;&gt;"",T790,INDEX('Cài đặt'!$B$20:$C$22,MATCH(I790,'Cài đặt'!$A$20:$A$22,0),IF(K790="AI tự động",1,2)))</f>
        <v>4</v>
      </c>
    </row>
    <row r="791" customFormat="false" ht="15" hidden="false" customHeight="false" outlineLevel="0" collapsed="false">
      <c r="A791" s="41" t="s">
        <v>1241</v>
      </c>
      <c r="B791" s="41" t="s">
        <v>958</v>
      </c>
      <c r="C791" s="41" t="s">
        <v>178</v>
      </c>
      <c r="D791" s="42" t="str">
        <f aca="false">INDEX('Page và Ngách'!$B$5:$B$10,MATCH(C791,'Page và Ngách'!$A$5:$A$10,0))</f>
        <v>Revenge / Betrayal ("you'll regret it")</v>
      </c>
      <c r="E791" s="41" t="n">
        <v>24</v>
      </c>
      <c r="F791" s="43" t="n">
        <f aca="false">'Cài đặt'!$B$39+E791-1</f>
        <v>46400</v>
      </c>
      <c r="G791" s="41" t="s">
        <v>444</v>
      </c>
      <c r="H791" s="44" t="str">
        <f aca="false">IF(G791="S1",'Cài đặt'!$B$7,'Cài đặt'!$B$8)</f>
        <v>12:00</v>
      </c>
      <c r="I791" s="44" t="str">
        <f aca="false">'Cài đặt'!$B$32</f>
        <v>Carousel</v>
      </c>
      <c r="J791" s="44" t="str">
        <f aca="false">'Cài đặt'!$B$33</f>
        <v>A</v>
      </c>
      <c r="K791" s="41" t="s">
        <v>445</v>
      </c>
      <c r="L791" s="42" t="str">
        <f aca="false">C791&amp;"_"&amp;B791&amp;"_"&amp;IF(I791="Reel","R",IF(I791="Carousel","C","I"))&amp;"_"&amp;J791&amp;"_"&amp;IF(K791="AI tự động","AI","HU")&amp;"_"&amp;RIGHT(A791,3)</f>
        <v>P4_EXP3_C_A_AI_047</v>
      </c>
      <c r="M791" s="45"/>
      <c r="N791" s="45"/>
      <c r="O791" s="46"/>
      <c r="P791" s="46"/>
      <c r="Q791" s="46"/>
      <c r="R791" s="47"/>
      <c r="S791" s="45"/>
      <c r="T791" s="45"/>
      <c r="U791" s="48" t="str">
        <f aca="false">IF(O791&gt;0,P791/O791,"")</f>
        <v/>
      </c>
      <c r="V791" s="49" t="str">
        <f aca="false">IF(P791&gt;0,Q791/P791,"")</f>
        <v/>
      </c>
      <c r="W791" s="50" t="n">
        <f aca="false">IF(R791&lt;&gt;"",R791,Q791*'Cài đặt'!$B$12)</f>
        <v>0</v>
      </c>
      <c r="X791" s="50" t="str">
        <f aca="false">IF(O791&gt;0,W791/O791*1000,"")</f>
        <v/>
      </c>
      <c r="Y791" s="51" t="n">
        <f aca="false">IF(T791&lt;&gt;"",T791,INDEX('Cài đặt'!$B$20:$C$22,MATCH(I791,'Cài đặt'!$A$20:$A$22,0),IF(K791="AI tự động",1,2)))</f>
        <v>4</v>
      </c>
    </row>
    <row r="792" customFormat="false" ht="15" hidden="false" customHeight="false" outlineLevel="0" collapsed="false">
      <c r="A792" s="41" t="s">
        <v>1242</v>
      </c>
      <c r="B792" s="41" t="s">
        <v>958</v>
      </c>
      <c r="C792" s="41" t="s">
        <v>178</v>
      </c>
      <c r="D792" s="42" t="str">
        <f aca="false">INDEX('Page và Ngách'!$B$5:$B$10,MATCH(C792,'Page và Ngách'!$A$5:$A$10,0))</f>
        <v>Revenge / Betrayal ("you'll regret it")</v>
      </c>
      <c r="E792" s="41" t="n">
        <v>24</v>
      </c>
      <c r="F792" s="43" t="n">
        <f aca="false">'Cài đặt'!$B$39+E792-1</f>
        <v>46400</v>
      </c>
      <c r="G792" s="41" t="s">
        <v>451</v>
      </c>
      <c r="H792" s="44" t="str">
        <f aca="false">IF(G792="S1",'Cài đặt'!$B$7,'Cài đặt'!$B$8)</f>
        <v>20:00</v>
      </c>
      <c r="I792" s="44" t="str">
        <f aca="false">'Cài đặt'!$B$32</f>
        <v>Carousel</v>
      </c>
      <c r="J792" s="44" t="str">
        <f aca="false">'Cài đặt'!$B$33</f>
        <v>A</v>
      </c>
      <c r="K792" s="41" t="s">
        <v>961</v>
      </c>
      <c r="L792" s="42" t="str">
        <f aca="false">C792&amp;"_"&amp;B792&amp;"_"&amp;IF(I792="Reel","R",IF(I792="Carousel","C","I"))&amp;"_"&amp;J792&amp;"_"&amp;IF(K792="AI tự động","AI","HU")&amp;"_"&amp;RIGHT(A792,3)</f>
        <v>P4_EXP3_C_A_HU_048</v>
      </c>
      <c r="M792" s="45"/>
      <c r="N792" s="45"/>
      <c r="O792" s="46"/>
      <c r="P792" s="46"/>
      <c r="Q792" s="46"/>
      <c r="R792" s="47"/>
      <c r="S792" s="45"/>
      <c r="T792" s="45"/>
      <c r="U792" s="48" t="str">
        <f aca="false">IF(O792&gt;0,P792/O792,"")</f>
        <v/>
      </c>
      <c r="V792" s="49" t="str">
        <f aca="false">IF(P792&gt;0,Q792/P792,"")</f>
        <v/>
      </c>
      <c r="W792" s="50" t="n">
        <f aca="false">IF(R792&lt;&gt;"",R792,Q792*'Cài đặt'!$B$12)</f>
        <v>0</v>
      </c>
      <c r="X792" s="50" t="str">
        <f aca="false">IF(O792&gt;0,W792/O792*1000,"")</f>
        <v/>
      </c>
      <c r="Y792" s="51" t="n">
        <f aca="false">IF(T792&lt;&gt;"",T792,INDEX('Cài đặt'!$B$20:$C$22,MATCH(I792,'Cài đặt'!$A$20:$A$22,0),IF(K792="AI tự động",1,2)))</f>
        <v>25</v>
      </c>
    </row>
    <row r="793" customFormat="false" ht="15" hidden="false" customHeight="false" outlineLevel="0" collapsed="false">
      <c r="A793" s="41" t="s">
        <v>1243</v>
      </c>
      <c r="B793" s="41" t="s">
        <v>958</v>
      </c>
      <c r="C793" s="41" t="s">
        <v>185</v>
      </c>
      <c r="D793" s="42" t="str">
        <f aca="false">INDEX('Page và Ngách'!$B$5:$B$10,MATCH(C793,'Page và Ngách'!$A$5:$A$10,0))</f>
        <v>Mafia / Dark romance (teaser PG-13)</v>
      </c>
      <c r="E793" s="41" t="n">
        <v>24</v>
      </c>
      <c r="F793" s="43" t="n">
        <f aca="false">'Cài đặt'!$B$39+E793-1</f>
        <v>46400</v>
      </c>
      <c r="G793" s="41" t="s">
        <v>444</v>
      </c>
      <c r="H793" s="44" t="str">
        <f aca="false">IF(G793="S1",'Cài đặt'!$B$7,'Cài đặt'!$B$8)</f>
        <v>12:00</v>
      </c>
      <c r="I793" s="44" t="str">
        <f aca="false">'Cài đặt'!$B$32</f>
        <v>Carousel</v>
      </c>
      <c r="J793" s="44" t="str">
        <f aca="false">'Cài đặt'!$B$33</f>
        <v>A</v>
      </c>
      <c r="K793" s="41" t="s">
        <v>445</v>
      </c>
      <c r="L793" s="42" t="str">
        <f aca="false">C793&amp;"_"&amp;B793&amp;"_"&amp;IF(I793="Reel","R",IF(I793="Carousel","C","I"))&amp;"_"&amp;J793&amp;"_"&amp;IF(K793="AI tự động","AI","HU")&amp;"_"&amp;RIGHT(A793,3)</f>
        <v>P5_EXP3_C_A_AI_047</v>
      </c>
      <c r="M793" s="45"/>
      <c r="N793" s="45"/>
      <c r="O793" s="46"/>
      <c r="P793" s="46"/>
      <c r="Q793" s="46"/>
      <c r="R793" s="47"/>
      <c r="S793" s="45"/>
      <c r="T793" s="45"/>
      <c r="U793" s="48" t="str">
        <f aca="false">IF(O793&gt;0,P793/O793,"")</f>
        <v/>
      </c>
      <c r="V793" s="49" t="str">
        <f aca="false">IF(P793&gt;0,Q793/P793,"")</f>
        <v/>
      </c>
      <c r="W793" s="50" t="n">
        <f aca="false">IF(R793&lt;&gt;"",R793,Q793*'Cài đặt'!$B$12)</f>
        <v>0</v>
      </c>
      <c r="X793" s="50" t="str">
        <f aca="false">IF(O793&gt;0,W793/O793*1000,"")</f>
        <v/>
      </c>
      <c r="Y793" s="51" t="n">
        <f aca="false">IF(T793&lt;&gt;"",T793,INDEX('Cài đặt'!$B$20:$C$22,MATCH(I793,'Cài đặt'!$A$20:$A$22,0),IF(K793="AI tự động",1,2)))</f>
        <v>4</v>
      </c>
    </row>
    <row r="794" customFormat="false" ht="15" hidden="false" customHeight="false" outlineLevel="0" collapsed="false">
      <c r="A794" s="41" t="s">
        <v>1244</v>
      </c>
      <c r="B794" s="41" t="s">
        <v>958</v>
      </c>
      <c r="C794" s="41" t="s">
        <v>185</v>
      </c>
      <c r="D794" s="42" t="str">
        <f aca="false">INDEX('Page và Ngách'!$B$5:$B$10,MATCH(C794,'Page và Ngách'!$A$5:$A$10,0))</f>
        <v>Mafia / Dark romance (teaser PG-13)</v>
      </c>
      <c r="E794" s="41" t="n">
        <v>24</v>
      </c>
      <c r="F794" s="43" t="n">
        <f aca="false">'Cài đặt'!$B$39+E794-1</f>
        <v>46400</v>
      </c>
      <c r="G794" s="41" t="s">
        <v>451</v>
      </c>
      <c r="H794" s="44" t="str">
        <f aca="false">IF(G794="S1",'Cài đặt'!$B$7,'Cài đặt'!$B$8)</f>
        <v>20:00</v>
      </c>
      <c r="I794" s="44" t="str">
        <f aca="false">'Cài đặt'!$B$32</f>
        <v>Carousel</v>
      </c>
      <c r="J794" s="44" t="str">
        <f aca="false">'Cài đặt'!$B$33</f>
        <v>A</v>
      </c>
      <c r="K794" s="41" t="s">
        <v>445</v>
      </c>
      <c r="L794" s="42" t="str">
        <f aca="false">C794&amp;"_"&amp;B794&amp;"_"&amp;IF(I794="Reel","R",IF(I794="Carousel","C","I"))&amp;"_"&amp;J794&amp;"_"&amp;IF(K794="AI tự động","AI","HU")&amp;"_"&amp;RIGHT(A794,3)</f>
        <v>P5_EXP3_C_A_AI_048</v>
      </c>
      <c r="M794" s="45"/>
      <c r="N794" s="45"/>
      <c r="O794" s="46"/>
      <c r="P794" s="46"/>
      <c r="Q794" s="46"/>
      <c r="R794" s="47"/>
      <c r="S794" s="45"/>
      <c r="T794" s="45"/>
      <c r="U794" s="48" t="str">
        <f aca="false">IF(O794&gt;0,P794/O794,"")</f>
        <v/>
      </c>
      <c r="V794" s="49" t="str">
        <f aca="false">IF(P794&gt;0,Q794/P794,"")</f>
        <v/>
      </c>
      <c r="W794" s="50" t="n">
        <f aca="false">IF(R794&lt;&gt;"",R794,Q794*'Cài đặt'!$B$12)</f>
        <v>0</v>
      </c>
      <c r="X794" s="50" t="str">
        <f aca="false">IF(O794&gt;0,W794/O794*1000,"")</f>
        <v/>
      </c>
      <c r="Y794" s="51" t="n">
        <f aca="false">IF(T794&lt;&gt;"",T794,INDEX('Cài đặt'!$B$20:$C$22,MATCH(I794,'Cài đặt'!$A$20:$A$22,0),IF(K794="AI tự động",1,2)))</f>
        <v>4</v>
      </c>
    </row>
    <row r="795" customFormat="false" ht="15" hidden="false" customHeight="false" outlineLevel="0" collapsed="false">
      <c r="A795" s="41" t="s">
        <v>1245</v>
      </c>
      <c r="B795" s="41" t="s">
        <v>958</v>
      </c>
      <c r="C795" s="41" t="s">
        <v>193</v>
      </c>
      <c r="D795" s="42" t="str">
        <f aca="false">INDEX('Page và Ngách'!$B$5:$B$10,MATCH(C795,'Page và Ngách'!$A$5:$A$10,0))</f>
        <v>Second chance / Secret baby</v>
      </c>
      <c r="E795" s="41" t="n">
        <v>24</v>
      </c>
      <c r="F795" s="43" t="n">
        <f aca="false">'Cài đặt'!$B$39+E795-1</f>
        <v>46400</v>
      </c>
      <c r="G795" s="41" t="s">
        <v>444</v>
      </c>
      <c r="H795" s="44" t="str">
        <f aca="false">IF(G795="S1",'Cài đặt'!$B$7,'Cài đặt'!$B$8)</f>
        <v>12:00</v>
      </c>
      <c r="I795" s="44" t="str">
        <f aca="false">'Cài đặt'!$B$32</f>
        <v>Carousel</v>
      </c>
      <c r="J795" s="44" t="str">
        <f aca="false">'Cài đặt'!$B$33</f>
        <v>A</v>
      </c>
      <c r="K795" s="41" t="s">
        <v>445</v>
      </c>
      <c r="L795" s="42" t="str">
        <f aca="false">C795&amp;"_"&amp;B795&amp;"_"&amp;IF(I795="Reel","R",IF(I795="Carousel","C","I"))&amp;"_"&amp;J795&amp;"_"&amp;IF(K795="AI tự động","AI","HU")&amp;"_"&amp;RIGHT(A795,3)</f>
        <v>P6_EXP3_C_A_AI_047</v>
      </c>
      <c r="M795" s="45"/>
      <c r="N795" s="45"/>
      <c r="O795" s="46"/>
      <c r="P795" s="46"/>
      <c r="Q795" s="46"/>
      <c r="R795" s="47"/>
      <c r="S795" s="45"/>
      <c r="T795" s="45"/>
      <c r="U795" s="48" t="str">
        <f aca="false">IF(O795&gt;0,P795/O795,"")</f>
        <v/>
      </c>
      <c r="V795" s="49" t="str">
        <f aca="false">IF(P795&gt;0,Q795/P795,"")</f>
        <v/>
      </c>
      <c r="W795" s="50" t="n">
        <f aca="false">IF(R795&lt;&gt;"",R795,Q795*'Cài đặt'!$B$12)</f>
        <v>0</v>
      </c>
      <c r="X795" s="50" t="str">
        <f aca="false">IF(O795&gt;0,W795/O795*1000,"")</f>
        <v/>
      </c>
      <c r="Y795" s="51" t="n">
        <f aca="false">IF(T795&lt;&gt;"",T795,INDEX('Cài đặt'!$B$20:$C$22,MATCH(I795,'Cài đặt'!$A$20:$A$22,0),IF(K795="AI tự động",1,2)))</f>
        <v>4</v>
      </c>
    </row>
    <row r="796" customFormat="false" ht="15" hidden="false" customHeight="false" outlineLevel="0" collapsed="false">
      <c r="A796" s="41" t="s">
        <v>1246</v>
      </c>
      <c r="B796" s="41" t="s">
        <v>958</v>
      </c>
      <c r="C796" s="41" t="s">
        <v>193</v>
      </c>
      <c r="D796" s="42" t="str">
        <f aca="false">INDEX('Page và Ngách'!$B$5:$B$10,MATCH(C796,'Page và Ngách'!$A$5:$A$10,0))</f>
        <v>Second chance / Secret baby</v>
      </c>
      <c r="E796" s="41" t="n">
        <v>24</v>
      </c>
      <c r="F796" s="43" t="n">
        <f aca="false">'Cài đặt'!$B$39+E796-1</f>
        <v>46400</v>
      </c>
      <c r="G796" s="41" t="s">
        <v>451</v>
      </c>
      <c r="H796" s="44" t="str">
        <f aca="false">IF(G796="S1",'Cài đặt'!$B$7,'Cài đặt'!$B$8)</f>
        <v>20:00</v>
      </c>
      <c r="I796" s="44" t="str">
        <f aca="false">'Cài đặt'!$B$32</f>
        <v>Carousel</v>
      </c>
      <c r="J796" s="44" t="str">
        <f aca="false">'Cài đặt'!$B$33</f>
        <v>A</v>
      </c>
      <c r="K796" s="41" t="s">
        <v>445</v>
      </c>
      <c r="L796" s="42" t="str">
        <f aca="false">C796&amp;"_"&amp;B796&amp;"_"&amp;IF(I796="Reel","R",IF(I796="Carousel","C","I"))&amp;"_"&amp;J796&amp;"_"&amp;IF(K796="AI tự động","AI","HU")&amp;"_"&amp;RIGHT(A796,3)</f>
        <v>P6_EXP3_C_A_AI_048</v>
      </c>
      <c r="M796" s="45"/>
      <c r="N796" s="45"/>
      <c r="O796" s="46"/>
      <c r="P796" s="46"/>
      <c r="Q796" s="46"/>
      <c r="R796" s="47"/>
      <c r="S796" s="45"/>
      <c r="T796" s="45"/>
      <c r="U796" s="48" t="str">
        <f aca="false">IF(O796&gt;0,P796/O796,"")</f>
        <v/>
      </c>
      <c r="V796" s="49" t="str">
        <f aca="false">IF(P796&gt;0,Q796/P796,"")</f>
        <v/>
      </c>
      <c r="W796" s="50" t="n">
        <f aca="false">IF(R796&lt;&gt;"",R796,Q796*'Cài đặt'!$B$12)</f>
        <v>0</v>
      </c>
      <c r="X796" s="50" t="str">
        <f aca="false">IF(O796&gt;0,W796/O796*1000,"")</f>
        <v/>
      </c>
      <c r="Y796" s="51" t="n">
        <f aca="false">IF(T796&lt;&gt;"",T796,INDEX('Cài đặt'!$B$20:$C$22,MATCH(I796,'Cài đặt'!$A$20:$A$22,0),IF(K796="AI tự động",1,2)))</f>
        <v>4</v>
      </c>
    </row>
    <row r="797" customFormat="false" ht="15" hidden="false" customHeight="false" outlineLevel="0" collapsed="false">
      <c r="A797" s="41" t="s">
        <v>1247</v>
      </c>
      <c r="B797" s="41" t="s">
        <v>958</v>
      </c>
      <c r="C797" s="41" t="s">
        <v>154</v>
      </c>
      <c r="D797" s="42" t="str">
        <f aca="false">INDEX('Page và Ngách'!$B$5:$B$10,MATCH(C797,'Page và Ngách'!$A$5:$A$10,0))</f>
        <v>Werewolf / Rejected mate</v>
      </c>
      <c r="E797" s="41" t="n">
        <v>25</v>
      </c>
      <c r="F797" s="43" t="n">
        <f aca="false">'Cài đặt'!$B$39+E797-1</f>
        <v>46401</v>
      </c>
      <c r="G797" s="41" t="s">
        <v>444</v>
      </c>
      <c r="H797" s="44" t="str">
        <f aca="false">IF(G797="S1",'Cài đặt'!$B$7,'Cài đặt'!$B$8)</f>
        <v>12:00</v>
      </c>
      <c r="I797" s="44" t="str">
        <f aca="false">'Cài đặt'!$B$32</f>
        <v>Carousel</v>
      </c>
      <c r="J797" s="44" t="str">
        <f aca="false">'Cài đặt'!$B$33</f>
        <v>A</v>
      </c>
      <c r="K797" s="41" t="s">
        <v>961</v>
      </c>
      <c r="L797" s="42" t="str">
        <f aca="false">C797&amp;"_"&amp;B797&amp;"_"&amp;IF(I797="Reel","R",IF(I797="Carousel","C","I"))&amp;"_"&amp;J797&amp;"_"&amp;IF(K797="AI tự động","AI","HU")&amp;"_"&amp;RIGHT(A797,3)</f>
        <v>P1_EXP3_C_A_HU_049</v>
      </c>
      <c r="M797" s="45"/>
      <c r="N797" s="45"/>
      <c r="O797" s="46"/>
      <c r="P797" s="46"/>
      <c r="Q797" s="46"/>
      <c r="R797" s="47"/>
      <c r="S797" s="45"/>
      <c r="T797" s="45"/>
      <c r="U797" s="48" t="str">
        <f aca="false">IF(O797&gt;0,P797/O797,"")</f>
        <v/>
      </c>
      <c r="V797" s="49" t="str">
        <f aca="false">IF(P797&gt;0,Q797/P797,"")</f>
        <v/>
      </c>
      <c r="W797" s="50" t="n">
        <f aca="false">IF(R797&lt;&gt;"",R797,Q797*'Cài đặt'!$B$12)</f>
        <v>0</v>
      </c>
      <c r="X797" s="50" t="str">
        <f aca="false">IF(O797&gt;0,W797/O797*1000,"")</f>
        <v/>
      </c>
      <c r="Y797" s="51" t="n">
        <f aca="false">IF(T797&lt;&gt;"",T797,INDEX('Cài đặt'!$B$20:$C$22,MATCH(I797,'Cài đặt'!$A$20:$A$22,0),IF(K797="AI tự động",1,2)))</f>
        <v>25</v>
      </c>
    </row>
    <row r="798" customFormat="false" ht="15" hidden="false" customHeight="false" outlineLevel="0" collapsed="false">
      <c r="A798" s="41" t="s">
        <v>1248</v>
      </c>
      <c r="B798" s="41" t="s">
        <v>958</v>
      </c>
      <c r="C798" s="41" t="s">
        <v>154</v>
      </c>
      <c r="D798" s="42" t="str">
        <f aca="false">INDEX('Page và Ngách'!$B$5:$B$10,MATCH(C798,'Page và Ngách'!$A$5:$A$10,0))</f>
        <v>Werewolf / Rejected mate</v>
      </c>
      <c r="E798" s="41" t="n">
        <v>25</v>
      </c>
      <c r="F798" s="43" t="n">
        <f aca="false">'Cài đặt'!$B$39+E798-1</f>
        <v>46401</v>
      </c>
      <c r="G798" s="41" t="s">
        <v>451</v>
      </c>
      <c r="H798" s="44" t="str">
        <f aca="false">IF(G798="S1",'Cài đặt'!$B$7,'Cài đặt'!$B$8)</f>
        <v>20:00</v>
      </c>
      <c r="I798" s="44" t="str">
        <f aca="false">'Cài đặt'!$B$32</f>
        <v>Carousel</v>
      </c>
      <c r="J798" s="44" t="str">
        <f aca="false">'Cài đặt'!$B$33</f>
        <v>A</v>
      </c>
      <c r="K798" s="41" t="s">
        <v>445</v>
      </c>
      <c r="L798" s="42" t="str">
        <f aca="false">C798&amp;"_"&amp;B798&amp;"_"&amp;IF(I798="Reel","R",IF(I798="Carousel","C","I"))&amp;"_"&amp;J798&amp;"_"&amp;IF(K798="AI tự động","AI","HU")&amp;"_"&amp;RIGHT(A798,3)</f>
        <v>P1_EXP3_C_A_AI_050</v>
      </c>
      <c r="M798" s="45"/>
      <c r="N798" s="45"/>
      <c r="O798" s="46"/>
      <c r="P798" s="46"/>
      <c r="Q798" s="46"/>
      <c r="R798" s="47"/>
      <c r="S798" s="45"/>
      <c r="T798" s="45"/>
      <c r="U798" s="48" t="str">
        <f aca="false">IF(O798&gt;0,P798/O798,"")</f>
        <v/>
      </c>
      <c r="V798" s="49" t="str">
        <f aca="false">IF(P798&gt;0,Q798/P798,"")</f>
        <v/>
      </c>
      <c r="W798" s="50" t="n">
        <f aca="false">IF(R798&lt;&gt;"",R798,Q798*'Cài đặt'!$B$12)</f>
        <v>0</v>
      </c>
      <c r="X798" s="50" t="str">
        <f aca="false">IF(O798&gt;0,W798/O798*1000,"")</f>
        <v/>
      </c>
      <c r="Y798" s="51" t="n">
        <f aca="false">IF(T798&lt;&gt;"",T798,INDEX('Cài đặt'!$B$20:$C$22,MATCH(I798,'Cài đặt'!$A$20:$A$22,0),IF(K798="AI tự động",1,2)))</f>
        <v>4</v>
      </c>
    </row>
    <row r="799" customFormat="false" ht="15" hidden="false" customHeight="false" outlineLevel="0" collapsed="false">
      <c r="A799" s="41" t="s">
        <v>1249</v>
      </c>
      <c r="B799" s="41" t="s">
        <v>958</v>
      </c>
      <c r="C799" s="41" t="s">
        <v>163</v>
      </c>
      <c r="D799" s="42" t="str">
        <f aca="false">INDEX('Page và Ngách'!$B$5:$B$10,MATCH(C799,'Page và Ngách'!$A$5:$A$10,0))</f>
        <v>Secret billionaire / CEO</v>
      </c>
      <c r="E799" s="41" t="n">
        <v>25</v>
      </c>
      <c r="F799" s="43" t="n">
        <f aca="false">'Cài đặt'!$B$39+E799-1</f>
        <v>46401</v>
      </c>
      <c r="G799" s="41" t="s">
        <v>444</v>
      </c>
      <c r="H799" s="44" t="str">
        <f aca="false">IF(G799="S1",'Cài đặt'!$B$7,'Cài đặt'!$B$8)</f>
        <v>12:00</v>
      </c>
      <c r="I799" s="44" t="str">
        <f aca="false">'Cài đặt'!$B$32</f>
        <v>Carousel</v>
      </c>
      <c r="J799" s="44" t="str">
        <f aca="false">'Cài đặt'!$B$33</f>
        <v>A</v>
      </c>
      <c r="K799" s="41" t="s">
        <v>445</v>
      </c>
      <c r="L799" s="42" t="str">
        <f aca="false">C799&amp;"_"&amp;B799&amp;"_"&amp;IF(I799="Reel","R",IF(I799="Carousel","C","I"))&amp;"_"&amp;J799&amp;"_"&amp;IF(K799="AI tự động","AI","HU")&amp;"_"&amp;RIGHT(A799,3)</f>
        <v>P2_EXP3_C_A_AI_049</v>
      </c>
      <c r="M799" s="45"/>
      <c r="N799" s="45"/>
      <c r="O799" s="46"/>
      <c r="P799" s="46"/>
      <c r="Q799" s="46"/>
      <c r="R799" s="47"/>
      <c r="S799" s="45"/>
      <c r="T799" s="45"/>
      <c r="U799" s="48" t="str">
        <f aca="false">IF(O799&gt;0,P799/O799,"")</f>
        <v/>
      </c>
      <c r="V799" s="49" t="str">
        <f aca="false">IF(P799&gt;0,Q799/P799,"")</f>
        <v/>
      </c>
      <c r="W799" s="50" t="n">
        <f aca="false">IF(R799&lt;&gt;"",R799,Q799*'Cài đặt'!$B$12)</f>
        <v>0</v>
      </c>
      <c r="X799" s="50" t="str">
        <f aca="false">IF(O799&gt;0,W799/O799*1000,"")</f>
        <v/>
      </c>
      <c r="Y799" s="51" t="n">
        <f aca="false">IF(T799&lt;&gt;"",T799,INDEX('Cài đặt'!$B$20:$C$22,MATCH(I799,'Cài đặt'!$A$20:$A$22,0),IF(K799="AI tự động",1,2)))</f>
        <v>4</v>
      </c>
    </row>
    <row r="800" customFormat="false" ht="15" hidden="false" customHeight="false" outlineLevel="0" collapsed="false">
      <c r="A800" s="41" t="s">
        <v>1250</v>
      </c>
      <c r="B800" s="41" t="s">
        <v>958</v>
      </c>
      <c r="C800" s="41" t="s">
        <v>163</v>
      </c>
      <c r="D800" s="42" t="str">
        <f aca="false">INDEX('Page và Ngách'!$B$5:$B$10,MATCH(C800,'Page và Ngách'!$A$5:$A$10,0))</f>
        <v>Secret billionaire / CEO</v>
      </c>
      <c r="E800" s="41" t="n">
        <v>25</v>
      </c>
      <c r="F800" s="43" t="n">
        <f aca="false">'Cài đặt'!$B$39+E800-1</f>
        <v>46401</v>
      </c>
      <c r="G800" s="41" t="s">
        <v>451</v>
      </c>
      <c r="H800" s="44" t="str">
        <f aca="false">IF(G800="S1",'Cài đặt'!$B$7,'Cài đặt'!$B$8)</f>
        <v>20:00</v>
      </c>
      <c r="I800" s="44" t="str">
        <f aca="false">'Cài đặt'!$B$32</f>
        <v>Carousel</v>
      </c>
      <c r="J800" s="44" t="str">
        <f aca="false">'Cài đặt'!$B$33</f>
        <v>A</v>
      </c>
      <c r="K800" s="41" t="s">
        <v>445</v>
      </c>
      <c r="L800" s="42" t="str">
        <f aca="false">C800&amp;"_"&amp;B800&amp;"_"&amp;IF(I800="Reel","R",IF(I800="Carousel","C","I"))&amp;"_"&amp;J800&amp;"_"&amp;IF(K800="AI tự động","AI","HU")&amp;"_"&amp;RIGHT(A800,3)</f>
        <v>P2_EXP3_C_A_AI_050</v>
      </c>
      <c r="M800" s="45"/>
      <c r="N800" s="45"/>
      <c r="O800" s="46"/>
      <c r="P800" s="46"/>
      <c r="Q800" s="46"/>
      <c r="R800" s="47"/>
      <c r="S800" s="45"/>
      <c r="T800" s="45"/>
      <c r="U800" s="48" t="str">
        <f aca="false">IF(O800&gt;0,P800/O800,"")</f>
        <v/>
      </c>
      <c r="V800" s="49" t="str">
        <f aca="false">IF(P800&gt;0,Q800/P800,"")</f>
        <v/>
      </c>
      <c r="W800" s="50" t="n">
        <f aca="false">IF(R800&lt;&gt;"",R800,Q800*'Cài đặt'!$B$12)</f>
        <v>0</v>
      </c>
      <c r="X800" s="50" t="str">
        <f aca="false">IF(O800&gt;0,W800/O800*1000,"")</f>
        <v/>
      </c>
      <c r="Y800" s="51" t="n">
        <f aca="false">IF(T800&lt;&gt;"",T800,INDEX('Cài đặt'!$B$20:$C$22,MATCH(I800,'Cài đặt'!$A$20:$A$22,0),IF(K800="AI tự động",1,2)))</f>
        <v>4</v>
      </c>
    </row>
    <row r="801" customFormat="false" ht="15" hidden="false" customHeight="false" outlineLevel="0" collapsed="false">
      <c r="A801" s="41" t="s">
        <v>1251</v>
      </c>
      <c r="B801" s="41" t="s">
        <v>958</v>
      </c>
      <c r="C801" s="41" t="s">
        <v>171</v>
      </c>
      <c r="D801" s="42" t="str">
        <f aca="false">INDEX('Page và Ngách'!$B$5:$B$10,MATCH(C801,'Page và Ngách'!$A$5:$A$10,0))</f>
        <v>Contract marriage / Fake relationship</v>
      </c>
      <c r="E801" s="41" t="n">
        <v>25</v>
      </c>
      <c r="F801" s="43" t="n">
        <f aca="false">'Cài đặt'!$B$39+E801-1</f>
        <v>46401</v>
      </c>
      <c r="G801" s="41" t="s">
        <v>444</v>
      </c>
      <c r="H801" s="44" t="str">
        <f aca="false">IF(G801="S1",'Cài đặt'!$B$7,'Cài đặt'!$B$8)</f>
        <v>12:00</v>
      </c>
      <c r="I801" s="44" t="str">
        <f aca="false">'Cài đặt'!$B$32</f>
        <v>Carousel</v>
      </c>
      <c r="J801" s="44" t="str">
        <f aca="false">'Cài đặt'!$B$33</f>
        <v>A</v>
      </c>
      <c r="K801" s="41" t="s">
        <v>445</v>
      </c>
      <c r="L801" s="42" t="str">
        <f aca="false">C801&amp;"_"&amp;B801&amp;"_"&amp;IF(I801="Reel","R",IF(I801="Carousel","C","I"))&amp;"_"&amp;J801&amp;"_"&amp;IF(K801="AI tự động","AI","HU")&amp;"_"&amp;RIGHT(A801,3)</f>
        <v>P3_EXP3_C_A_AI_049</v>
      </c>
      <c r="M801" s="45"/>
      <c r="N801" s="45"/>
      <c r="O801" s="46"/>
      <c r="P801" s="46"/>
      <c r="Q801" s="46"/>
      <c r="R801" s="47"/>
      <c r="S801" s="45"/>
      <c r="T801" s="45"/>
      <c r="U801" s="48" t="str">
        <f aca="false">IF(O801&gt;0,P801/O801,"")</f>
        <v/>
      </c>
      <c r="V801" s="49" t="str">
        <f aca="false">IF(P801&gt;0,Q801/P801,"")</f>
        <v/>
      </c>
      <c r="W801" s="50" t="n">
        <f aca="false">IF(R801&lt;&gt;"",R801,Q801*'Cài đặt'!$B$12)</f>
        <v>0</v>
      </c>
      <c r="X801" s="50" t="str">
        <f aca="false">IF(O801&gt;0,W801/O801*1000,"")</f>
        <v/>
      </c>
      <c r="Y801" s="51" t="n">
        <f aca="false">IF(T801&lt;&gt;"",T801,INDEX('Cài đặt'!$B$20:$C$22,MATCH(I801,'Cài đặt'!$A$20:$A$22,0),IF(K801="AI tự động",1,2)))</f>
        <v>4</v>
      </c>
    </row>
    <row r="802" customFormat="false" ht="15" hidden="false" customHeight="false" outlineLevel="0" collapsed="false">
      <c r="A802" s="41" t="s">
        <v>1252</v>
      </c>
      <c r="B802" s="41" t="s">
        <v>958</v>
      </c>
      <c r="C802" s="41" t="s">
        <v>171</v>
      </c>
      <c r="D802" s="42" t="str">
        <f aca="false">INDEX('Page và Ngách'!$B$5:$B$10,MATCH(C802,'Page và Ngách'!$A$5:$A$10,0))</f>
        <v>Contract marriage / Fake relationship</v>
      </c>
      <c r="E802" s="41" t="n">
        <v>25</v>
      </c>
      <c r="F802" s="43" t="n">
        <f aca="false">'Cài đặt'!$B$39+E802-1</f>
        <v>46401</v>
      </c>
      <c r="G802" s="41" t="s">
        <v>451</v>
      </c>
      <c r="H802" s="44" t="str">
        <f aca="false">IF(G802="S1",'Cài đặt'!$B$7,'Cài đặt'!$B$8)</f>
        <v>20:00</v>
      </c>
      <c r="I802" s="44" t="str">
        <f aca="false">'Cài đặt'!$B$32</f>
        <v>Carousel</v>
      </c>
      <c r="J802" s="44" t="str">
        <f aca="false">'Cài đặt'!$B$33</f>
        <v>A</v>
      </c>
      <c r="K802" s="41" t="s">
        <v>961</v>
      </c>
      <c r="L802" s="42" t="str">
        <f aca="false">C802&amp;"_"&amp;B802&amp;"_"&amp;IF(I802="Reel","R",IF(I802="Carousel","C","I"))&amp;"_"&amp;J802&amp;"_"&amp;IF(K802="AI tự động","AI","HU")&amp;"_"&amp;RIGHT(A802,3)</f>
        <v>P3_EXP3_C_A_HU_050</v>
      </c>
      <c r="M802" s="45"/>
      <c r="N802" s="45"/>
      <c r="O802" s="46"/>
      <c r="P802" s="46"/>
      <c r="Q802" s="46"/>
      <c r="R802" s="47"/>
      <c r="S802" s="45"/>
      <c r="T802" s="45"/>
      <c r="U802" s="48" t="str">
        <f aca="false">IF(O802&gt;0,P802/O802,"")</f>
        <v/>
      </c>
      <c r="V802" s="49" t="str">
        <f aca="false">IF(P802&gt;0,Q802/P802,"")</f>
        <v/>
      </c>
      <c r="W802" s="50" t="n">
        <f aca="false">IF(R802&lt;&gt;"",R802,Q802*'Cài đặt'!$B$12)</f>
        <v>0</v>
      </c>
      <c r="X802" s="50" t="str">
        <f aca="false">IF(O802&gt;0,W802/O802*1000,"")</f>
        <v/>
      </c>
      <c r="Y802" s="51" t="n">
        <f aca="false">IF(T802&lt;&gt;"",T802,INDEX('Cài đặt'!$B$20:$C$22,MATCH(I802,'Cài đặt'!$A$20:$A$22,0),IF(K802="AI tự động",1,2)))</f>
        <v>25</v>
      </c>
    </row>
    <row r="803" customFormat="false" ht="15" hidden="false" customHeight="false" outlineLevel="0" collapsed="false">
      <c r="A803" s="41" t="s">
        <v>1253</v>
      </c>
      <c r="B803" s="41" t="s">
        <v>958</v>
      </c>
      <c r="C803" s="41" t="s">
        <v>178</v>
      </c>
      <c r="D803" s="42" t="str">
        <f aca="false">INDEX('Page và Ngách'!$B$5:$B$10,MATCH(C803,'Page và Ngách'!$A$5:$A$10,0))</f>
        <v>Revenge / Betrayal ("you'll regret it")</v>
      </c>
      <c r="E803" s="41" t="n">
        <v>25</v>
      </c>
      <c r="F803" s="43" t="n">
        <f aca="false">'Cài đặt'!$B$39+E803-1</f>
        <v>46401</v>
      </c>
      <c r="G803" s="41" t="s">
        <v>444</v>
      </c>
      <c r="H803" s="44" t="str">
        <f aca="false">IF(G803="S1",'Cài đặt'!$B$7,'Cài đặt'!$B$8)</f>
        <v>12:00</v>
      </c>
      <c r="I803" s="44" t="str">
        <f aca="false">'Cài đặt'!$B$32</f>
        <v>Carousel</v>
      </c>
      <c r="J803" s="44" t="str">
        <f aca="false">'Cài đặt'!$B$33</f>
        <v>A</v>
      </c>
      <c r="K803" s="41" t="s">
        <v>445</v>
      </c>
      <c r="L803" s="42" t="str">
        <f aca="false">C803&amp;"_"&amp;B803&amp;"_"&amp;IF(I803="Reel","R",IF(I803="Carousel","C","I"))&amp;"_"&amp;J803&amp;"_"&amp;IF(K803="AI tự động","AI","HU")&amp;"_"&amp;RIGHT(A803,3)</f>
        <v>P4_EXP3_C_A_AI_049</v>
      </c>
      <c r="M803" s="45"/>
      <c r="N803" s="45"/>
      <c r="O803" s="46"/>
      <c r="P803" s="46"/>
      <c r="Q803" s="46"/>
      <c r="R803" s="47"/>
      <c r="S803" s="45"/>
      <c r="T803" s="45"/>
      <c r="U803" s="48" t="str">
        <f aca="false">IF(O803&gt;0,P803/O803,"")</f>
        <v/>
      </c>
      <c r="V803" s="49" t="str">
        <f aca="false">IF(P803&gt;0,Q803/P803,"")</f>
        <v/>
      </c>
      <c r="W803" s="50" t="n">
        <f aca="false">IF(R803&lt;&gt;"",R803,Q803*'Cài đặt'!$B$12)</f>
        <v>0</v>
      </c>
      <c r="X803" s="50" t="str">
        <f aca="false">IF(O803&gt;0,W803/O803*1000,"")</f>
        <v/>
      </c>
      <c r="Y803" s="51" t="n">
        <f aca="false">IF(T803&lt;&gt;"",T803,INDEX('Cài đặt'!$B$20:$C$22,MATCH(I803,'Cài đặt'!$A$20:$A$22,0),IF(K803="AI tự động",1,2)))</f>
        <v>4</v>
      </c>
    </row>
    <row r="804" customFormat="false" ht="15" hidden="false" customHeight="false" outlineLevel="0" collapsed="false">
      <c r="A804" s="41" t="s">
        <v>1254</v>
      </c>
      <c r="B804" s="41" t="s">
        <v>958</v>
      </c>
      <c r="C804" s="41" t="s">
        <v>178</v>
      </c>
      <c r="D804" s="42" t="str">
        <f aca="false">INDEX('Page và Ngách'!$B$5:$B$10,MATCH(C804,'Page và Ngách'!$A$5:$A$10,0))</f>
        <v>Revenge / Betrayal ("you'll regret it")</v>
      </c>
      <c r="E804" s="41" t="n">
        <v>25</v>
      </c>
      <c r="F804" s="43" t="n">
        <f aca="false">'Cài đặt'!$B$39+E804-1</f>
        <v>46401</v>
      </c>
      <c r="G804" s="41" t="s">
        <v>451</v>
      </c>
      <c r="H804" s="44" t="str">
        <f aca="false">IF(G804="S1",'Cài đặt'!$B$7,'Cài đặt'!$B$8)</f>
        <v>20:00</v>
      </c>
      <c r="I804" s="44" t="str">
        <f aca="false">'Cài đặt'!$B$32</f>
        <v>Carousel</v>
      </c>
      <c r="J804" s="44" t="str">
        <f aca="false">'Cài đặt'!$B$33</f>
        <v>A</v>
      </c>
      <c r="K804" s="41" t="s">
        <v>445</v>
      </c>
      <c r="L804" s="42" t="str">
        <f aca="false">C804&amp;"_"&amp;B804&amp;"_"&amp;IF(I804="Reel","R",IF(I804="Carousel","C","I"))&amp;"_"&amp;J804&amp;"_"&amp;IF(K804="AI tự động","AI","HU")&amp;"_"&amp;RIGHT(A804,3)</f>
        <v>P4_EXP3_C_A_AI_050</v>
      </c>
      <c r="M804" s="45"/>
      <c r="N804" s="45"/>
      <c r="O804" s="46"/>
      <c r="P804" s="46"/>
      <c r="Q804" s="46"/>
      <c r="R804" s="47"/>
      <c r="S804" s="45"/>
      <c r="T804" s="45"/>
      <c r="U804" s="48" t="str">
        <f aca="false">IF(O804&gt;0,P804/O804,"")</f>
        <v/>
      </c>
      <c r="V804" s="49" t="str">
        <f aca="false">IF(P804&gt;0,Q804/P804,"")</f>
        <v/>
      </c>
      <c r="W804" s="50" t="n">
        <f aca="false">IF(R804&lt;&gt;"",R804,Q804*'Cài đặt'!$B$12)</f>
        <v>0</v>
      </c>
      <c r="X804" s="50" t="str">
        <f aca="false">IF(O804&gt;0,W804/O804*1000,"")</f>
        <v/>
      </c>
      <c r="Y804" s="51" t="n">
        <f aca="false">IF(T804&lt;&gt;"",T804,INDEX('Cài đặt'!$B$20:$C$22,MATCH(I804,'Cài đặt'!$A$20:$A$22,0),IF(K804="AI tự động",1,2)))</f>
        <v>4</v>
      </c>
    </row>
    <row r="805" customFormat="false" ht="15" hidden="false" customHeight="false" outlineLevel="0" collapsed="false">
      <c r="A805" s="41" t="s">
        <v>1255</v>
      </c>
      <c r="B805" s="41" t="s">
        <v>958</v>
      </c>
      <c r="C805" s="41" t="s">
        <v>185</v>
      </c>
      <c r="D805" s="42" t="str">
        <f aca="false">INDEX('Page và Ngách'!$B$5:$B$10,MATCH(C805,'Page và Ngách'!$A$5:$A$10,0))</f>
        <v>Mafia / Dark romance (teaser PG-13)</v>
      </c>
      <c r="E805" s="41" t="n">
        <v>25</v>
      </c>
      <c r="F805" s="43" t="n">
        <f aca="false">'Cài đặt'!$B$39+E805-1</f>
        <v>46401</v>
      </c>
      <c r="G805" s="41" t="s">
        <v>444</v>
      </c>
      <c r="H805" s="44" t="str">
        <f aca="false">IF(G805="S1",'Cài đặt'!$B$7,'Cài đặt'!$B$8)</f>
        <v>12:00</v>
      </c>
      <c r="I805" s="44" t="str">
        <f aca="false">'Cài đặt'!$B$32</f>
        <v>Carousel</v>
      </c>
      <c r="J805" s="44" t="str">
        <f aca="false">'Cài đặt'!$B$33</f>
        <v>A</v>
      </c>
      <c r="K805" s="41" t="s">
        <v>445</v>
      </c>
      <c r="L805" s="42" t="str">
        <f aca="false">C805&amp;"_"&amp;B805&amp;"_"&amp;IF(I805="Reel","R",IF(I805="Carousel","C","I"))&amp;"_"&amp;J805&amp;"_"&amp;IF(K805="AI tự động","AI","HU")&amp;"_"&amp;RIGHT(A805,3)</f>
        <v>P5_EXP3_C_A_AI_049</v>
      </c>
      <c r="M805" s="45"/>
      <c r="N805" s="45"/>
      <c r="O805" s="46"/>
      <c r="P805" s="46"/>
      <c r="Q805" s="46"/>
      <c r="R805" s="47"/>
      <c r="S805" s="45"/>
      <c r="T805" s="45"/>
      <c r="U805" s="48" t="str">
        <f aca="false">IF(O805&gt;0,P805/O805,"")</f>
        <v/>
      </c>
      <c r="V805" s="49" t="str">
        <f aca="false">IF(P805&gt;0,Q805/P805,"")</f>
        <v/>
      </c>
      <c r="W805" s="50" t="n">
        <f aca="false">IF(R805&lt;&gt;"",R805,Q805*'Cài đặt'!$B$12)</f>
        <v>0</v>
      </c>
      <c r="X805" s="50" t="str">
        <f aca="false">IF(O805&gt;0,W805/O805*1000,"")</f>
        <v/>
      </c>
      <c r="Y805" s="51" t="n">
        <f aca="false">IF(T805&lt;&gt;"",T805,INDEX('Cài đặt'!$B$20:$C$22,MATCH(I805,'Cài đặt'!$A$20:$A$22,0),IF(K805="AI tự động",1,2)))</f>
        <v>4</v>
      </c>
    </row>
    <row r="806" customFormat="false" ht="15" hidden="false" customHeight="false" outlineLevel="0" collapsed="false">
      <c r="A806" s="41" t="s">
        <v>1256</v>
      </c>
      <c r="B806" s="41" t="s">
        <v>958</v>
      </c>
      <c r="C806" s="41" t="s">
        <v>185</v>
      </c>
      <c r="D806" s="42" t="str">
        <f aca="false">INDEX('Page và Ngách'!$B$5:$B$10,MATCH(C806,'Page và Ngách'!$A$5:$A$10,0))</f>
        <v>Mafia / Dark romance (teaser PG-13)</v>
      </c>
      <c r="E806" s="41" t="n">
        <v>25</v>
      </c>
      <c r="F806" s="43" t="n">
        <f aca="false">'Cài đặt'!$B$39+E806-1</f>
        <v>46401</v>
      </c>
      <c r="G806" s="41" t="s">
        <v>451</v>
      </c>
      <c r="H806" s="44" t="str">
        <f aca="false">IF(G806="S1",'Cài đặt'!$B$7,'Cài đặt'!$B$8)</f>
        <v>20:00</v>
      </c>
      <c r="I806" s="44" t="str">
        <f aca="false">'Cài đặt'!$B$32</f>
        <v>Carousel</v>
      </c>
      <c r="J806" s="44" t="str">
        <f aca="false">'Cài đặt'!$B$33</f>
        <v>A</v>
      </c>
      <c r="K806" s="41" t="s">
        <v>445</v>
      </c>
      <c r="L806" s="42" t="str">
        <f aca="false">C806&amp;"_"&amp;B806&amp;"_"&amp;IF(I806="Reel","R",IF(I806="Carousel","C","I"))&amp;"_"&amp;J806&amp;"_"&amp;IF(K806="AI tự động","AI","HU")&amp;"_"&amp;RIGHT(A806,3)</f>
        <v>P5_EXP3_C_A_AI_050</v>
      </c>
      <c r="M806" s="45"/>
      <c r="N806" s="45"/>
      <c r="O806" s="46"/>
      <c r="P806" s="46"/>
      <c r="Q806" s="46"/>
      <c r="R806" s="47"/>
      <c r="S806" s="45"/>
      <c r="T806" s="45"/>
      <c r="U806" s="48" t="str">
        <f aca="false">IF(O806&gt;0,P806/O806,"")</f>
        <v/>
      </c>
      <c r="V806" s="49" t="str">
        <f aca="false">IF(P806&gt;0,Q806/P806,"")</f>
        <v/>
      </c>
      <c r="W806" s="50" t="n">
        <f aca="false">IF(R806&lt;&gt;"",R806,Q806*'Cài đặt'!$B$12)</f>
        <v>0</v>
      </c>
      <c r="X806" s="50" t="str">
        <f aca="false">IF(O806&gt;0,W806/O806*1000,"")</f>
        <v/>
      </c>
      <c r="Y806" s="51" t="n">
        <f aca="false">IF(T806&lt;&gt;"",T806,INDEX('Cài đặt'!$B$20:$C$22,MATCH(I806,'Cài đặt'!$A$20:$A$22,0),IF(K806="AI tự động",1,2)))</f>
        <v>4</v>
      </c>
    </row>
    <row r="807" customFormat="false" ht="15" hidden="false" customHeight="false" outlineLevel="0" collapsed="false">
      <c r="A807" s="41" t="s">
        <v>1257</v>
      </c>
      <c r="B807" s="41" t="s">
        <v>958</v>
      </c>
      <c r="C807" s="41" t="s">
        <v>193</v>
      </c>
      <c r="D807" s="42" t="str">
        <f aca="false">INDEX('Page và Ngách'!$B$5:$B$10,MATCH(C807,'Page và Ngách'!$A$5:$A$10,0))</f>
        <v>Second chance / Secret baby</v>
      </c>
      <c r="E807" s="41" t="n">
        <v>25</v>
      </c>
      <c r="F807" s="43" t="n">
        <f aca="false">'Cài đặt'!$B$39+E807-1</f>
        <v>46401</v>
      </c>
      <c r="G807" s="41" t="s">
        <v>444</v>
      </c>
      <c r="H807" s="44" t="str">
        <f aca="false">IF(G807="S1",'Cài đặt'!$B$7,'Cài đặt'!$B$8)</f>
        <v>12:00</v>
      </c>
      <c r="I807" s="44" t="str">
        <f aca="false">'Cài đặt'!$B$32</f>
        <v>Carousel</v>
      </c>
      <c r="J807" s="44" t="str">
        <f aca="false">'Cài đặt'!$B$33</f>
        <v>A</v>
      </c>
      <c r="K807" s="41" t="s">
        <v>961</v>
      </c>
      <c r="L807" s="42" t="str">
        <f aca="false">C807&amp;"_"&amp;B807&amp;"_"&amp;IF(I807="Reel","R",IF(I807="Carousel","C","I"))&amp;"_"&amp;J807&amp;"_"&amp;IF(K807="AI tự động","AI","HU")&amp;"_"&amp;RIGHT(A807,3)</f>
        <v>P6_EXP3_C_A_HU_049</v>
      </c>
      <c r="M807" s="45"/>
      <c r="N807" s="45"/>
      <c r="O807" s="46"/>
      <c r="P807" s="46"/>
      <c r="Q807" s="46"/>
      <c r="R807" s="47"/>
      <c r="S807" s="45"/>
      <c r="T807" s="45"/>
      <c r="U807" s="48" t="str">
        <f aca="false">IF(O807&gt;0,P807/O807,"")</f>
        <v/>
      </c>
      <c r="V807" s="49" t="str">
        <f aca="false">IF(P807&gt;0,Q807/P807,"")</f>
        <v/>
      </c>
      <c r="W807" s="50" t="n">
        <f aca="false">IF(R807&lt;&gt;"",R807,Q807*'Cài đặt'!$B$12)</f>
        <v>0</v>
      </c>
      <c r="X807" s="50" t="str">
        <f aca="false">IF(O807&gt;0,W807/O807*1000,"")</f>
        <v/>
      </c>
      <c r="Y807" s="51" t="n">
        <f aca="false">IF(T807&lt;&gt;"",T807,INDEX('Cài đặt'!$B$20:$C$22,MATCH(I807,'Cài đặt'!$A$20:$A$22,0),IF(K807="AI tự động",1,2)))</f>
        <v>25</v>
      </c>
    </row>
    <row r="808" customFormat="false" ht="15" hidden="false" customHeight="false" outlineLevel="0" collapsed="false">
      <c r="A808" s="41" t="s">
        <v>1258</v>
      </c>
      <c r="B808" s="41" t="s">
        <v>958</v>
      </c>
      <c r="C808" s="41" t="s">
        <v>193</v>
      </c>
      <c r="D808" s="42" t="str">
        <f aca="false">INDEX('Page và Ngách'!$B$5:$B$10,MATCH(C808,'Page và Ngách'!$A$5:$A$10,0))</f>
        <v>Second chance / Secret baby</v>
      </c>
      <c r="E808" s="41" t="n">
        <v>25</v>
      </c>
      <c r="F808" s="43" t="n">
        <f aca="false">'Cài đặt'!$B$39+E808-1</f>
        <v>46401</v>
      </c>
      <c r="G808" s="41" t="s">
        <v>451</v>
      </c>
      <c r="H808" s="44" t="str">
        <f aca="false">IF(G808="S1",'Cài đặt'!$B$7,'Cài đặt'!$B$8)</f>
        <v>20:00</v>
      </c>
      <c r="I808" s="44" t="str">
        <f aca="false">'Cài đặt'!$B$32</f>
        <v>Carousel</v>
      </c>
      <c r="J808" s="44" t="str">
        <f aca="false">'Cài đặt'!$B$33</f>
        <v>A</v>
      </c>
      <c r="K808" s="41" t="s">
        <v>445</v>
      </c>
      <c r="L808" s="42" t="str">
        <f aca="false">C808&amp;"_"&amp;B808&amp;"_"&amp;IF(I808="Reel","R",IF(I808="Carousel","C","I"))&amp;"_"&amp;J808&amp;"_"&amp;IF(K808="AI tự động","AI","HU")&amp;"_"&amp;RIGHT(A808,3)</f>
        <v>P6_EXP3_C_A_AI_050</v>
      </c>
      <c r="M808" s="45"/>
      <c r="N808" s="45"/>
      <c r="O808" s="46"/>
      <c r="P808" s="46"/>
      <c r="Q808" s="46"/>
      <c r="R808" s="47"/>
      <c r="S808" s="45"/>
      <c r="T808" s="45"/>
      <c r="U808" s="48" t="str">
        <f aca="false">IF(O808&gt;0,P808/O808,"")</f>
        <v/>
      </c>
      <c r="V808" s="49" t="str">
        <f aca="false">IF(P808&gt;0,Q808/P808,"")</f>
        <v/>
      </c>
      <c r="W808" s="50" t="n">
        <f aca="false">IF(R808&lt;&gt;"",R808,Q808*'Cài đặt'!$B$12)</f>
        <v>0</v>
      </c>
      <c r="X808" s="50" t="str">
        <f aca="false">IF(O808&gt;0,W808/O808*1000,"")</f>
        <v/>
      </c>
      <c r="Y808" s="51" t="n">
        <f aca="false">IF(T808&lt;&gt;"",T808,INDEX('Cài đặt'!$B$20:$C$22,MATCH(I808,'Cài đặt'!$A$20:$A$22,0),IF(K808="AI tự động",1,2)))</f>
        <v>4</v>
      </c>
    </row>
    <row r="809" customFormat="false" ht="15" hidden="false" customHeight="false" outlineLevel="0" collapsed="false">
      <c r="A809" s="41" t="s">
        <v>1259</v>
      </c>
      <c r="B809" s="41" t="s">
        <v>958</v>
      </c>
      <c r="C809" s="41" t="s">
        <v>154</v>
      </c>
      <c r="D809" s="42" t="str">
        <f aca="false">INDEX('Page và Ngách'!$B$5:$B$10,MATCH(C809,'Page và Ngách'!$A$5:$A$10,0))</f>
        <v>Werewolf / Rejected mate</v>
      </c>
      <c r="E809" s="41" t="n">
        <v>26</v>
      </c>
      <c r="F809" s="43" t="n">
        <f aca="false">'Cài đặt'!$B$39+E809-1</f>
        <v>46402</v>
      </c>
      <c r="G809" s="41" t="s">
        <v>444</v>
      </c>
      <c r="H809" s="44" t="str">
        <f aca="false">IF(G809="S1",'Cài đặt'!$B$7,'Cài đặt'!$B$8)</f>
        <v>12:00</v>
      </c>
      <c r="I809" s="44" t="str">
        <f aca="false">'Cài đặt'!$B$32</f>
        <v>Carousel</v>
      </c>
      <c r="J809" s="44" t="str">
        <f aca="false">'Cài đặt'!$B$33</f>
        <v>A</v>
      </c>
      <c r="K809" s="41" t="s">
        <v>445</v>
      </c>
      <c r="L809" s="42" t="str">
        <f aca="false">C809&amp;"_"&amp;B809&amp;"_"&amp;IF(I809="Reel","R",IF(I809="Carousel","C","I"))&amp;"_"&amp;J809&amp;"_"&amp;IF(K809="AI tự động","AI","HU")&amp;"_"&amp;RIGHT(A809,3)</f>
        <v>P1_EXP3_C_A_AI_051</v>
      </c>
      <c r="M809" s="45"/>
      <c r="N809" s="45"/>
      <c r="O809" s="46"/>
      <c r="P809" s="46"/>
      <c r="Q809" s="46"/>
      <c r="R809" s="47"/>
      <c r="S809" s="45"/>
      <c r="T809" s="45"/>
      <c r="U809" s="48" t="str">
        <f aca="false">IF(O809&gt;0,P809/O809,"")</f>
        <v/>
      </c>
      <c r="V809" s="49" t="str">
        <f aca="false">IF(P809&gt;0,Q809/P809,"")</f>
        <v/>
      </c>
      <c r="W809" s="50" t="n">
        <f aca="false">IF(R809&lt;&gt;"",R809,Q809*'Cài đặt'!$B$12)</f>
        <v>0</v>
      </c>
      <c r="X809" s="50" t="str">
        <f aca="false">IF(O809&gt;0,W809/O809*1000,"")</f>
        <v/>
      </c>
      <c r="Y809" s="51" t="n">
        <f aca="false">IF(T809&lt;&gt;"",T809,INDEX('Cài đặt'!$B$20:$C$22,MATCH(I809,'Cài đặt'!$A$20:$A$22,0),IF(K809="AI tự động",1,2)))</f>
        <v>4</v>
      </c>
    </row>
    <row r="810" customFormat="false" ht="15" hidden="false" customHeight="false" outlineLevel="0" collapsed="false">
      <c r="A810" s="41" t="s">
        <v>1260</v>
      </c>
      <c r="B810" s="41" t="s">
        <v>958</v>
      </c>
      <c r="C810" s="41" t="s">
        <v>154</v>
      </c>
      <c r="D810" s="42" t="str">
        <f aca="false">INDEX('Page và Ngách'!$B$5:$B$10,MATCH(C810,'Page và Ngách'!$A$5:$A$10,0))</f>
        <v>Werewolf / Rejected mate</v>
      </c>
      <c r="E810" s="41" t="n">
        <v>26</v>
      </c>
      <c r="F810" s="43" t="n">
        <f aca="false">'Cài đặt'!$B$39+E810-1</f>
        <v>46402</v>
      </c>
      <c r="G810" s="41" t="s">
        <v>451</v>
      </c>
      <c r="H810" s="44" t="str">
        <f aca="false">IF(G810="S1",'Cài đặt'!$B$7,'Cài đặt'!$B$8)</f>
        <v>20:00</v>
      </c>
      <c r="I810" s="44" t="str">
        <f aca="false">'Cài đặt'!$B$32</f>
        <v>Carousel</v>
      </c>
      <c r="J810" s="44" t="str">
        <f aca="false">'Cài đặt'!$B$33</f>
        <v>A</v>
      </c>
      <c r="K810" s="41" t="s">
        <v>445</v>
      </c>
      <c r="L810" s="42" t="str">
        <f aca="false">C810&amp;"_"&amp;B810&amp;"_"&amp;IF(I810="Reel","R",IF(I810="Carousel","C","I"))&amp;"_"&amp;J810&amp;"_"&amp;IF(K810="AI tự động","AI","HU")&amp;"_"&amp;RIGHT(A810,3)</f>
        <v>P1_EXP3_C_A_AI_052</v>
      </c>
      <c r="M810" s="45"/>
      <c r="N810" s="45"/>
      <c r="O810" s="46"/>
      <c r="P810" s="46"/>
      <c r="Q810" s="46"/>
      <c r="R810" s="47"/>
      <c r="S810" s="45"/>
      <c r="T810" s="45"/>
      <c r="U810" s="48" t="str">
        <f aca="false">IF(O810&gt;0,P810/O810,"")</f>
        <v/>
      </c>
      <c r="V810" s="49" t="str">
        <f aca="false">IF(P810&gt;0,Q810/P810,"")</f>
        <v/>
      </c>
      <c r="W810" s="50" t="n">
        <f aca="false">IF(R810&lt;&gt;"",R810,Q810*'Cài đặt'!$B$12)</f>
        <v>0</v>
      </c>
      <c r="X810" s="50" t="str">
        <f aca="false">IF(O810&gt;0,W810/O810*1000,"")</f>
        <v/>
      </c>
      <c r="Y810" s="51" t="n">
        <f aca="false">IF(T810&lt;&gt;"",T810,INDEX('Cài đặt'!$B$20:$C$22,MATCH(I810,'Cài đặt'!$A$20:$A$22,0),IF(K810="AI tự động",1,2)))</f>
        <v>4</v>
      </c>
    </row>
    <row r="811" customFormat="false" ht="15" hidden="false" customHeight="false" outlineLevel="0" collapsed="false">
      <c r="A811" s="41" t="s">
        <v>1261</v>
      </c>
      <c r="B811" s="41" t="s">
        <v>958</v>
      </c>
      <c r="C811" s="41" t="s">
        <v>163</v>
      </c>
      <c r="D811" s="42" t="str">
        <f aca="false">INDEX('Page và Ngách'!$B$5:$B$10,MATCH(C811,'Page và Ngách'!$A$5:$A$10,0))</f>
        <v>Secret billionaire / CEO</v>
      </c>
      <c r="E811" s="41" t="n">
        <v>26</v>
      </c>
      <c r="F811" s="43" t="n">
        <f aca="false">'Cài đặt'!$B$39+E811-1</f>
        <v>46402</v>
      </c>
      <c r="G811" s="41" t="s">
        <v>444</v>
      </c>
      <c r="H811" s="44" t="str">
        <f aca="false">IF(G811="S1",'Cài đặt'!$B$7,'Cài đặt'!$B$8)</f>
        <v>12:00</v>
      </c>
      <c r="I811" s="44" t="str">
        <f aca="false">'Cài đặt'!$B$32</f>
        <v>Carousel</v>
      </c>
      <c r="J811" s="44" t="str">
        <f aca="false">'Cài đặt'!$B$33</f>
        <v>A</v>
      </c>
      <c r="K811" s="41" t="s">
        <v>445</v>
      </c>
      <c r="L811" s="42" t="str">
        <f aca="false">C811&amp;"_"&amp;B811&amp;"_"&amp;IF(I811="Reel","R",IF(I811="Carousel","C","I"))&amp;"_"&amp;J811&amp;"_"&amp;IF(K811="AI tự động","AI","HU")&amp;"_"&amp;RIGHT(A811,3)</f>
        <v>P2_EXP3_C_A_AI_051</v>
      </c>
      <c r="M811" s="45"/>
      <c r="N811" s="45"/>
      <c r="O811" s="46"/>
      <c r="P811" s="46"/>
      <c r="Q811" s="46"/>
      <c r="R811" s="47"/>
      <c r="S811" s="45"/>
      <c r="T811" s="45"/>
      <c r="U811" s="48" t="str">
        <f aca="false">IF(O811&gt;0,P811/O811,"")</f>
        <v/>
      </c>
      <c r="V811" s="49" t="str">
        <f aca="false">IF(P811&gt;0,Q811/P811,"")</f>
        <v/>
      </c>
      <c r="W811" s="50" t="n">
        <f aca="false">IF(R811&lt;&gt;"",R811,Q811*'Cài đặt'!$B$12)</f>
        <v>0</v>
      </c>
      <c r="X811" s="50" t="str">
        <f aca="false">IF(O811&gt;0,W811/O811*1000,"")</f>
        <v/>
      </c>
      <c r="Y811" s="51" t="n">
        <f aca="false">IF(T811&lt;&gt;"",T811,INDEX('Cài đặt'!$B$20:$C$22,MATCH(I811,'Cài đặt'!$A$20:$A$22,0),IF(K811="AI tự động",1,2)))</f>
        <v>4</v>
      </c>
    </row>
    <row r="812" customFormat="false" ht="15" hidden="false" customHeight="false" outlineLevel="0" collapsed="false">
      <c r="A812" s="41" t="s">
        <v>1262</v>
      </c>
      <c r="B812" s="41" t="s">
        <v>958</v>
      </c>
      <c r="C812" s="41" t="s">
        <v>163</v>
      </c>
      <c r="D812" s="42" t="str">
        <f aca="false">INDEX('Page và Ngách'!$B$5:$B$10,MATCH(C812,'Page và Ngách'!$A$5:$A$10,0))</f>
        <v>Secret billionaire / CEO</v>
      </c>
      <c r="E812" s="41" t="n">
        <v>26</v>
      </c>
      <c r="F812" s="43" t="n">
        <f aca="false">'Cài đặt'!$B$39+E812-1</f>
        <v>46402</v>
      </c>
      <c r="G812" s="41" t="s">
        <v>451</v>
      </c>
      <c r="H812" s="44" t="str">
        <f aca="false">IF(G812="S1",'Cài đặt'!$B$7,'Cài đặt'!$B$8)</f>
        <v>20:00</v>
      </c>
      <c r="I812" s="44" t="str">
        <f aca="false">'Cài đặt'!$B$32</f>
        <v>Carousel</v>
      </c>
      <c r="J812" s="44" t="str">
        <f aca="false">'Cài đặt'!$B$33</f>
        <v>A</v>
      </c>
      <c r="K812" s="41" t="s">
        <v>961</v>
      </c>
      <c r="L812" s="42" t="str">
        <f aca="false">C812&amp;"_"&amp;B812&amp;"_"&amp;IF(I812="Reel","R",IF(I812="Carousel","C","I"))&amp;"_"&amp;J812&amp;"_"&amp;IF(K812="AI tự động","AI","HU")&amp;"_"&amp;RIGHT(A812,3)</f>
        <v>P2_EXP3_C_A_HU_052</v>
      </c>
      <c r="M812" s="45"/>
      <c r="N812" s="45"/>
      <c r="O812" s="46"/>
      <c r="P812" s="46"/>
      <c r="Q812" s="46"/>
      <c r="R812" s="47"/>
      <c r="S812" s="45"/>
      <c r="T812" s="45"/>
      <c r="U812" s="48" t="str">
        <f aca="false">IF(O812&gt;0,P812/O812,"")</f>
        <v/>
      </c>
      <c r="V812" s="49" t="str">
        <f aca="false">IF(P812&gt;0,Q812/P812,"")</f>
        <v/>
      </c>
      <c r="W812" s="50" t="n">
        <f aca="false">IF(R812&lt;&gt;"",R812,Q812*'Cài đặt'!$B$12)</f>
        <v>0</v>
      </c>
      <c r="X812" s="50" t="str">
        <f aca="false">IF(O812&gt;0,W812/O812*1000,"")</f>
        <v/>
      </c>
      <c r="Y812" s="51" t="n">
        <f aca="false">IF(T812&lt;&gt;"",T812,INDEX('Cài đặt'!$B$20:$C$22,MATCH(I812,'Cài đặt'!$A$20:$A$22,0),IF(K812="AI tự động",1,2)))</f>
        <v>25</v>
      </c>
    </row>
    <row r="813" customFormat="false" ht="15" hidden="false" customHeight="false" outlineLevel="0" collapsed="false">
      <c r="A813" s="41" t="s">
        <v>1263</v>
      </c>
      <c r="B813" s="41" t="s">
        <v>958</v>
      </c>
      <c r="C813" s="41" t="s">
        <v>171</v>
      </c>
      <c r="D813" s="42" t="str">
        <f aca="false">INDEX('Page và Ngách'!$B$5:$B$10,MATCH(C813,'Page và Ngách'!$A$5:$A$10,0))</f>
        <v>Contract marriage / Fake relationship</v>
      </c>
      <c r="E813" s="41" t="n">
        <v>26</v>
      </c>
      <c r="F813" s="43" t="n">
        <f aca="false">'Cài đặt'!$B$39+E813-1</f>
        <v>46402</v>
      </c>
      <c r="G813" s="41" t="s">
        <v>444</v>
      </c>
      <c r="H813" s="44" t="str">
        <f aca="false">IF(G813="S1",'Cài đặt'!$B$7,'Cài đặt'!$B$8)</f>
        <v>12:00</v>
      </c>
      <c r="I813" s="44" t="str">
        <f aca="false">'Cài đặt'!$B$32</f>
        <v>Carousel</v>
      </c>
      <c r="J813" s="44" t="str">
        <f aca="false">'Cài đặt'!$B$33</f>
        <v>A</v>
      </c>
      <c r="K813" s="41" t="s">
        <v>445</v>
      </c>
      <c r="L813" s="42" t="str">
        <f aca="false">C813&amp;"_"&amp;B813&amp;"_"&amp;IF(I813="Reel","R",IF(I813="Carousel","C","I"))&amp;"_"&amp;J813&amp;"_"&amp;IF(K813="AI tự động","AI","HU")&amp;"_"&amp;RIGHT(A813,3)</f>
        <v>P3_EXP3_C_A_AI_051</v>
      </c>
      <c r="M813" s="45"/>
      <c r="N813" s="45"/>
      <c r="O813" s="46"/>
      <c r="P813" s="46"/>
      <c r="Q813" s="46"/>
      <c r="R813" s="47"/>
      <c r="S813" s="45"/>
      <c r="T813" s="45"/>
      <c r="U813" s="48" t="str">
        <f aca="false">IF(O813&gt;0,P813/O813,"")</f>
        <v/>
      </c>
      <c r="V813" s="49" t="str">
        <f aca="false">IF(P813&gt;0,Q813/P813,"")</f>
        <v/>
      </c>
      <c r="W813" s="50" t="n">
        <f aca="false">IF(R813&lt;&gt;"",R813,Q813*'Cài đặt'!$B$12)</f>
        <v>0</v>
      </c>
      <c r="X813" s="50" t="str">
        <f aca="false">IF(O813&gt;0,W813/O813*1000,"")</f>
        <v/>
      </c>
      <c r="Y813" s="51" t="n">
        <f aca="false">IF(T813&lt;&gt;"",T813,INDEX('Cài đặt'!$B$20:$C$22,MATCH(I813,'Cài đặt'!$A$20:$A$22,0),IF(K813="AI tự động",1,2)))</f>
        <v>4</v>
      </c>
    </row>
    <row r="814" customFormat="false" ht="15" hidden="false" customHeight="false" outlineLevel="0" collapsed="false">
      <c r="A814" s="41" t="s">
        <v>1264</v>
      </c>
      <c r="B814" s="41" t="s">
        <v>958</v>
      </c>
      <c r="C814" s="41" t="s">
        <v>171</v>
      </c>
      <c r="D814" s="42" t="str">
        <f aca="false">INDEX('Page và Ngách'!$B$5:$B$10,MATCH(C814,'Page và Ngách'!$A$5:$A$10,0))</f>
        <v>Contract marriage / Fake relationship</v>
      </c>
      <c r="E814" s="41" t="n">
        <v>26</v>
      </c>
      <c r="F814" s="43" t="n">
        <f aca="false">'Cài đặt'!$B$39+E814-1</f>
        <v>46402</v>
      </c>
      <c r="G814" s="41" t="s">
        <v>451</v>
      </c>
      <c r="H814" s="44" t="str">
        <f aca="false">IF(G814="S1",'Cài đặt'!$B$7,'Cài đặt'!$B$8)</f>
        <v>20:00</v>
      </c>
      <c r="I814" s="44" t="str">
        <f aca="false">'Cài đặt'!$B$32</f>
        <v>Carousel</v>
      </c>
      <c r="J814" s="44" t="str">
        <f aca="false">'Cài đặt'!$B$33</f>
        <v>A</v>
      </c>
      <c r="K814" s="41" t="s">
        <v>445</v>
      </c>
      <c r="L814" s="42" t="str">
        <f aca="false">C814&amp;"_"&amp;B814&amp;"_"&amp;IF(I814="Reel","R",IF(I814="Carousel","C","I"))&amp;"_"&amp;J814&amp;"_"&amp;IF(K814="AI tự động","AI","HU")&amp;"_"&amp;RIGHT(A814,3)</f>
        <v>P3_EXP3_C_A_AI_052</v>
      </c>
      <c r="M814" s="45"/>
      <c r="N814" s="45"/>
      <c r="O814" s="46"/>
      <c r="P814" s="46"/>
      <c r="Q814" s="46"/>
      <c r="R814" s="47"/>
      <c r="S814" s="45"/>
      <c r="T814" s="45"/>
      <c r="U814" s="48" t="str">
        <f aca="false">IF(O814&gt;0,P814/O814,"")</f>
        <v/>
      </c>
      <c r="V814" s="49" t="str">
        <f aca="false">IF(P814&gt;0,Q814/P814,"")</f>
        <v/>
      </c>
      <c r="W814" s="50" t="n">
        <f aca="false">IF(R814&lt;&gt;"",R814,Q814*'Cài đặt'!$B$12)</f>
        <v>0</v>
      </c>
      <c r="X814" s="50" t="str">
        <f aca="false">IF(O814&gt;0,W814/O814*1000,"")</f>
        <v/>
      </c>
      <c r="Y814" s="51" t="n">
        <f aca="false">IF(T814&lt;&gt;"",T814,INDEX('Cài đặt'!$B$20:$C$22,MATCH(I814,'Cài đặt'!$A$20:$A$22,0),IF(K814="AI tự động",1,2)))</f>
        <v>4</v>
      </c>
    </row>
    <row r="815" customFormat="false" ht="15" hidden="false" customHeight="false" outlineLevel="0" collapsed="false">
      <c r="A815" s="41" t="s">
        <v>1265</v>
      </c>
      <c r="B815" s="41" t="s">
        <v>958</v>
      </c>
      <c r="C815" s="41" t="s">
        <v>178</v>
      </c>
      <c r="D815" s="42" t="str">
        <f aca="false">INDEX('Page và Ngách'!$B$5:$B$10,MATCH(C815,'Page và Ngách'!$A$5:$A$10,0))</f>
        <v>Revenge / Betrayal ("you'll regret it")</v>
      </c>
      <c r="E815" s="41" t="n">
        <v>26</v>
      </c>
      <c r="F815" s="43" t="n">
        <f aca="false">'Cài đặt'!$B$39+E815-1</f>
        <v>46402</v>
      </c>
      <c r="G815" s="41" t="s">
        <v>444</v>
      </c>
      <c r="H815" s="44" t="str">
        <f aca="false">IF(G815="S1",'Cài đặt'!$B$7,'Cài đặt'!$B$8)</f>
        <v>12:00</v>
      </c>
      <c r="I815" s="44" t="str">
        <f aca="false">'Cài đặt'!$B$32</f>
        <v>Carousel</v>
      </c>
      <c r="J815" s="44" t="str">
        <f aca="false">'Cài đặt'!$B$33</f>
        <v>A</v>
      </c>
      <c r="K815" s="41" t="s">
        <v>445</v>
      </c>
      <c r="L815" s="42" t="str">
        <f aca="false">C815&amp;"_"&amp;B815&amp;"_"&amp;IF(I815="Reel","R",IF(I815="Carousel","C","I"))&amp;"_"&amp;J815&amp;"_"&amp;IF(K815="AI tự động","AI","HU")&amp;"_"&amp;RIGHT(A815,3)</f>
        <v>P4_EXP3_C_A_AI_051</v>
      </c>
      <c r="M815" s="45"/>
      <c r="N815" s="45"/>
      <c r="O815" s="46"/>
      <c r="P815" s="46"/>
      <c r="Q815" s="46"/>
      <c r="R815" s="47"/>
      <c r="S815" s="45"/>
      <c r="T815" s="45"/>
      <c r="U815" s="48" t="str">
        <f aca="false">IF(O815&gt;0,P815/O815,"")</f>
        <v/>
      </c>
      <c r="V815" s="49" t="str">
        <f aca="false">IF(P815&gt;0,Q815/P815,"")</f>
        <v/>
      </c>
      <c r="W815" s="50" t="n">
        <f aca="false">IF(R815&lt;&gt;"",R815,Q815*'Cài đặt'!$B$12)</f>
        <v>0</v>
      </c>
      <c r="X815" s="50" t="str">
        <f aca="false">IF(O815&gt;0,W815/O815*1000,"")</f>
        <v/>
      </c>
      <c r="Y815" s="51" t="n">
        <f aca="false">IF(T815&lt;&gt;"",T815,INDEX('Cài đặt'!$B$20:$C$22,MATCH(I815,'Cài đặt'!$A$20:$A$22,0),IF(K815="AI tự động",1,2)))</f>
        <v>4</v>
      </c>
    </row>
    <row r="816" customFormat="false" ht="15" hidden="false" customHeight="false" outlineLevel="0" collapsed="false">
      <c r="A816" s="41" t="s">
        <v>1266</v>
      </c>
      <c r="B816" s="41" t="s">
        <v>958</v>
      </c>
      <c r="C816" s="41" t="s">
        <v>178</v>
      </c>
      <c r="D816" s="42" t="str">
        <f aca="false">INDEX('Page và Ngách'!$B$5:$B$10,MATCH(C816,'Page và Ngách'!$A$5:$A$10,0))</f>
        <v>Revenge / Betrayal ("you'll regret it")</v>
      </c>
      <c r="E816" s="41" t="n">
        <v>26</v>
      </c>
      <c r="F816" s="43" t="n">
        <f aca="false">'Cài đặt'!$B$39+E816-1</f>
        <v>46402</v>
      </c>
      <c r="G816" s="41" t="s">
        <v>451</v>
      </c>
      <c r="H816" s="44" t="str">
        <f aca="false">IF(G816="S1",'Cài đặt'!$B$7,'Cài đặt'!$B$8)</f>
        <v>20:00</v>
      </c>
      <c r="I816" s="44" t="str">
        <f aca="false">'Cài đặt'!$B$32</f>
        <v>Carousel</v>
      </c>
      <c r="J816" s="44" t="str">
        <f aca="false">'Cài đặt'!$B$33</f>
        <v>A</v>
      </c>
      <c r="K816" s="41" t="s">
        <v>445</v>
      </c>
      <c r="L816" s="42" t="str">
        <f aca="false">C816&amp;"_"&amp;B816&amp;"_"&amp;IF(I816="Reel","R",IF(I816="Carousel","C","I"))&amp;"_"&amp;J816&amp;"_"&amp;IF(K816="AI tự động","AI","HU")&amp;"_"&amp;RIGHT(A816,3)</f>
        <v>P4_EXP3_C_A_AI_052</v>
      </c>
      <c r="M816" s="45"/>
      <c r="N816" s="45"/>
      <c r="O816" s="46"/>
      <c r="P816" s="46"/>
      <c r="Q816" s="46"/>
      <c r="R816" s="47"/>
      <c r="S816" s="45"/>
      <c r="T816" s="45"/>
      <c r="U816" s="48" t="str">
        <f aca="false">IF(O816&gt;0,P816/O816,"")</f>
        <v/>
      </c>
      <c r="V816" s="49" t="str">
        <f aca="false">IF(P816&gt;0,Q816/P816,"")</f>
        <v/>
      </c>
      <c r="W816" s="50" t="n">
        <f aca="false">IF(R816&lt;&gt;"",R816,Q816*'Cài đặt'!$B$12)</f>
        <v>0</v>
      </c>
      <c r="X816" s="50" t="str">
        <f aca="false">IF(O816&gt;0,W816/O816*1000,"")</f>
        <v/>
      </c>
      <c r="Y816" s="51" t="n">
        <f aca="false">IF(T816&lt;&gt;"",T816,INDEX('Cài đặt'!$B$20:$C$22,MATCH(I816,'Cài đặt'!$A$20:$A$22,0),IF(K816="AI tự động",1,2)))</f>
        <v>4</v>
      </c>
    </row>
    <row r="817" customFormat="false" ht="15" hidden="false" customHeight="false" outlineLevel="0" collapsed="false">
      <c r="A817" s="41" t="s">
        <v>1267</v>
      </c>
      <c r="B817" s="41" t="s">
        <v>958</v>
      </c>
      <c r="C817" s="41" t="s">
        <v>185</v>
      </c>
      <c r="D817" s="42" t="str">
        <f aca="false">INDEX('Page và Ngách'!$B$5:$B$10,MATCH(C817,'Page và Ngách'!$A$5:$A$10,0))</f>
        <v>Mafia / Dark romance (teaser PG-13)</v>
      </c>
      <c r="E817" s="41" t="n">
        <v>26</v>
      </c>
      <c r="F817" s="43" t="n">
        <f aca="false">'Cài đặt'!$B$39+E817-1</f>
        <v>46402</v>
      </c>
      <c r="G817" s="41" t="s">
        <v>444</v>
      </c>
      <c r="H817" s="44" t="str">
        <f aca="false">IF(G817="S1",'Cài đặt'!$B$7,'Cài đặt'!$B$8)</f>
        <v>12:00</v>
      </c>
      <c r="I817" s="44" t="str">
        <f aca="false">'Cài đặt'!$B$32</f>
        <v>Carousel</v>
      </c>
      <c r="J817" s="44" t="str">
        <f aca="false">'Cài đặt'!$B$33</f>
        <v>A</v>
      </c>
      <c r="K817" s="41" t="s">
        <v>961</v>
      </c>
      <c r="L817" s="42" t="str">
        <f aca="false">C817&amp;"_"&amp;B817&amp;"_"&amp;IF(I817="Reel","R",IF(I817="Carousel","C","I"))&amp;"_"&amp;J817&amp;"_"&amp;IF(K817="AI tự động","AI","HU")&amp;"_"&amp;RIGHT(A817,3)</f>
        <v>P5_EXP3_C_A_HU_051</v>
      </c>
      <c r="M817" s="45"/>
      <c r="N817" s="45"/>
      <c r="O817" s="46"/>
      <c r="P817" s="46"/>
      <c r="Q817" s="46"/>
      <c r="R817" s="47"/>
      <c r="S817" s="45"/>
      <c r="T817" s="45"/>
      <c r="U817" s="48" t="str">
        <f aca="false">IF(O817&gt;0,P817/O817,"")</f>
        <v/>
      </c>
      <c r="V817" s="49" t="str">
        <f aca="false">IF(P817&gt;0,Q817/P817,"")</f>
        <v/>
      </c>
      <c r="W817" s="50" t="n">
        <f aca="false">IF(R817&lt;&gt;"",R817,Q817*'Cài đặt'!$B$12)</f>
        <v>0</v>
      </c>
      <c r="X817" s="50" t="str">
        <f aca="false">IF(O817&gt;0,W817/O817*1000,"")</f>
        <v/>
      </c>
      <c r="Y817" s="51" t="n">
        <f aca="false">IF(T817&lt;&gt;"",T817,INDEX('Cài đặt'!$B$20:$C$22,MATCH(I817,'Cài đặt'!$A$20:$A$22,0),IF(K817="AI tự động",1,2)))</f>
        <v>25</v>
      </c>
    </row>
    <row r="818" customFormat="false" ht="15" hidden="false" customHeight="false" outlineLevel="0" collapsed="false">
      <c r="A818" s="41" t="s">
        <v>1268</v>
      </c>
      <c r="B818" s="41" t="s">
        <v>958</v>
      </c>
      <c r="C818" s="41" t="s">
        <v>185</v>
      </c>
      <c r="D818" s="42" t="str">
        <f aca="false">INDEX('Page và Ngách'!$B$5:$B$10,MATCH(C818,'Page và Ngách'!$A$5:$A$10,0))</f>
        <v>Mafia / Dark romance (teaser PG-13)</v>
      </c>
      <c r="E818" s="41" t="n">
        <v>26</v>
      </c>
      <c r="F818" s="43" t="n">
        <f aca="false">'Cài đặt'!$B$39+E818-1</f>
        <v>46402</v>
      </c>
      <c r="G818" s="41" t="s">
        <v>451</v>
      </c>
      <c r="H818" s="44" t="str">
        <f aca="false">IF(G818="S1",'Cài đặt'!$B$7,'Cài đặt'!$B$8)</f>
        <v>20:00</v>
      </c>
      <c r="I818" s="44" t="str">
        <f aca="false">'Cài đặt'!$B$32</f>
        <v>Carousel</v>
      </c>
      <c r="J818" s="44" t="str">
        <f aca="false">'Cài đặt'!$B$33</f>
        <v>A</v>
      </c>
      <c r="K818" s="41" t="s">
        <v>445</v>
      </c>
      <c r="L818" s="42" t="str">
        <f aca="false">C818&amp;"_"&amp;B818&amp;"_"&amp;IF(I818="Reel","R",IF(I818="Carousel","C","I"))&amp;"_"&amp;J818&amp;"_"&amp;IF(K818="AI tự động","AI","HU")&amp;"_"&amp;RIGHT(A818,3)</f>
        <v>P5_EXP3_C_A_AI_052</v>
      </c>
      <c r="M818" s="45"/>
      <c r="N818" s="45"/>
      <c r="O818" s="46"/>
      <c r="P818" s="46"/>
      <c r="Q818" s="46"/>
      <c r="R818" s="47"/>
      <c r="S818" s="45"/>
      <c r="T818" s="45"/>
      <c r="U818" s="48" t="str">
        <f aca="false">IF(O818&gt;0,P818/O818,"")</f>
        <v/>
      </c>
      <c r="V818" s="49" t="str">
        <f aca="false">IF(P818&gt;0,Q818/P818,"")</f>
        <v/>
      </c>
      <c r="W818" s="50" t="n">
        <f aca="false">IF(R818&lt;&gt;"",R818,Q818*'Cài đặt'!$B$12)</f>
        <v>0</v>
      </c>
      <c r="X818" s="50" t="str">
        <f aca="false">IF(O818&gt;0,W818/O818*1000,"")</f>
        <v/>
      </c>
      <c r="Y818" s="51" t="n">
        <f aca="false">IF(T818&lt;&gt;"",T818,INDEX('Cài đặt'!$B$20:$C$22,MATCH(I818,'Cài đặt'!$A$20:$A$22,0),IF(K818="AI tự động",1,2)))</f>
        <v>4</v>
      </c>
    </row>
    <row r="819" customFormat="false" ht="15" hidden="false" customHeight="false" outlineLevel="0" collapsed="false">
      <c r="A819" s="41" t="s">
        <v>1269</v>
      </c>
      <c r="B819" s="41" t="s">
        <v>958</v>
      </c>
      <c r="C819" s="41" t="s">
        <v>193</v>
      </c>
      <c r="D819" s="42" t="str">
        <f aca="false">INDEX('Page và Ngách'!$B$5:$B$10,MATCH(C819,'Page và Ngách'!$A$5:$A$10,0))</f>
        <v>Second chance / Secret baby</v>
      </c>
      <c r="E819" s="41" t="n">
        <v>26</v>
      </c>
      <c r="F819" s="43" t="n">
        <f aca="false">'Cài đặt'!$B$39+E819-1</f>
        <v>46402</v>
      </c>
      <c r="G819" s="41" t="s">
        <v>444</v>
      </c>
      <c r="H819" s="44" t="str">
        <f aca="false">IF(G819="S1",'Cài đặt'!$B$7,'Cài đặt'!$B$8)</f>
        <v>12:00</v>
      </c>
      <c r="I819" s="44" t="str">
        <f aca="false">'Cài đặt'!$B$32</f>
        <v>Carousel</v>
      </c>
      <c r="J819" s="44" t="str">
        <f aca="false">'Cài đặt'!$B$33</f>
        <v>A</v>
      </c>
      <c r="K819" s="41" t="s">
        <v>445</v>
      </c>
      <c r="L819" s="42" t="str">
        <f aca="false">C819&amp;"_"&amp;B819&amp;"_"&amp;IF(I819="Reel","R",IF(I819="Carousel","C","I"))&amp;"_"&amp;J819&amp;"_"&amp;IF(K819="AI tự động","AI","HU")&amp;"_"&amp;RIGHT(A819,3)</f>
        <v>P6_EXP3_C_A_AI_051</v>
      </c>
      <c r="M819" s="45"/>
      <c r="N819" s="45"/>
      <c r="O819" s="46"/>
      <c r="P819" s="46"/>
      <c r="Q819" s="46"/>
      <c r="R819" s="47"/>
      <c r="S819" s="45"/>
      <c r="T819" s="45"/>
      <c r="U819" s="48" t="str">
        <f aca="false">IF(O819&gt;0,P819/O819,"")</f>
        <v/>
      </c>
      <c r="V819" s="49" t="str">
        <f aca="false">IF(P819&gt;0,Q819/P819,"")</f>
        <v/>
      </c>
      <c r="W819" s="50" t="n">
        <f aca="false">IF(R819&lt;&gt;"",R819,Q819*'Cài đặt'!$B$12)</f>
        <v>0</v>
      </c>
      <c r="X819" s="50" t="str">
        <f aca="false">IF(O819&gt;0,W819/O819*1000,"")</f>
        <v/>
      </c>
      <c r="Y819" s="51" t="n">
        <f aca="false">IF(T819&lt;&gt;"",T819,INDEX('Cài đặt'!$B$20:$C$22,MATCH(I819,'Cài đặt'!$A$20:$A$22,0),IF(K819="AI tự động",1,2)))</f>
        <v>4</v>
      </c>
    </row>
    <row r="820" customFormat="false" ht="15" hidden="false" customHeight="false" outlineLevel="0" collapsed="false">
      <c r="A820" s="41" t="s">
        <v>1270</v>
      </c>
      <c r="B820" s="41" t="s">
        <v>958</v>
      </c>
      <c r="C820" s="41" t="s">
        <v>193</v>
      </c>
      <c r="D820" s="42" t="str">
        <f aca="false">INDEX('Page và Ngách'!$B$5:$B$10,MATCH(C820,'Page và Ngách'!$A$5:$A$10,0))</f>
        <v>Second chance / Secret baby</v>
      </c>
      <c r="E820" s="41" t="n">
        <v>26</v>
      </c>
      <c r="F820" s="43" t="n">
        <f aca="false">'Cài đặt'!$B$39+E820-1</f>
        <v>46402</v>
      </c>
      <c r="G820" s="41" t="s">
        <v>451</v>
      </c>
      <c r="H820" s="44" t="str">
        <f aca="false">IF(G820="S1",'Cài đặt'!$B$7,'Cài đặt'!$B$8)</f>
        <v>20:00</v>
      </c>
      <c r="I820" s="44" t="str">
        <f aca="false">'Cài đặt'!$B$32</f>
        <v>Carousel</v>
      </c>
      <c r="J820" s="44" t="str">
        <f aca="false">'Cài đặt'!$B$33</f>
        <v>A</v>
      </c>
      <c r="K820" s="41" t="s">
        <v>445</v>
      </c>
      <c r="L820" s="42" t="str">
        <f aca="false">C820&amp;"_"&amp;B820&amp;"_"&amp;IF(I820="Reel","R",IF(I820="Carousel","C","I"))&amp;"_"&amp;J820&amp;"_"&amp;IF(K820="AI tự động","AI","HU")&amp;"_"&amp;RIGHT(A820,3)</f>
        <v>P6_EXP3_C_A_AI_052</v>
      </c>
      <c r="M820" s="45"/>
      <c r="N820" s="45"/>
      <c r="O820" s="46"/>
      <c r="P820" s="46"/>
      <c r="Q820" s="46"/>
      <c r="R820" s="47"/>
      <c r="S820" s="45"/>
      <c r="T820" s="45"/>
      <c r="U820" s="48" t="str">
        <f aca="false">IF(O820&gt;0,P820/O820,"")</f>
        <v/>
      </c>
      <c r="V820" s="49" t="str">
        <f aca="false">IF(P820&gt;0,Q820/P820,"")</f>
        <v/>
      </c>
      <c r="W820" s="50" t="n">
        <f aca="false">IF(R820&lt;&gt;"",R820,Q820*'Cài đặt'!$B$12)</f>
        <v>0</v>
      </c>
      <c r="X820" s="50" t="str">
        <f aca="false">IF(O820&gt;0,W820/O820*1000,"")</f>
        <v/>
      </c>
      <c r="Y820" s="51" t="n">
        <f aca="false">IF(T820&lt;&gt;"",T820,INDEX('Cài đặt'!$B$20:$C$22,MATCH(I820,'Cài đặt'!$A$20:$A$22,0),IF(K820="AI tự động",1,2)))</f>
        <v>4</v>
      </c>
    </row>
    <row r="821" customFormat="false" ht="15" hidden="false" customHeight="false" outlineLevel="0" collapsed="false">
      <c r="A821" s="41" t="s">
        <v>1271</v>
      </c>
      <c r="B821" s="41" t="s">
        <v>958</v>
      </c>
      <c r="C821" s="41" t="s">
        <v>154</v>
      </c>
      <c r="D821" s="42" t="str">
        <f aca="false">INDEX('Page và Ngách'!$B$5:$B$10,MATCH(C821,'Page và Ngách'!$A$5:$A$10,0))</f>
        <v>Werewolf / Rejected mate</v>
      </c>
      <c r="E821" s="41" t="n">
        <v>27</v>
      </c>
      <c r="F821" s="43" t="n">
        <f aca="false">'Cài đặt'!$B$39+E821-1</f>
        <v>46403</v>
      </c>
      <c r="G821" s="41" t="s">
        <v>444</v>
      </c>
      <c r="H821" s="44" t="str">
        <f aca="false">IF(G821="S1",'Cài đặt'!$B$7,'Cài đặt'!$B$8)</f>
        <v>12:00</v>
      </c>
      <c r="I821" s="44" t="str">
        <f aca="false">'Cài đặt'!$B$32</f>
        <v>Carousel</v>
      </c>
      <c r="J821" s="44" t="str">
        <f aca="false">'Cài đặt'!$B$33</f>
        <v>A</v>
      </c>
      <c r="K821" s="41" t="s">
        <v>445</v>
      </c>
      <c r="L821" s="42" t="str">
        <f aca="false">C821&amp;"_"&amp;B821&amp;"_"&amp;IF(I821="Reel","R",IF(I821="Carousel","C","I"))&amp;"_"&amp;J821&amp;"_"&amp;IF(K821="AI tự động","AI","HU")&amp;"_"&amp;RIGHT(A821,3)</f>
        <v>P1_EXP3_C_A_AI_053</v>
      </c>
      <c r="M821" s="45"/>
      <c r="N821" s="45"/>
      <c r="O821" s="46"/>
      <c r="P821" s="46"/>
      <c r="Q821" s="46"/>
      <c r="R821" s="47"/>
      <c r="S821" s="45"/>
      <c r="T821" s="45"/>
      <c r="U821" s="48" t="str">
        <f aca="false">IF(O821&gt;0,P821/O821,"")</f>
        <v/>
      </c>
      <c r="V821" s="49" t="str">
        <f aca="false">IF(P821&gt;0,Q821/P821,"")</f>
        <v/>
      </c>
      <c r="W821" s="50" t="n">
        <f aca="false">IF(R821&lt;&gt;"",R821,Q821*'Cài đặt'!$B$12)</f>
        <v>0</v>
      </c>
      <c r="X821" s="50" t="str">
        <f aca="false">IF(O821&gt;0,W821/O821*1000,"")</f>
        <v/>
      </c>
      <c r="Y821" s="51" t="n">
        <f aca="false">IF(T821&lt;&gt;"",T821,INDEX('Cài đặt'!$B$20:$C$22,MATCH(I821,'Cài đặt'!$A$20:$A$22,0),IF(K821="AI tự động",1,2)))</f>
        <v>4</v>
      </c>
    </row>
    <row r="822" customFormat="false" ht="15" hidden="false" customHeight="false" outlineLevel="0" collapsed="false">
      <c r="A822" s="41" t="s">
        <v>1272</v>
      </c>
      <c r="B822" s="41" t="s">
        <v>958</v>
      </c>
      <c r="C822" s="41" t="s">
        <v>154</v>
      </c>
      <c r="D822" s="42" t="str">
        <f aca="false">INDEX('Page và Ngách'!$B$5:$B$10,MATCH(C822,'Page và Ngách'!$A$5:$A$10,0))</f>
        <v>Werewolf / Rejected mate</v>
      </c>
      <c r="E822" s="41" t="n">
        <v>27</v>
      </c>
      <c r="F822" s="43" t="n">
        <f aca="false">'Cài đặt'!$B$39+E822-1</f>
        <v>46403</v>
      </c>
      <c r="G822" s="41" t="s">
        <v>451</v>
      </c>
      <c r="H822" s="44" t="str">
        <f aca="false">IF(G822="S1",'Cài đặt'!$B$7,'Cài đặt'!$B$8)</f>
        <v>20:00</v>
      </c>
      <c r="I822" s="44" t="str">
        <f aca="false">'Cài đặt'!$B$32</f>
        <v>Carousel</v>
      </c>
      <c r="J822" s="44" t="str">
        <f aca="false">'Cài đặt'!$B$33</f>
        <v>A</v>
      </c>
      <c r="K822" s="41" t="s">
        <v>961</v>
      </c>
      <c r="L822" s="42" t="str">
        <f aca="false">C822&amp;"_"&amp;B822&amp;"_"&amp;IF(I822="Reel","R",IF(I822="Carousel","C","I"))&amp;"_"&amp;J822&amp;"_"&amp;IF(K822="AI tự động","AI","HU")&amp;"_"&amp;RIGHT(A822,3)</f>
        <v>P1_EXP3_C_A_HU_054</v>
      </c>
      <c r="M822" s="45"/>
      <c r="N822" s="45"/>
      <c r="O822" s="46"/>
      <c r="P822" s="46"/>
      <c r="Q822" s="46"/>
      <c r="R822" s="47"/>
      <c r="S822" s="45"/>
      <c r="T822" s="45"/>
      <c r="U822" s="48" t="str">
        <f aca="false">IF(O822&gt;0,P822/O822,"")</f>
        <v/>
      </c>
      <c r="V822" s="49" t="str">
        <f aca="false">IF(P822&gt;0,Q822/P822,"")</f>
        <v/>
      </c>
      <c r="W822" s="50" t="n">
        <f aca="false">IF(R822&lt;&gt;"",R822,Q822*'Cài đặt'!$B$12)</f>
        <v>0</v>
      </c>
      <c r="X822" s="50" t="str">
        <f aca="false">IF(O822&gt;0,W822/O822*1000,"")</f>
        <v/>
      </c>
      <c r="Y822" s="51" t="n">
        <f aca="false">IF(T822&lt;&gt;"",T822,INDEX('Cài đặt'!$B$20:$C$22,MATCH(I822,'Cài đặt'!$A$20:$A$22,0),IF(K822="AI tự động",1,2)))</f>
        <v>25</v>
      </c>
    </row>
    <row r="823" customFormat="false" ht="15" hidden="false" customHeight="false" outlineLevel="0" collapsed="false">
      <c r="A823" s="41" t="s">
        <v>1273</v>
      </c>
      <c r="B823" s="41" t="s">
        <v>958</v>
      </c>
      <c r="C823" s="41" t="s">
        <v>163</v>
      </c>
      <c r="D823" s="42" t="str">
        <f aca="false">INDEX('Page và Ngách'!$B$5:$B$10,MATCH(C823,'Page và Ngách'!$A$5:$A$10,0))</f>
        <v>Secret billionaire / CEO</v>
      </c>
      <c r="E823" s="41" t="n">
        <v>27</v>
      </c>
      <c r="F823" s="43" t="n">
        <f aca="false">'Cài đặt'!$B$39+E823-1</f>
        <v>46403</v>
      </c>
      <c r="G823" s="41" t="s">
        <v>444</v>
      </c>
      <c r="H823" s="44" t="str">
        <f aca="false">IF(G823="S1",'Cài đặt'!$B$7,'Cài đặt'!$B$8)</f>
        <v>12:00</v>
      </c>
      <c r="I823" s="44" t="str">
        <f aca="false">'Cài đặt'!$B$32</f>
        <v>Carousel</v>
      </c>
      <c r="J823" s="44" t="str">
        <f aca="false">'Cài đặt'!$B$33</f>
        <v>A</v>
      </c>
      <c r="K823" s="41" t="s">
        <v>445</v>
      </c>
      <c r="L823" s="42" t="str">
        <f aca="false">C823&amp;"_"&amp;B823&amp;"_"&amp;IF(I823="Reel","R",IF(I823="Carousel","C","I"))&amp;"_"&amp;J823&amp;"_"&amp;IF(K823="AI tự động","AI","HU")&amp;"_"&amp;RIGHT(A823,3)</f>
        <v>P2_EXP3_C_A_AI_053</v>
      </c>
      <c r="M823" s="45"/>
      <c r="N823" s="45"/>
      <c r="O823" s="46"/>
      <c r="P823" s="46"/>
      <c r="Q823" s="46"/>
      <c r="R823" s="47"/>
      <c r="S823" s="45"/>
      <c r="T823" s="45"/>
      <c r="U823" s="48" t="str">
        <f aca="false">IF(O823&gt;0,P823/O823,"")</f>
        <v/>
      </c>
      <c r="V823" s="49" t="str">
        <f aca="false">IF(P823&gt;0,Q823/P823,"")</f>
        <v/>
      </c>
      <c r="W823" s="50" t="n">
        <f aca="false">IF(R823&lt;&gt;"",R823,Q823*'Cài đặt'!$B$12)</f>
        <v>0</v>
      </c>
      <c r="X823" s="50" t="str">
        <f aca="false">IF(O823&gt;0,W823/O823*1000,"")</f>
        <v/>
      </c>
      <c r="Y823" s="51" t="n">
        <f aca="false">IF(T823&lt;&gt;"",T823,INDEX('Cài đặt'!$B$20:$C$22,MATCH(I823,'Cài đặt'!$A$20:$A$22,0),IF(K823="AI tự động",1,2)))</f>
        <v>4</v>
      </c>
    </row>
    <row r="824" customFormat="false" ht="15" hidden="false" customHeight="false" outlineLevel="0" collapsed="false">
      <c r="A824" s="41" t="s">
        <v>1274</v>
      </c>
      <c r="B824" s="41" t="s">
        <v>958</v>
      </c>
      <c r="C824" s="41" t="s">
        <v>163</v>
      </c>
      <c r="D824" s="42" t="str">
        <f aca="false">INDEX('Page và Ngách'!$B$5:$B$10,MATCH(C824,'Page và Ngách'!$A$5:$A$10,0))</f>
        <v>Secret billionaire / CEO</v>
      </c>
      <c r="E824" s="41" t="n">
        <v>27</v>
      </c>
      <c r="F824" s="43" t="n">
        <f aca="false">'Cài đặt'!$B$39+E824-1</f>
        <v>46403</v>
      </c>
      <c r="G824" s="41" t="s">
        <v>451</v>
      </c>
      <c r="H824" s="44" t="str">
        <f aca="false">IF(G824="S1",'Cài đặt'!$B$7,'Cài đặt'!$B$8)</f>
        <v>20:00</v>
      </c>
      <c r="I824" s="44" t="str">
        <f aca="false">'Cài đặt'!$B$32</f>
        <v>Carousel</v>
      </c>
      <c r="J824" s="44" t="str">
        <f aca="false">'Cài đặt'!$B$33</f>
        <v>A</v>
      </c>
      <c r="K824" s="41" t="s">
        <v>445</v>
      </c>
      <c r="L824" s="42" t="str">
        <f aca="false">C824&amp;"_"&amp;B824&amp;"_"&amp;IF(I824="Reel","R",IF(I824="Carousel","C","I"))&amp;"_"&amp;J824&amp;"_"&amp;IF(K824="AI tự động","AI","HU")&amp;"_"&amp;RIGHT(A824,3)</f>
        <v>P2_EXP3_C_A_AI_054</v>
      </c>
      <c r="M824" s="45"/>
      <c r="N824" s="45"/>
      <c r="O824" s="46"/>
      <c r="P824" s="46"/>
      <c r="Q824" s="46"/>
      <c r="R824" s="47"/>
      <c r="S824" s="45"/>
      <c r="T824" s="45"/>
      <c r="U824" s="48" t="str">
        <f aca="false">IF(O824&gt;0,P824/O824,"")</f>
        <v/>
      </c>
      <c r="V824" s="49" t="str">
        <f aca="false">IF(P824&gt;0,Q824/P824,"")</f>
        <v/>
      </c>
      <c r="W824" s="50" t="n">
        <f aca="false">IF(R824&lt;&gt;"",R824,Q824*'Cài đặt'!$B$12)</f>
        <v>0</v>
      </c>
      <c r="X824" s="50" t="str">
        <f aca="false">IF(O824&gt;0,W824/O824*1000,"")</f>
        <v/>
      </c>
      <c r="Y824" s="51" t="n">
        <f aca="false">IF(T824&lt;&gt;"",T824,INDEX('Cài đặt'!$B$20:$C$22,MATCH(I824,'Cài đặt'!$A$20:$A$22,0),IF(K824="AI tự động",1,2)))</f>
        <v>4</v>
      </c>
    </row>
    <row r="825" customFormat="false" ht="15" hidden="false" customHeight="false" outlineLevel="0" collapsed="false">
      <c r="A825" s="41" t="s">
        <v>1275</v>
      </c>
      <c r="B825" s="41" t="s">
        <v>958</v>
      </c>
      <c r="C825" s="41" t="s">
        <v>171</v>
      </c>
      <c r="D825" s="42" t="str">
        <f aca="false">INDEX('Page và Ngách'!$B$5:$B$10,MATCH(C825,'Page và Ngách'!$A$5:$A$10,0))</f>
        <v>Contract marriage / Fake relationship</v>
      </c>
      <c r="E825" s="41" t="n">
        <v>27</v>
      </c>
      <c r="F825" s="43" t="n">
        <f aca="false">'Cài đặt'!$B$39+E825-1</f>
        <v>46403</v>
      </c>
      <c r="G825" s="41" t="s">
        <v>444</v>
      </c>
      <c r="H825" s="44" t="str">
        <f aca="false">IF(G825="S1",'Cài đặt'!$B$7,'Cài đặt'!$B$8)</f>
        <v>12:00</v>
      </c>
      <c r="I825" s="44" t="str">
        <f aca="false">'Cài đặt'!$B$32</f>
        <v>Carousel</v>
      </c>
      <c r="J825" s="44" t="str">
        <f aca="false">'Cài đặt'!$B$33</f>
        <v>A</v>
      </c>
      <c r="K825" s="41" t="s">
        <v>445</v>
      </c>
      <c r="L825" s="42" t="str">
        <f aca="false">C825&amp;"_"&amp;B825&amp;"_"&amp;IF(I825="Reel","R",IF(I825="Carousel","C","I"))&amp;"_"&amp;J825&amp;"_"&amp;IF(K825="AI tự động","AI","HU")&amp;"_"&amp;RIGHT(A825,3)</f>
        <v>P3_EXP3_C_A_AI_053</v>
      </c>
      <c r="M825" s="45"/>
      <c r="N825" s="45"/>
      <c r="O825" s="46"/>
      <c r="P825" s="46"/>
      <c r="Q825" s="46"/>
      <c r="R825" s="47"/>
      <c r="S825" s="45"/>
      <c r="T825" s="45"/>
      <c r="U825" s="48" t="str">
        <f aca="false">IF(O825&gt;0,P825/O825,"")</f>
        <v/>
      </c>
      <c r="V825" s="49" t="str">
        <f aca="false">IF(P825&gt;0,Q825/P825,"")</f>
        <v/>
      </c>
      <c r="W825" s="50" t="n">
        <f aca="false">IF(R825&lt;&gt;"",R825,Q825*'Cài đặt'!$B$12)</f>
        <v>0</v>
      </c>
      <c r="X825" s="50" t="str">
        <f aca="false">IF(O825&gt;0,W825/O825*1000,"")</f>
        <v/>
      </c>
      <c r="Y825" s="51" t="n">
        <f aca="false">IF(T825&lt;&gt;"",T825,INDEX('Cài đặt'!$B$20:$C$22,MATCH(I825,'Cài đặt'!$A$20:$A$22,0),IF(K825="AI tự động",1,2)))</f>
        <v>4</v>
      </c>
    </row>
    <row r="826" customFormat="false" ht="15" hidden="false" customHeight="false" outlineLevel="0" collapsed="false">
      <c r="A826" s="41" t="s">
        <v>1276</v>
      </c>
      <c r="B826" s="41" t="s">
        <v>958</v>
      </c>
      <c r="C826" s="41" t="s">
        <v>171</v>
      </c>
      <c r="D826" s="42" t="str">
        <f aca="false">INDEX('Page và Ngách'!$B$5:$B$10,MATCH(C826,'Page và Ngách'!$A$5:$A$10,0))</f>
        <v>Contract marriage / Fake relationship</v>
      </c>
      <c r="E826" s="41" t="n">
        <v>27</v>
      </c>
      <c r="F826" s="43" t="n">
        <f aca="false">'Cài đặt'!$B$39+E826-1</f>
        <v>46403</v>
      </c>
      <c r="G826" s="41" t="s">
        <v>451</v>
      </c>
      <c r="H826" s="44" t="str">
        <f aca="false">IF(G826="S1",'Cài đặt'!$B$7,'Cài đặt'!$B$8)</f>
        <v>20:00</v>
      </c>
      <c r="I826" s="44" t="str">
        <f aca="false">'Cài đặt'!$B$32</f>
        <v>Carousel</v>
      </c>
      <c r="J826" s="44" t="str">
        <f aca="false">'Cài đặt'!$B$33</f>
        <v>A</v>
      </c>
      <c r="K826" s="41" t="s">
        <v>445</v>
      </c>
      <c r="L826" s="42" t="str">
        <f aca="false">C826&amp;"_"&amp;B826&amp;"_"&amp;IF(I826="Reel","R",IF(I826="Carousel","C","I"))&amp;"_"&amp;J826&amp;"_"&amp;IF(K826="AI tự động","AI","HU")&amp;"_"&amp;RIGHT(A826,3)</f>
        <v>P3_EXP3_C_A_AI_054</v>
      </c>
      <c r="M826" s="45"/>
      <c r="N826" s="45"/>
      <c r="O826" s="46"/>
      <c r="P826" s="46"/>
      <c r="Q826" s="46"/>
      <c r="R826" s="47"/>
      <c r="S826" s="45"/>
      <c r="T826" s="45"/>
      <c r="U826" s="48" t="str">
        <f aca="false">IF(O826&gt;0,P826/O826,"")</f>
        <v/>
      </c>
      <c r="V826" s="49" t="str">
        <f aca="false">IF(P826&gt;0,Q826/P826,"")</f>
        <v/>
      </c>
      <c r="W826" s="50" t="n">
        <f aca="false">IF(R826&lt;&gt;"",R826,Q826*'Cài đặt'!$B$12)</f>
        <v>0</v>
      </c>
      <c r="X826" s="50" t="str">
        <f aca="false">IF(O826&gt;0,W826/O826*1000,"")</f>
        <v/>
      </c>
      <c r="Y826" s="51" t="n">
        <f aca="false">IF(T826&lt;&gt;"",T826,INDEX('Cài đặt'!$B$20:$C$22,MATCH(I826,'Cài đặt'!$A$20:$A$22,0),IF(K826="AI tự động",1,2)))</f>
        <v>4</v>
      </c>
    </row>
    <row r="827" customFormat="false" ht="15" hidden="false" customHeight="false" outlineLevel="0" collapsed="false">
      <c r="A827" s="41" t="s">
        <v>1277</v>
      </c>
      <c r="B827" s="41" t="s">
        <v>958</v>
      </c>
      <c r="C827" s="41" t="s">
        <v>178</v>
      </c>
      <c r="D827" s="42" t="str">
        <f aca="false">INDEX('Page và Ngách'!$B$5:$B$10,MATCH(C827,'Page và Ngách'!$A$5:$A$10,0))</f>
        <v>Revenge / Betrayal ("you'll regret it")</v>
      </c>
      <c r="E827" s="41" t="n">
        <v>27</v>
      </c>
      <c r="F827" s="43" t="n">
        <f aca="false">'Cài đặt'!$B$39+E827-1</f>
        <v>46403</v>
      </c>
      <c r="G827" s="41" t="s">
        <v>444</v>
      </c>
      <c r="H827" s="44" t="str">
        <f aca="false">IF(G827="S1",'Cài đặt'!$B$7,'Cài đặt'!$B$8)</f>
        <v>12:00</v>
      </c>
      <c r="I827" s="44" t="str">
        <f aca="false">'Cài đặt'!$B$32</f>
        <v>Carousel</v>
      </c>
      <c r="J827" s="44" t="str">
        <f aca="false">'Cài đặt'!$B$33</f>
        <v>A</v>
      </c>
      <c r="K827" s="41" t="s">
        <v>961</v>
      </c>
      <c r="L827" s="42" t="str">
        <f aca="false">C827&amp;"_"&amp;B827&amp;"_"&amp;IF(I827="Reel","R",IF(I827="Carousel","C","I"))&amp;"_"&amp;J827&amp;"_"&amp;IF(K827="AI tự động","AI","HU")&amp;"_"&amp;RIGHT(A827,3)</f>
        <v>P4_EXP3_C_A_HU_053</v>
      </c>
      <c r="M827" s="45"/>
      <c r="N827" s="45"/>
      <c r="O827" s="46"/>
      <c r="P827" s="46"/>
      <c r="Q827" s="46"/>
      <c r="R827" s="47"/>
      <c r="S827" s="45"/>
      <c r="T827" s="45"/>
      <c r="U827" s="48" t="str">
        <f aca="false">IF(O827&gt;0,P827/O827,"")</f>
        <v/>
      </c>
      <c r="V827" s="49" t="str">
        <f aca="false">IF(P827&gt;0,Q827/P827,"")</f>
        <v/>
      </c>
      <c r="W827" s="50" t="n">
        <f aca="false">IF(R827&lt;&gt;"",R827,Q827*'Cài đặt'!$B$12)</f>
        <v>0</v>
      </c>
      <c r="X827" s="50" t="str">
        <f aca="false">IF(O827&gt;0,W827/O827*1000,"")</f>
        <v/>
      </c>
      <c r="Y827" s="51" t="n">
        <f aca="false">IF(T827&lt;&gt;"",T827,INDEX('Cài đặt'!$B$20:$C$22,MATCH(I827,'Cài đặt'!$A$20:$A$22,0),IF(K827="AI tự động",1,2)))</f>
        <v>25</v>
      </c>
    </row>
    <row r="828" customFormat="false" ht="15" hidden="false" customHeight="false" outlineLevel="0" collapsed="false">
      <c r="A828" s="41" t="s">
        <v>1278</v>
      </c>
      <c r="B828" s="41" t="s">
        <v>958</v>
      </c>
      <c r="C828" s="41" t="s">
        <v>178</v>
      </c>
      <c r="D828" s="42" t="str">
        <f aca="false">INDEX('Page và Ngách'!$B$5:$B$10,MATCH(C828,'Page và Ngách'!$A$5:$A$10,0))</f>
        <v>Revenge / Betrayal ("you'll regret it")</v>
      </c>
      <c r="E828" s="41" t="n">
        <v>27</v>
      </c>
      <c r="F828" s="43" t="n">
        <f aca="false">'Cài đặt'!$B$39+E828-1</f>
        <v>46403</v>
      </c>
      <c r="G828" s="41" t="s">
        <v>451</v>
      </c>
      <c r="H828" s="44" t="str">
        <f aca="false">IF(G828="S1",'Cài đặt'!$B$7,'Cài đặt'!$B$8)</f>
        <v>20:00</v>
      </c>
      <c r="I828" s="44" t="str">
        <f aca="false">'Cài đặt'!$B$32</f>
        <v>Carousel</v>
      </c>
      <c r="J828" s="44" t="str">
        <f aca="false">'Cài đặt'!$B$33</f>
        <v>A</v>
      </c>
      <c r="K828" s="41" t="s">
        <v>445</v>
      </c>
      <c r="L828" s="42" t="str">
        <f aca="false">C828&amp;"_"&amp;B828&amp;"_"&amp;IF(I828="Reel","R",IF(I828="Carousel","C","I"))&amp;"_"&amp;J828&amp;"_"&amp;IF(K828="AI tự động","AI","HU")&amp;"_"&amp;RIGHT(A828,3)</f>
        <v>P4_EXP3_C_A_AI_054</v>
      </c>
      <c r="M828" s="45"/>
      <c r="N828" s="45"/>
      <c r="O828" s="46"/>
      <c r="P828" s="46"/>
      <c r="Q828" s="46"/>
      <c r="R828" s="47"/>
      <c r="S828" s="45"/>
      <c r="T828" s="45"/>
      <c r="U828" s="48" t="str">
        <f aca="false">IF(O828&gt;0,P828/O828,"")</f>
        <v/>
      </c>
      <c r="V828" s="49" t="str">
        <f aca="false">IF(P828&gt;0,Q828/P828,"")</f>
        <v/>
      </c>
      <c r="W828" s="50" t="n">
        <f aca="false">IF(R828&lt;&gt;"",R828,Q828*'Cài đặt'!$B$12)</f>
        <v>0</v>
      </c>
      <c r="X828" s="50" t="str">
        <f aca="false">IF(O828&gt;0,W828/O828*1000,"")</f>
        <v/>
      </c>
      <c r="Y828" s="51" t="n">
        <f aca="false">IF(T828&lt;&gt;"",T828,INDEX('Cài đặt'!$B$20:$C$22,MATCH(I828,'Cài đặt'!$A$20:$A$22,0),IF(K828="AI tự động",1,2)))</f>
        <v>4</v>
      </c>
    </row>
    <row r="829" customFormat="false" ht="15" hidden="false" customHeight="false" outlineLevel="0" collapsed="false">
      <c r="A829" s="41" t="s">
        <v>1279</v>
      </c>
      <c r="B829" s="41" t="s">
        <v>958</v>
      </c>
      <c r="C829" s="41" t="s">
        <v>185</v>
      </c>
      <c r="D829" s="42" t="str">
        <f aca="false">INDEX('Page và Ngách'!$B$5:$B$10,MATCH(C829,'Page và Ngách'!$A$5:$A$10,0))</f>
        <v>Mafia / Dark romance (teaser PG-13)</v>
      </c>
      <c r="E829" s="41" t="n">
        <v>27</v>
      </c>
      <c r="F829" s="43" t="n">
        <f aca="false">'Cài đặt'!$B$39+E829-1</f>
        <v>46403</v>
      </c>
      <c r="G829" s="41" t="s">
        <v>444</v>
      </c>
      <c r="H829" s="44" t="str">
        <f aca="false">IF(G829="S1",'Cài đặt'!$B$7,'Cài đặt'!$B$8)</f>
        <v>12:00</v>
      </c>
      <c r="I829" s="44" t="str">
        <f aca="false">'Cài đặt'!$B$32</f>
        <v>Carousel</v>
      </c>
      <c r="J829" s="44" t="str">
        <f aca="false">'Cài đặt'!$B$33</f>
        <v>A</v>
      </c>
      <c r="K829" s="41" t="s">
        <v>445</v>
      </c>
      <c r="L829" s="42" t="str">
        <f aca="false">C829&amp;"_"&amp;B829&amp;"_"&amp;IF(I829="Reel","R",IF(I829="Carousel","C","I"))&amp;"_"&amp;J829&amp;"_"&amp;IF(K829="AI tự động","AI","HU")&amp;"_"&amp;RIGHT(A829,3)</f>
        <v>P5_EXP3_C_A_AI_053</v>
      </c>
      <c r="M829" s="45"/>
      <c r="N829" s="45"/>
      <c r="O829" s="46"/>
      <c r="P829" s="46"/>
      <c r="Q829" s="46"/>
      <c r="R829" s="47"/>
      <c r="S829" s="45"/>
      <c r="T829" s="45"/>
      <c r="U829" s="48" t="str">
        <f aca="false">IF(O829&gt;0,P829/O829,"")</f>
        <v/>
      </c>
      <c r="V829" s="49" t="str">
        <f aca="false">IF(P829&gt;0,Q829/P829,"")</f>
        <v/>
      </c>
      <c r="W829" s="50" t="n">
        <f aca="false">IF(R829&lt;&gt;"",R829,Q829*'Cài đặt'!$B$12)</f>
        <v>0</v>
      </c>
      <c r="X829" s="50" t="str">
        <f aca="false">IF(O829&gt;0,W829/O829*1000,"")</f>
        <v/>
      </c>
      <c r="Y829" s="51" t="n">
        <f aca="false">IF(T829&lt;&gt;"",T829,INDEX('Cài đặt'!$B$20:$C$22,MATCH(I829,'Cài đặt'!$A$20:$A$22,0),IF(K829="AI tự động",1,2)))</f>
        <v>4</v>
      </c>
    </row>
    <row r="830" customFormat="false" ht="15" hidden="false" customHeight="false" outlineLevel="0" collapsed="false">
      <c r="A830" s="41" t="s">
        <v>1280</v>
      </c>
      <c r="B830" s="41" t="s">
        <v>958</v>
      </c>
      <c r="C830" s="41" t="s">
        <v>185</v>
      </c>
      <c r="D830" s="42" t="str">
        <f aca="false">INDEX('Page và Ngách'!$B$5:$B$10,MATCH(C830,'Page và Ngách'!$A$5:$A$10,0))</f>
        <v>Mafia / Dark romance (teaser PG-13)</v>
      </c>
      <c r="E830" s="41" t="n">
        <v>27</v>
      </c>
      <c r="F830" s="43" t="n">
        <f aca="false">'Cài đặt'!$B$39+E830-1</f>
        <v>46403</v>
      </c>
      <c r="G830" s="41" t="s">
        <v>451</v>
      </c>
      <c r="H830" s="44" t="str">
        <f aca="false">IF(G830="S1",'Cài đặt'!$B$7,'Cài đặt'!$B$8)</f>
        <v>20:00</v>
      </c>
      <c r="I830" s="44" t="str">
        <f aca="false">'Cài đặt'!$B$32</f>
        <v>Carousel</v>
      </c>
      <c r="J830" s="44" t="str">
        <f aca="false">'Cài đặt'!$B$33</f>
        <v>A</v>
      </c>
      <c r="K830" s="41" t="s">
        <v>445</v>
      </c>
      <c r="L830" s="42" t="str">
        <f aca="false">C830&amp;"_"&amp;B830&amp;"_"&amp;IF(I830="Reel","R",IF(I830="Carousel","C","I"))&amp;"_"&amp;J830&amp;"_"&amp;IF(K830="AI tự động","AI","HU")&amp;"_"&amp;RIGHT(A830,3)</f>
        <v>P5_EXP3_C_A_AI_054</v>
      </c>
      <c r="M830" s="45"/>
      <c r="N830" s="45"/>
      <c r="O830" s="46"/>
      <c r="P830" s="46"/>
      <c r="Q830" s="46"/>
      <c r="R830" s="47"/>
      <c r="S830" s="45"/>
      <c r="T830" s="45"/>
      <c r="U830" s="48" t="str">
        <f aca="false">IF(O830&gt;0,P830/O830,"")</f>
        <v/>
      </c>
      <c r="V830" s="49" t="str">
        <f aca="false">IF(P830&gt;0,Q830/P830,"")</f>
        <v/>
      </c>
      <c r="W830" s="50" t="n">
        <f aca="false">IF(R830&lt;&gt;"",R830,Q830*'Cài đặt'!$B$12)</f>
        <v>0</v>
      </c>
      <c r="X830" s="50" t="str">
        <f aca="false">IF(O830&gt;0,W830/O830*1000,"")</f>
        <v/>
      </c>
      <c r="Y830" s="51" t="n">
        <f aca="false">IF(T830&lt;&gt;"",T830,INDEX('Cài đặt'!$B$20:$C$22,MATCH(I830,'Cài đặt'!$A$20:$A$22,0),IF(K830="AI tự động",1,2)))</f>
        <v>4</v>
      </c>
    </row>
    <row r="831" customFormat="false" ht="15" hidden="false" customHeight="false" outlineLevel="0" collapsed="false">
      <c r="A831" s="41" t="s">
        <v>1281</v>
      </c>
      <c r="B831" s="41" t="s">
        <v>958</v>
      </c>
      <c r="C831" s="41" t="s">
        <v>193</v>
      </c>
      <c r="D831" s="42" t="str">
        <f aca="false">INDEX('Page và Ngách'!$B$5:$B$10,MATCH(C831,'Page và Ngách'!$A$5:$A$10,0))</f>
        <v>Second chance / Secret baby</v>
      </c>
      <c r="E831" s="41" t="n">
        <v>27</v>
      </c>
      <c r="F831" s="43" t="n">
        <f aca="false">'Cài đặt'!$B$39+E831-1</f>
        <v>46403</v>
      </c>
      <c r="G831" s="41" t="s">
        <v>444</v>
      </c>
      <c r="H831" s="44" t="str">
        <f aca="false">IF(G831="S1",'Cài đặt'!$B$7,'Cài đặt'!$B$8)</f>
        <v>12:00</v>
      </c>
      <c r="I831" s="44" t="str">
        <f aca="false">'Cài đặt'!$B$32</f>
        <v>Carousel</v>
      </c>
      <c r="J831" s="44" t="str">
        <f aca="false">'Cài đặt'!$B$33</f>
        <v>A</v>
      </c>
      <c r="K831" s="41" t="s">
        <v>445</v>
      </c>
      <c r="L831" s="42" t="str">
        <f aca="false">C831&amp;"_"&amp;B831&amp;"_"&amp;IF(I831="Reel","R",IF(I831="Carousel","C","I"))&amp;"_"&amp;J831&amp;"_"&amp;IF(K831="AI tự động","AI","HU")&amp;"_"&amp;RIGHT(A831,3)</f>
        <v>P6_EXP3_C_A_AI_053</v>
      </c>
      <c r="M831" s="45"/>
      <c r="N831" s="45"/>
      <c r="O831" s="46"/>
      <c r="P831" s="46"/>
      <c r="Q831" s="46"/>
      <c r="R831" s="47"/>
      <c r="S831" s="45"/>
      <c r="T831" s="45"/>
      <c r="U831" s="48" t="str">
        <f aca="false">IF(O831&gt;0,P831/O831,"")</f>
        <v/>
      </c>
      <c r="V831" s="49" t="str">
        <f aca="false">IF(P831&gt;0,Q831/P831,"")</f>
        <v/>
      </c>
      <c r="W831" s="50" t="n">
        <f aca="false">IF(R831&lt;&gt;"",R831,Q831*'Cài đặt'!$B$12)</f>
        <v>0</v>
      </c>
      <c r="X831" s="50" t="str">
        <f aca="false">IF(O831&gt;0,W831/O831*1000,"")</f>
        <v/>
      </c>
      <c r="Y831" s="51" t="n">
        <f aca="false">IF(T831&lt;&gt;"",T831,INDEX('Cài đặt'!$B$20:$C$22,MATCH(I831,'Cài đặt'!$A$20:$A$22,0),IF(K831="AI tự động",1,2)))</f>
        <v>4</v>
      </c>
    </row>
    <row r="832" customFormat="false" ht="15" hidden="false" customHeight="false" outlineLevel="0" collapsed="false">
      <c r="A832" s="41" t="s">
        <v>1282</v>
      </c>
      <c r="B832" s="41" t="s">
        <v>958</v>
      </c>
      <c r="C832" s="41" t="s">
        <v>193</v>
      </c>
      <c r="D832" s="42" t="str">
        <f aca="false">INDEX('Page và Ngách'!$B$5:$B$10,MATCH(C832,'Page và Ngách'!$A$5:$A$10,0))</f>
        <v>Second chance / Secret baby</v>
      </c>
      <c r="E832" s="41" t="n">
        <v>27</v>
      </c>
      <c r="F832" s="43" t="n">
        <f aca="false">'Cài đặt'!$B$39+E832-1</f>
        <v>46403</v>
      </c>
      <c r="G832" s="41" t="s">
        <v>451</v>
      </c>
      <c r="H832" s="44" t="str">
        <f aca="false">IF(G832="S1",'Cài đặt'!$B$7,'Cài đặt'!$B$8)</f>
        <v>20:00</v>
      </c>
      <c r="I832" s="44" t="str">
        <f aca="false">'Cài đặt'!$B$32</f>
        <v>Carousel</v>
      </c>
      <c r="J832" s="44" t="str">
        <f aca="false">'Cài đặt'!$B$33</f>
        <v>A</v>
      </c>
      <c r="K832" s="41" t="s">
        <v>961</v>
      </c>
      <c r="L832" s="42" t="str">
        <f aca="false">C832&amp;"_"&amp;B832&amp;"_"&amp;IF(I832="Reel","R",IF(I832="Carousel","C","I"))&amp;"_"&amp;J832&amp;"_"&amp;IF(K832="AI tự động","AI","HU")&amp;"_"&amp;RIGHT(A832,3)</f>
        <v>P6_EXP3_C_A_HU_054</v>
      </c>
      <c r="M832" s="45"/>
      <c r="N832" s="45"/>
      <c r="O832" s="46"/>
      <c r="P832" s="46"/>
      <c r="Q832" s="46"/>
      <c r="R832" s="47"/>
      <c r="S832" s="45"/>
      <c r="T832" s="45"/>
      <c r="U832" s="48" t="str">
        <f aca="false">IF(O832&gt;0,P832/O832,"")</f>
        <v/>
      </c>
      <c r="V832" s="49" t="str">
        <f aca="false">IF(P832&gt;0,Q832/P832,"")</f>
        <v/>
      </c>
      <c r="W832" s="50" t="n">
        <f aca="false">IF(R832&lt;&gt;"",R832,Q832*'Cài đặt'!$B$12)</f>
        <v>0</v>
      </c>
      <c r="X832" s="50" t="str">
        <f aca="false">IF(O832&gt;0,W832/O832*1000,"")</f>
        <v/>
      </c>
      <c r="Y832" s="51" t="n">
        <f aca="false">IF(T832&lt;&gt;"",T832,INDEX('Cài đặt'!$B$20:$C$22,MATCH(I832,'Cài đặt'!$A$20:$A$22,0),IF(K832="AI tự động",1,2)))</f>
        <v>25</v>
      </c>
    </row>
    <row r="833" customFormat="false" ht="15" hidden="false" customHeight="false" outlineLevel="0" collapsed="false">
      <c r="A833" s="41" t="s">
        <v>1283</v>
      </c>
      <c r="B833" s="41" t="s">
        <v>958</v>
      </c>
      <c r="C833" s="41" t="s">
        <v>154</v>
      </c>
      <c r="D833" s="42" t="str">
        <f aca="false">INDEX('Page và Ngách'!$B$5:$B$10,MATCH(C833,'Page và Ngách'!$A$5:$A$10,0))</f>
        <v>Werewolf / Rejected mate</v>
      </c>
      <c r="E833" s="41" t="n">
        <v>28</v>
      </c>
      <c r="F833" s="43" t="n">
        <f aca="false">'Cài đặt'!$B$39+E833-1</f>
        <v>46404</v>
      </c>
      <c r="G833" s="41" t="s">
        <v>444</v>
      </c>
      <c r="H833" s="44" t="str">
        <f aca="false">IF(G833="S1",'Cài đặt'!$B$7,'Cài đặt'!$B$8)</f>
        <v>12:00</v>
      </c>
      <c r="I833" s="44" t="str">
        <f aca="false">'Cài đặt'!$B$32</f>
        <v>Carousel</v>
      </c>
      <c r="J833" s="44" t="str">
        <f aca="false">'Cài đặt'!$B$33</f>
        <v>A</v>
      </c>
      <c r="K833" s="41" t="s">
        <v>445</v>
      </c>
      <c r="L833" s="42" t="str">
        <f aca="false">C833&amp;"_"&amp;B833&amp;"_"&amp;IF(I833="Reel","R",IF(I833="Carousel","C","I"))&amp;"_"&amp;J833&amp;"_"&amp;IF(K833="AI tự động","AI","HU")&amp;"_"&amp;RIGHT(A833,3)</f>
        <v>P1_EXP3_C_A_AI_055</v>
      </c>
      <c r="M833" s="45"/>
      <c r="N833" s="45"/>
      <c r="O833" s="46"/>
      <c r="P833" s="46"/>
      <c r="Q833" s="46"/>
      <c r="R833" s="47"/>
      <c r="S833" s="45"/>
      <c r="T833" s="45"/>
      <c r="U833" s="48" t="str">
        <f aca="false">IF(O833&gt;0,P833/O833,"")</f>
        <v/>
      </c>
      <c r="V833" s="49" t="str">
        <f aca="false">IF(P833&gt;0,Q833/P833,"")</f>
        <v/>
      </c>
      <c r="W833" s="50" t="n">
        <f aca="false">IF(R833&lt;&gt;"",R833,Q833*'Cài đặt'!$B$12)</f>
        <v>0</v>
      </c>
      <c r="X833" s="50" t="str">
        <f aca="false">IF(O833&gt;0,W833/O833*1000,"")</f>
        <v/>
      </c>
      <c r="Y833" s="51" t="n">
        <f aca="false">IF(T833&lt;&gt;"",T833,INDEX('Cài đặt'!$B$20:$C$22,MATCH(I833,'Cài đặt'!$A$20:$A$22,0),IF(K833="AI tự động",1,2)))</f>
        <v>4</v>
      </c>
    </row>
    <row r="834" customFormat="false" ht="15" hidden="false" customHeight="false" outlineLevel="0" collapsed="false">
      <c r="A834" s="41" t="s">
        <v>1284</v>
      </c>
      <c r="B834" s="41" t="s">
        <v>958</v>
      </c>
      <c r="C834" s="41" t="s">
        <v>154</v>
      </c>
      <c r="D834" s="42" t="str">
        <f aca="false">INDEX('Page và Ngách'!$B$5:$B$10,MATCH(C834,'Page và Ngách'!$A$5:$A$10,0))</f>
        <v>Werewolf / Rejected mate</v>
      </c>
      <c r="E834" s="41" t="n">
        <v>28</v>
      </c>
      <c r="F834" s="43" t="n">
        <f aca="false">'Cài đặt'!$B$39+E834-1</f>
        <v>46404</v>
      </c>
      <c r="G834" s="41" t="s">
        <v>451</v>
      </c>
      <c r="H834" s="44" t="str">
        <f aca="false">IF(G834="S1",'Cài đặt'!$B$7,'Cài đặt'!$B$8)</f>
        <v>20:00</v>
      </c>
      <c r="I834" s="44" t="str">
        <f aca="false">'Cài đặt'!$B$32</f>
        <v>Carousel</v>
      </c>
      <c r="J834" s="44" t="str">
        <f aca="false">'Cài đặt'!$B$33</f>
        <v>A</v>
      </c>
      <c r="K834" s="41" t="s">
        <v>445</v>
      </c>
      <c r="L834" s="42" t="str">
        <f aca="false">C834&amp;"_"&amp;B834&amp;"_"&amp;IF(I834="Reel","R",IF(I834="Carousel","C","I"))&amp;"_"&amp;J834&amp;"_"&amp;IF(K834="AI tự động","AI","HU")&amp;"_"&amp;RIGHT(A834,3)</f>
        <v>P1_EXP3_C_A_AI_056</v>
      </c>
      <c r="M834" s="45"/>
      <c r="N834" s="45"/>
      <c r="O834" s="46"/>
      <c r="P834" s="46"/>
      <c r="Q834" s="46"/>
      <c r="R834" s="47"/>
      <c r="S834" s="45"/>
      <c r="T834" s="45"/>
      <c r="U834" s="48" t="str">
        <f aca="false">IF(O834&gt;0,P834/O834,"")</f>
        <v/>
      </c>
      <c r="V834" s="49" t="str">
        <f aca="false">IF(P834&gt;0,Q834/P834,"")</f>
        <v/>
      </c>
      <c r="W834" s="50" t="n">
        <f aca="false">IF(R834&lt;&gt;"",R834,Q834*'Cài đặt'!$B$12)</f>
        <v>0</v>
      </c>
      <c r="X834" s="50" t="str">
        <f aca="false">IF(O834&gt;0,W834/O834*1000,"")</f>
        <v/>
      </c>
      <c r="Y834" s="51" t="n">
        <f aca="false">IF(T834&lt;&gt;"",T834,INDEX('Cài đặt'!$B$20:$C$22,MATCH(I834,'Cài đặt'!$A$20:$A$22,0),IF(K834="AI tự động",1,2)))</f>
        <v>4</v>
      </c>
    </row>
    <row r="835" customFormat="false" ht="15" hidden="false" customHeight="false" outlineLevel="0" collapsed="false">
      <c r="A835" s="41" t="s">
        <v>1285</v>
      </c>
      <c r="B835" s="41" t="s">
        <v>958</v>
      </c>
      <c r="C835" s="41" t="s">
        <v>163</v>
      </c>
      <c r="D835" s="42" t="str">
        <f aca="false">INDEX('Page và Ngách'!$B$5:$B$10,MATCH(C835,'Page và Ngách'!$A$5:$A$10,0))</f>
        <v>Secret billionaire / CEO</v>
      </c>
      <c r="E835" s="41" t="n">
        <v>28</v>
      </c>
      <c r="F835" s="43" t="n">
        <f aca="false">'Cài đặt'!$B$39+E835-1</f>
        <v>46404</v>
      </c>
      <c r="G835" s="41" t="s">
        <v>444</v>
      </c>
      <c r="H835" s="44" t="str">
        <f aca="false">IF(G835="S1",'Cài đặt'!$B$7,'Cài đặt'!$B$8)</f>
        <v>12:00</v>
      </c>
      <c r="I835" s="44" t="str">
        <f aca="false">'Cài đặt'!$B$32</f>
        <v>Carousel</v>
      </c>
      <c r="J835" s="44" t="str">
        <f aca="false">'Cài đặt'!$B$33</f>
        <v>A</v>
      </c>
      <c r="K835" s="41" t="s">
        <v>445</v>
      </c>
      <c r="L835" s="42" t="str">
        <f aca="false">C835&amp;"_"&amp;B835&amp;"_"&amp;IF(I835="Reel","R",IF(I835="Carousel","C","I"))&amp;"_"&amp;J835&amp;"_"&amp;IF(K835="AI tự động","AI","HU")&amp;"_"&amp;RIGHT(A835,3)</f>
        <v>P2_EXP3_C_A_AI_055</v>
      </c>
      <c r="M835" s="45"/>
      <c r="N835" s="45"/>
      <c r="O835" s="46"/>
      <c r="P835" s="46"/>
      <c r="Q835" s="46"/>
      <c r="R835" s="47"/>
      <c r="S835" s="45"/>
      <c r="T835" s="45"/>
      <c r="U835" s="48" t="str">
        <f aca="false">IF(O835&gt;0,P835/O835,"")</f>
        <v/>
      </c>
      <c r="V835" s="49" t="str">
        <f aca="false">IF(P835&gt;0,Q835/P835,"")</f>
        <v/>
      </c>
      <c r="W835" s="50" t="n">
        <f aca="false">IF(R835&lt;&gt;"",R835,Q835*'Cài đặt'!$B$12)</f>
        <v>0</v>
      </c>
      <c r="X835" s="50" t="str">
        <f aca="false">IF(O835&gt;0,W835/O835*1000,"")</f>
        <v/>
      </c>
      <c r="Y835" s="51" t="n">
        <f aca="false">IF(T835&lt;&gt;"",T835,INDEX('Cài đặt'!$B$20:$C$22,MATCH(I835,'Cài đặt'!$A$20:$A$22,0),IF(K835="AI tự động",1,2)))</f>
        <v>4</v>
      </c>
    </row>
    <row r="836" customFormat="false" ht="15" hidden="false" customHeight="false" outlineLevel="0" collapsed="false">
      <c r="A836" s="41" t="s">
        <v>1286</v>
      </c>
      <c r="B836" s="41" t="s">
        <v>958</v>
      </c>
      <c r="C836" s="41" t="s">
        <v>163</v>
      </c>
      <c r="D836" s="42" t="str">
        <f aca="false">INDEX('Page và Ngách'!$B$5:$B$10,MATCH(C836,'Page và Ngách'!$A$5:$A$10,0))</f>
        <v>Secret billionaire / CEO</v>
      </c>
      <c r="E836" s="41" t="n">
        <v>28</v>
      </c>
      <c r="F836" s="43" t="n">
        <f aca="false">'Cài đặt'!$B$39+E836-1</f>
        <v>46404</v>
      </c>
      <c r="G836" s="41" t="s">
        <v>451</v>
      </c>
      <c r="H836" s="44" t="str">
        <f aca="false">IF(G836="S1",'Cài đặt'!$B$7,'Cài đặt'!$B$8)</f>
        <v>20:00</v>
      </c>
      <c r="I836" s="44" t="str">
        <f aca="false">'Cài đặt'!$B$32</f>
        <v>Carousel</v>
      </c>
      <c r="J836" s="44" t="str">
        <f aca="false">'Cài đặt'!$B$33</f>
        <v>A</v>
      </c>
      <c r="K836" s="41" t="s">
        <v>445</v>
      </c>
      <c r="L836" s="42" t="str">
        <f aca="false">C836&amp;"_"&amp;B836&amp;"_"&amp;IF(I836="Reel","R",IF(I836="Carousel","C","I"))&amp;"_"&amp;J836&amp;"_"&amp;IF(K836="AI tự động","AI","HU")&amp;"_"&amp;RIGHT(A836,3)</f>
        <v>P2_EXP3_C_A_AI_056</v>
      </c>
      <c r="M836" s="45"/>
      <c r="N836" s="45"/>
      <c r="O836" s="46"/>
      <c r="P836" s="46"/>
      <c r="Q836" s="46"/>
      <c r="R836" s="47"/>
      <c r="S836" s="45"/>
      <c r="T836" s="45"/>
      <c r="U836" s="48" t="str">
        <f aca="false">IF(O836&gt;0,P836/O836,"")</f>
        <v/>
      </c>
      <c r="V836" s="49" t="str">
        <f aca="false">IF(P836&gt;0,Q836/P836,"")</f>
        <v/>
      </c>
      <c r="W836" s="50" t="n">
        <f aca="false">IF(R836&lt;&gt;"",R836,Q836*'Cài đặt'!$B$12)</f>
        <v>0</v>
      </c>
      <c r="X836" s="50" t="str">
        <f aca="false">IF(O836&gt;0,W836/O836*1000,"")</f>
        <v/>
      </c>
      <c r="Y836" s="51" t="n">
        <f aca="false">IF(T836&lt;&gt;"",T836,INDEX('Cài đặt'!$B$20:$C$22,MATCH(I836,'Cài đặt'!$A$20:$A$22,0),IF(K836="AI tự động",1,2)))</f>
        <v>4</v>
      </c>
    </row>
    <row r="837" customFormat="false" ht="15" hidden="false" customHeight="false" outlineLevel="0" collapsed="false">
      <c r="A837" s="41" t="s">
        <v>1287</v>
      </c>
      <c r="B837" s="41" t="s">
        <v>958</v>
      </c>
      <c r="C837" s="41" t="s">
        <v>171</v>
      </c>
      <c r="D837" s="42" t="str">
        <f aca="false">INDEX('Page và Ngách'!$B$5:$B$10,MATCH(C837,'Page và Ngách'!$A$5:$A$10,0))</f>
        <v>Contract marriage / Fake relationship</v>
      </c>
      <c r="E837" s="41" t="n">
        <v>28</v>
      </c>
      <c r="F837" s="43" t="n">
        <f aca="false">'Cài đặt'!$B$39+E837-1</f>
        <v>46404</v>
      </c>
      <c r="G837" s="41" t="s">
        <v>444</v>
      </c>
      <c r="H837" s="44" t="str">
        <f aca="false">IF(G837="S1",'Cài đặt'!$B$7,'Cài đặt'!$B$8)</f>
        <v>12:00</v>
      </c>
      <c r="I837" s="44" t="str">
        <f aca="false">'Cài đặt'!$B$32</f>
        <v>Carousel</v>
      </c>
      <c r="J837" s="44" t="str">
        <f aca="false">'Cài đặt'!$B$33</f>
        <v>A</v>
      </c>
      <c r="K837" s="41" t="s">
        <v>961</v>
      </c>
      <c r="L837" s="42" t="str">
        <f aca="false">C837&amp;"_"&amp;B837&amp;"_"&amp;IF(I837="Reel","R",IF(I837="Carousel","C","I"))&amp;"_"&amp;J837&amp;"_"&amp;IF(K837="AI tự động","AI","HU")&amp;"_"&amp;RIGHT(A837,3)</f>
        <v>P3_EXP3_C_A_HU_055</v>
      </c>
      <c r="M837" s="45"/>
      <c r="N837" s="45"/>
      <c r="O837" s="46"/>
      <c r="P837" s="46"/>
      <c r="Q837" s="46"/>
      <c r="R837" s="47"/>
      <c r="S837" s="45"/>
      <c r="T837" s="45"/>
      <c r="U837" s="48" t="str">
        <f aca="false">IF(O837&gt;0,P837/O837,"")</f>
        <v/>
      </c>
      <c r="V837" s="49" t="str">
        <f aca="false">IF(P837&gt;0,Q837/P837,"")</f>
        <v/>
      </c>
      <c r="W837" s="50" t="n">
        <f aca="false">IF(R837&lt;&gt;"",R837,Q837*'Cài đặt'!$B$12)</f>
        <v>0</v>
      </c>
      <c r="X837" s="50" t="str">
        <f aca="false">IF(O837&gt;0,W837/O837*1000,"")</f>
        <v/>
      </c>
      <c r="Y837" s="51" t="n">
        <f aca="false">IF(T837&lt;&gt;"",T837,INDEX('Cài đặt'!$B$20:$C$22,MATCH(I837,'Cài đặt'!$A$20:$A$22,0),IF(K837="AI tự động",1,2)))</f>
        <v>25</v>
      </c>
    </row>
    <row r="838" customFormat="false" ht="15" hidden="false" customHeight="false" outlineLevel="0" collapsed="false">
      <c r="A838" s="41" t="s">
        <v>1288</v>
      </c>
      <c r="B838" s="41" t="s">
        <v>958</v>
      </c>
      <c r="C838" s="41" t="s">
        <v>171</v>
      </c>
      <c r="D838" s="42" t="str">
        <f aca="false">INDEX('Page và Ngách'!$B$5:$B$10,MATCH(C838,'Page và Ngách'!$A$5:$A$10,0))</f>
        <v>Contract marriage / Fake relationship</v>
      </c>
      <c r="E838" s="41" t="n">
        <v>28</v>
      </c>
      <c r="F838" s="43" t="n">
        <f aca="false">'Cài đặt'!$B$39+E838-1</f>
        <v>46404</v>
      </c>
      <c r="G838" s="41" t="s">
        <v>451</v>
      </c>
      <c r="H838" s="44" t="str">
        <f aca="false">IF(G838="S1",'Cài đặt'!$B$7,'Cài đặt'!$B$8)</f>
        <v>20:00</v>
      </c>
      <c r="I838" s="44" t="str">
        <f aca="false">'Cài đặt'!$B$32</f>
        <v>Carousel</v>
      </c>
      <c r="J838" s="44" t="str">
        <f aca="false">'Cài đặt'!$B$33</f>
        <v>A</v>
      </c>
      <c r="K838" s="41" t="s">
        <v>445</v>
      </c>
      <c r="L838" s="42" t="str">
        <f aca="false">C838&amp;"_"&amp;B838&amp;"_"&amp;IF(I838="Reel","R",IF(I838="Carousel","C","I"))&amp;"_"&amp;J838&amp;"_"&amp;IF(K838="AI tự động","AI","HU")&amp;"_"&amp;RIGHT(A838,3)</f>
        <v>P3_EXP3_C_A_AI_056</v>
      </c>
      <c r="M838" s="45"/>
      <c r="N838" s="45"/>
      <c r="O838" s="46"/>
      <c r="P838" s="46"/>
      <c r="Q838" s="46"/>
      <c r="R838" s="47"/>
      <c r="S838" s="45"/>
      <c r="T838" s="45"/>
      <c r="U838" s="48" t="str">
        <f aca="false">IF(O838&gt;0,P838/O838,"")</f>
        <v/>
      </c>
      <c r="V838" s="49" t="str">
        <f aca="false">IF(P838&gt;0,Q838/P838,"")</f>
        <v/>
      </c>
      <c r="W838" s="50" t="n">
        <f aca="false">IF(R838&lt;&gt;"",R838,Q838*'Cài đặt'!$B$12)</f>
        <v>0</v>
      </c>
      <c r="X838" s="50" t="str">
        <f aca="false">IF(O838&gt;0,W838/O838*1000,"")</f>
        <v/>
      </c>
      <c r="Y838" s="51" t="n">
        <f aca="false">IF(T838&lt;&gt;"",T838,INDEX('Cài đặt'!$B$20:$C$22,MATCH(I838,'Cài đặt'!$A$20:$A$22,0),IF(K838="AI tự động",1,2)))</f>
        <v>4</v>
      </c>
    </row>
    <row r="839" customFormat="false" ht="15" hidden="false" customHeight="false" outlineLevel="0" collapsed="false">
      <c r="A839" s="41" t="s">
        <v>1289</v>
      </c>
      <c r="B839" s="41" t="s">
        <v>958</v>
      </c>
      <c r="C839" s="41" t="s">
        <v>178</v>
      </c>
      <c r="D839" s="42" t="str">
        <f aca="false">INDEX('Page và Ngách'!$B$5:$B$10,MATCH(C839,'Page và Ngách'!$A$5:$A$10,0))</f>
        <v>Revenge / Betrayal ("you'll regret it")</v>
      </c>
      <c r="E839" s="41" t="n">
        <v>28</v>
      </c>
      <c r="F839" s="43" t="n">
        <f aca="false">'Cài đặt'!$B$39+E839-1</f>
        <v>46404</v>
      </c>
      <c r="G839" s="41" t="s">
        <v>444</v>
      </c>
      <c r="H839" s="44" t="str">
        <f aca="false">IF(G839="S1",'Cài đặt'!$B$7,'Cài đặt'!$B$8)</f>
        <v>12:00</v>
      </c>
      <c r="I839" s="44" t="str">
        <f aca="false">'Cài đặt'!$B$32</f>
        <v>Carousel</v>
      </c>
      <c r="J839" s="44" t="str">
        <f aca="false">'Cài đặt'!$B$33</f>
        <v>A</v>
      </c>
      <c r="K839" s="41" t="s">
        <v>445</v>
      </c>
      <c r="L839" s="42" t="str">
        <f aca="false">C839&amp;"_"&amp;B839&amp;"_"&amp;IF(I839="Reel","R",IF(I839="Carousel","C","I"))&amp;"_"&amp;J839&amp;"_"&amp;IF(K839="AI tự động","AI","HU")&amp;"_"&amp;RIGHT(A839,3)</f>
        <v>P4_EXP3_C_A_AI_055</v>
      </c>
      <c r="M839" s="45"/>
      <c r="N839" s="45"/>
      <c r="O839" s="46"/>
      <c r="P839" s="46"/>
      <c r="Q839" s="46"/>
      <c r="R839" s="47"/>
      <c r="S839" s="45"/>
      <c r="T839" s="45"/>
      <c r="U839" s="48" t="str">
        <f aca="false">IF(O839&gt;0,P839/O839,"")</f>
        <v/>
      </c>
      <c r="V839" s="49" t="str">
        <f aca="false">IF(P839&gt;0,Q839/P839,"")</f>
        <v/>
      </c>
      <c r="W839" s="50" t="n">
        <f aca="false">IF(R839&lt;&gt;"",R839,Q839*'Cài đặt'!$B$12)</f>
        <v>0</v>
      </c>
      <c r="X839" s="50" t="str">
        <f aca="false">IF(O839&gt;0,W839/O839*1000,"")</f>
        <v/>
      </c>
      <c r="Y839" s="51" t="n">
        <f aca="false">IF(T839&lt;&gt;"",T839,INDEX('Cài đặt'!$B$20:$C$22,MATCH(I839,'Cài đặt'!$A$20:$A$22,0),IF(K839="AI tự động",1,2)))</f>
        <v>4</v>
      </c>
    </row>
    <row r="840" customFormat="false" ht="15" hidden="false" customHeight="false" outlineLevel="0" collapsed="false">
      <c r="A840" s="41" t="s">
        <v>1290</v>
      </c>
      <c r="B840" s="41" t="s">
        <v>958</v>
      </c>
      <c r="C840" s="41" t="s">
        <v>178</v>
      </c>
      <c r="D840" s="42" t="str">
        <f aca="false">INDEX('Page và Ngách'!$B$5:$B$10,MATCH(C840,'Page và Ngách'!$A$5:$A$10,0))</f>
        <v>Revenge / Betrayal ("you'll regret it")</v>
      </c>
      <c r="E840" s="41" t="n">
        <v>28</v>
      </c>
      <c r="F840" s="43" t="n">
        <f aca="false">'Cài đặt'!$B$39+E840-1</f>
        <v>46404</v>
      </c>
      <c r="G840" s="41" t="s">
        <v>451</v>
      </c>
      <c r="H840" s="44" t="str">
        <f aca="false">IF(G840="S1",'Cài đặt'!$B$7,'Cài đặt'!$B$8)</f>
        <v>20:00</v>
      </c>
      <c r="I840" s="44" t="str">
        <f aca="false">'Cài đặt'!$B$32</f>
        <v>Carousel</v>
      </c>
      <c r="J840" s="44" t="str">
        <f aca="false">'Cài đặt'!$B$33</f>
        <v>A</v>
      </c>
      <c r="K840" s="41" t="s">
        <v>445</v>
      </c>
      <c r="L840" s="42" t="str">
        <f aca="false">C840&amp;"_"&amp;B840&amp;"_"&amp;IF(I840="Reel","R",IF(I840="Carousel","C","I"))&amp;"_"&amp;J840&amp;"_"&amp;IF(K840="AI tự động","AI","HU")&amp;"_"&amp;RIGHT(A840,3)</f>
        <v>P4_EXP3_C_A_AI_056</v>
      </c>
      <c r="M840" s="45"/>
      <c r="N840" s="45"/>
      <c r="O840" s="46"/>
      <c r="P840" s="46"/>
      <c r="Q840" s="46"/>
      <c r="R840" s="47"/>
      <c r="S840" s="45"/>
      <c r="T840" s="45"/>
      <c r="U840" s="48" t="str">
        <f aca="false">IF(O840&gt;0,P840/O840,"")</f>
        <v/>
      </c>
      <c r="V840" s="49" t="str">
        <f aca="false">IF(P840&gt;0,Q840/P840,"")</f>
        <v/>
      </c>
      <c r="W840" s="50" t="n">
        <f aca="false">IF(R840&lt;&gt;"",R840,Q840*'Cài đặt'!$B$12)</f>
        <v>0</v>
      </c>
      <c r="X840" s="50" t="str">
        <f aca="false">IF(O840&gt;0,W840/O840*1000,"")</f>
        <v/>
      </c>
      <c r="Y840" s="51" t="n">
        <f aca="false">IF(T840&lt;&gt;"",T840,INDEX('Cài đặt'!$B$20:$C$22,MATCH(I840,'Cài đặt'!$A$20:$A$22,0),IF(K840="AI tự động",1,2)))</f>
        <v>4</v>
      </c>
    </row>
    <row r="841" customFormat="false" ht="15" hidden="false" customHeight="false" outlineLevel="0" collapsed="false">
      <c r="A841" s="41" t="s">
        <v>1291</v>
      </c>
      <c r="B841" s="41" t="s">
        <v>958</v>
      </c>
      <c r="C841" s="41" t="s">
        <v>185</v>
      </c>
      <c r="D841" s="42" t="str">
        <f aca="false">INDEX('Page và Ngách'!$B$5:$B$10,MATCH(C841,'Page và Ngách'!$A$5:$A$10,0))</f>
        <v>Mafia / Dark romance (teaser PG-13)</v>
      </c>
      <c r="E841" s="41" t="n">
        <v>28</v>
      </c>
      <c r="F841" s="43" t="n">
        <f aca="false">'Cài đặt'!$B$39+E841-1</f>
        <v>46404</v>
      </c>
      <c r="G841" s="41" t="s">
        <v>444</v>
      </c>
      <c r="H841" s="44" t="str">
        <f aca="false">IF(G841="S1",'Cài đặt'!$B$7,'Cài đặt'!$B$8)</f>
        <v>12:00</v>
      </c>
      <c r="I841" s="44" t="str">
        <f aca="false">'Cài đặt'!$B$32</f>
        <v>Carousel</v>
      </c>
      <c r="J841" s="44" t="str">
        <f aca="false">'Cài đặt'!$B$33</f>
        <v>A</v>
      </c>
      <c r="K841" s="41" t="s">
        <v>445</v>
      </c>
      <c r="L841" s="42" t="str">
        <f aca="false">C841&amp;"_"&amp;B841&amp;"_"&amp;IF(I841="Reel","R",IF(I841="Carousel","C","I"))&amp;"_"&amp;J841&amp;"_"&amp;IF(K841="AI tự động","AI","HU")&amp;"_"&amp;RIGHT(A841,3)</f>
        <v>P5_EXP3_C_A_AI_055</v>
      </c>
      <c r="M841" s="45"/>
      <c r="N841" s="45"/>
      <c r="O841" s="46"/>
      <c r="P841" s="46"/>
      <c r="Q841" s="46"/>
      <c r="R841" s="47"/>
      <c r="S841" s="45"/>
      <c r="T841" s="45"/>
      <c r="U841" s="48" t="str">
        <f aca="false">IF(O841&gt;0,P841/O841,"")</f>
        <v/>
      </c>
      <c r="V841" s="49" t="str">
        <f aca="false">IF(P841&gt;0,Q841/P841,"")</f>
        <v/>
      </c>
      <c r="W841" s="50" t="n">
        <f aca="false">IF(R841&lt;&gt;"",R841,Q841*'Cài đặt'!$B$12)</f>
        <v>0</v>
      </c>
      <c r="X841" s="50" t="str">
        <f aca="false">IF(O841&gt;0,W841/O841*1000,"")</f>
        <v/>
      </c>
      <c r="Y841" s="51" t="n">
        <f aca="false">IF(T841&lt;&gt;"",T841,INDEX('Cài đặt'!$B$20:$C$22,MATCH(I841,'Cài đặt'!$A$20:$A$22,0),IF(K841="AI tự động",1,2)))</f>
        <v>4</v>
      </c>
    </row>
    <row r="842" customFormat="false" ht="15" hidden="false" customHeight="false" outlineLevel="0" collapsed="false">
      <c r="A842" s="41" t="s">
        <v>1292</v>
      </c>
      <c r="B842" s="41" t="s">
        <v>958</v>
      </c>
      <c r="C842" s="41" t="s">
        <v>185</v>
      </c>
      <c r="D842" s="42" t="str">
        <f aca="false">INDEX('Page và Ngách'!$B$5:$B$10,MATCH(C842,'Page và Ngách'!$A$5:$A$10,0))</f>
        <v>Mafia / Dark romance (teaser PG-13)</v>
      </c>
      <c r="E842" s="41" t="n">
        <v>28</v>
      </c>
      <c r="F842" s="43" t="n">
        <f aca="false">'Cài đặt'!$B$39+E842-1</f>
        <v>46404</v>
      </c>
      <c r="G842" s="41" t="s">
        <v>451</v>
      </c>
      <c r="H842" s="44" t="str">
        <f aca="false">IF(G842="S1",'Cài đặt'!$B$7,'Cài đặt'!$B$8)</f>
        <v>20:00</v>
      </c>
      <c r="I842" s="44" t="str">
        <f aca="false">'Cài đặt'!$B$32</f>
        <v>Carousel</v>
      </c>
      <c r="J842" s="44" t="str">
        <f aca="false">'Cài đặt'!$B$33</f>
        <v>A</v>
      </c>
      <c r="K842" s="41" t="s">
        <v>961</v>
      </c>
      <c r="L842" s="42" t="str">
        <f aca="false">C842&amp;"_"&amp;B842&amp;"_"&amp;IF(I842="Reel","R",IF(I842="Carousel","C","I"))&amp;"_"&amp;J842&amp;"_"&amp;IF(K842="AI tự động","AI","HU")&amp;"_"&amp;RIGHT(A842,3)</f>
        <v>P5_EXP3_C_A_HU_056</v>
      </c>
      <c r="M842" s="45"/>
      <c r="N842" s="45"/>
      <c r="O842" s="46"/>
      <c r="P842" s="46"/>
      <c r="Q842" s="46"/>
      <c r="R842" s="47"/>
      <c r="S842" s="45"/>
      <c r="T842" s="45"/>
      <c r="U842" s="48" t="str">
        <f aca="false">IF(O842&gt;0,P842/O842,"")</f>
        <v/>
      </c>
      <c r="V842" s="49" t="str">
        <f aca="false">IF(P842&gt;0,Q842/P842,"")</f>
        <v/>
      </c>
      <c r="W842" s="50" t="n">
        <f aca="false">IF(R842&lt;&gt;"",R842,Q842*'Cài đặt'!$B$12)</f>
        <v>0</v>
      </c>
      <c r="X842" s="50" t="str">
        <f aca="false">IF(O842&gt;0,W842/O842*1000,"")</f>
        <v/>
      </c>
      <c r="Y842" s="51" t="n">
        <f aca="false">IF(T842&lt;&gt;"",T842,INDEX('Cài đặt'!$B$20:$C$22,MATCH(I842,'Cài đặt'!$A$20:$A$22,0),IF(K842="AI tự động",1,2)))</f>
        <v>25</v>
      </c>
    </row>
    <row r="843" customFormat="false" ht="15" hidden="false" customHeight="false" outlineLevel="0" collapsed="false">
      <c r="A843" s="41" t="s">
        <v>1293</v>
      </c>
      <c r="B843" s="41" t="s">
        <v>958</v>
      </c>
      <c r="C843" s="41" t="s">
        <v>193</v>
      </c>
      <c r="D843" s="42" t="str">
        <f aca="false">INDEX('Page và Ngách'!$B$5:$B$10,MATCH(C843,'Page và Ngách'!$A$5:$A$10,0))</f>
        <v>Second chance / Secret baby</v>
      </c>
      <c r="E843" s="41" t="n">
        <v>28</v>
      </c>
      <c r="F843" s="43" t="n">
        <f aca="false">'Cài đặt'!$B$39+E843-1</f>
        <v>46404</v>
      </c>
      <c r="G843" s="41" t="s">
        <v>444</v>
      </c>
      <c r="H843" s="44" t="str">
        <f aca="false">IF(G843="S1",'Cài đặt'!$B$7,'Cài đặt'!$B$8)</f>
        <v>12:00</v>
      </c>
      <c r="I843" s="44" t="str">
        <f aca="false">'Cài đặt'!$B$32</f>
        <v>Carousel</v>
      </c>
      <c r="J843" s="44" t="str">
        <f aca="false">'Cài đặt'!$B$33</f>
        <v>A</v>
      </c>
      <c r="K843" s="41" t="s">
        <v>445</v>
      </c>
      <c r="L843" s="42" t="str">
        <f aca="false">C843&amp;"_"&amp;B843&amp;"_"&amp;IF(I843="Reel","R",IF(I843="Carousel","C","I"))&amp;"_"&amp;J843&amp;"_"&amp;IF(K843="AI tự động","AI","HU")&amp;"_"&amp;RIGHT(A843,3)</f>
        <v>P6_EXP3_C_A_AI_055</v>
      </c>
      <c r="M843" s="45"/>
      <c r="N843" s="45"/>
      <c r="O843" s="46"/>
      <c r="P843" s="46"/>
      <c r="Q843" s="46"/>
      <c r="R843" s="47"/>
      <c r="S843" s="45"/>
      <c r="T843" s="45"/>
      <c r="U843" s="48" t="str">
        <f aca="false">IF(O843&gt;0,P843/O843,"")</f>
        <v/>
      </c>
      <c r="V843" s="49" t="str">
        <f aca="false">IF(P843&gt;0,Q843/P843,"")</f>
        <v/>
      </c>
      <c r="W843" s="50" t="n">
        <f aca="false">IF(R843&lt;&gt;"",R843,Q843*'Cài đặt'!$B$12)</f>
        <v>0</v>
      </c>
      <c r="X843" s="50" t="str">
        <f aca="false">IF(O843&gt;0,W843/O843*1000,"")</f>
        <v/>
      </c>
      <c r="Y843" s="51" t="n">
        <f aca="false">IF(T843&lt;&gt;"",T843,INDEX('Cài đặt'!$B$20:$C$22,MATCH(I843,'Cài đặt'!$A$20:$A$22,0),IF(K843="AI tự động",1,2)))</f>
        <v>4</v>
      </c>
    </row>
    <row r="844" customFormat="false" ht="15" hidden="false" customHeight="false" outlineLevel="0" collapsed="false">
      <c r="A844" s="41" t="s">
        <v>1294</v>
      </c>
      <c r="B844" s="41" t="s">
        <v>958</v>
      </c>
      <c r="C844" s="41" t="s">
        <v>193</v>
      </c>
      <c r="D844" s="42" t="str">
        <f aca="false">INDEX('Page và Ngách'!$B$5:$B$10,MATCH(C844,'Page và Ngách'!$A$5:$A$10,0))</f>
        <v>Second chance / Secret baby</v>
      </c>
      <c r="E844" s="41" t="n">
        <v>28</v>
      </c>
      <c r="F844" s="43" t="n">
        <f aca="false">'Cài đặt'!$B$39+E844-1</f>
        <v>46404</v>
      </c>
      <c r="G844" s="41" t="s">
        <v>451</v>
      </c>
      <c r="H844" s="44" t="str">
        <f aca="false">IF(G844="S1",'Cài đặt'!$B$7,'Cài đặt'!$B$8)</f>
        <v>20:00</v>
      </c>
      <c r="I844" s="44" t="str">
        <f aca="false">'Cài đặt'!$B$32</f>
        <v>Carousel</v>
      </c>
      <c r="J844" s="44" t="str">
        <f aca="false">'Cài đặt'!$B$33</f>
        <v>A</v>
      </c>
      <c r="K844" s="41" t="s">
        <v>445</v>
      </c>
      <c r="L844" s="42" t="str">
        <f aca="false">C844&amp;"_"&amp;B844&amp;"_"&amp;IF(I844="Reel","R",IF(I844="Carousel","C","I"))&amp;"_"&amp;J844&amp;"_"&amp;IF(K844="AI tự động","AI","HU")&amp;"_"&amp;RIGHT(A844,3)</f>
        <v>P6_EXP3_C_A_AI_056</v>
      </c>
      <c r="M844" s="45"/>
      <c r="N844" s="45"/>
      <c r="O844" s="46"/>
      <c r="P844" s="46"/>
      <c r="Q844" s="46"/>
      <c r="R844" s="47"/>
      <c r="S844" s="45"/>
      <c r="T844" s="45"/>
      <c r="U844" s="48" t="str">
        <f aca="false">IF(O844&gt;0,P844/O844,"")</f>
        <v/>
      </c>
      <c r="V844" s="49" t="str">
        <f aca="false">IF(P844&gt;0,Q844/P844,"")</f>
        <v/>
      </c>
      <c r="W844" s="50" t="n">
        <f aca="false">IF(R844&lt;&gt;"",R844,Q844*'Cài đặt'!$B$12)</f>
        <v>0</v>
      </c>
      <c r="X844" s="50" t="str">
        <f aca="false">IF(O844&gt;0,W844/O844*1000,"")</f>
        <v/>
      </c>
      <c r="Y844" s="51" t="n">
        <f aca="false">IF(T844&lt;&gt;"",T844,INDEX('Cài đặt'!$B$20:$C$22,MATCH(I844,'Cài đặt'!$A$20:$A$22,0),IF(K844="AI tự động",1,2)))</f>
        <v>4</v>
      </c>
    </row>
  </sheetData>
  <autoFilter ref="A3:Y8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O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2"/>
    <col collapsed="false" customWidth="true" hidden="false" outlineLevel="0" max="4" min="4" style="0" width="11"/>
    <col collapsed="false" customWidth="true" hidden="false" outlineLevel="0" max="5" min="5" style="0" width="14"/>
    <col collapsed="false" customWidth="true" hidden="false" outlineLevel="0" max="6" min="6" style="0" width="13"/>
    <col collapsed="false" customWidth="true" hidden="false" outlineLevel="0" max="8" min="7" style="0" width="12"/>
    <col collapsed="false" customWidth="true" hidden="false" outlineLevel="0" max="9" min="9" style="0" width="13"/>
    <col collapsed="false" customWidth="true" hidden="false" outlineLevel="0" max="10" min="10" style="0" width="12"/>
    <col collapsed="false" customWidth="true" hidden="false" outlineLevel="0" max="11" min="11" style="0" width="11"/>
    <col collapsed="false" customWidth="true" hidden="false" outlineLevel="0" max="12" min="12" style="0" width="10"/>
    <col collapsed="false" customWidth="true" hidden="false" outlineLevel="0" max="13" min="13" style="0" width="11"/>
    <col collapsed="false" customWidth="true" hidden="false" outlineLevel="0" max="14" min="14" style="0" width="12"/>
    <col collapsed="false" customWidth="true" hidden="false" outlineLevel="0" max="15" min="15" style="0" width="40"/>
  </cols>
  <sheetData>
    <row r="1" customFormat="false" ht="18.55" hidden="false" customHeight="false" outlineLevel="0" collapsed="false">
      <c r="A1" s="1" t="s">
        <v>1295</v>
      </c>
    </row>
    <row r="2" customFormat="false" ht="15" hidden="false" customHeight="false" outlineLevel="0" collapsed="false">
      <c r="A2" s="2" t="s">
        <v>1296</v>
      </c>
    </row>
    <row r="4" customFormat="false" ht="15" hidden="false" customHeight="false" outlineLevel="0" collapsed="false">
      <c r="A4" s="12" t="s">
        <v>1297</v>
      </c>
      <c r="B4" s="12"/>
      <c r="C4" s="12"/>
      <c r="D4" s="12"/>
      <c r="E4" s="12"/>
      <c r="F4" s="12"/>
      <c r="G4" s="12"/>
      <c r="H4" s="12"/>
      <c r="I4" s="12"/>
      <c r="J4" s="12"/>
      <c r="K4" s="12"/>
      <c r="L4" s="12"/>
      <c r="M4" s="12"/>
      <c r="N4" s="12"/>
      <c r="O4" s="12"/>
    </row>
    <row r="5" customFormat="false" ht="30" hidden="false" customHeight="true" outlineLevel="0" collapsed="false">
      <c r="A5" s="5" t="s">
        <v>15</v>
      </c>
      <c r="B5" s="5" t="s">
        <v>1298</v>
      </c>
      <c r="C5" s="5" t="s">
        <v>1299</v>
      </c>
      <c r="D5" s="5" t="s">
        <v>1300</v>
      </c>
      <c r="E5" s="5" t="s">
        <v>1301</v>
      </c>
    </row>
    <row r="6" customFormat="false" ht="46.25" hidden="false" customHeight="false" outlineLevel="0" collapsed="false">
      <c r="A6" s="6" t="s">
        <v>1302</v>
      </c>
      <c r="B6" s="25" t="str">
        <f aca="false">$B$18</f>
        <v>(chưa có dữ liệu)</v>
      </c>
      <c r="C6" s="25" t="str">
        <f aca="false">$B$19</f>
        <v>(chưa có dữ liệu)</v>
      </c>
      <c r="D6" s="52" t="str">
        <f aca="false">'Cài đặt'!$B$32</f>
        <v>Carousel</v>
      </c>
      <c r="E6" s="53" t="s">
        <v>1303</v>
      </c>
    </row>
    <row r="7" customFormat="false" ht="46.25" hidden="false" customHeight="false" outlineLevel="0" collapsed="false">
      <c r="A7" s="6" t="s">
        <v>1304</v>
      </c>
      <c r="B7" s="25" t="str">
        <f aca="false">$B$35</f>
        <v>(chưa có dữ liệu)</v>
      </c>
      <c r="C7" s="25" t="str">
        <f aca="false">$B$36</f>
        <v>(chưa có dữ liệu)</v>
      </c>
      <c r="D7" s="52" t="str">
        <f aca="false">'Cài đặt'!$B$33</f>
        <v>A</v>
      </c>
      <c r="E7" s="53" t="s">
        <v>1305</v>
      </c>
    </row>
    <row r="8" customFormat="false" ht="23.85" hidden="false" customHeight="false" outlineLevel="0" collapsed="false">
      <c r="A8" s="6" t="s">
        <v>1306</v>
      </c>
      <c r="B8" s="25" t="str">
        <f aca="false">$B$45</f>
        <v>(chưa có dữ liệu)</v>
      </c>
      <c r="C8" s="25" t="str">
        <f aca="false">$B$46</f>
        <v>(chưa có dữ liệu)</v>
      </c>
      <c r="D8" s="25" t="s">
        <v>1307</v>
      </c>
      <c r="E8" s="6" t="str">
        <f aca="false">$G$51</f>
        <v>Chưa đủ dữ liệu</v>
      </c>
    </row>
    <row r="11" customFormat="false" ht="15" hidden="false" customHeight="false" outlineLevel="0" collapsed="false">
      <c r="A11" s="12" t="s">
        <v>1308</v>
      </c>
      <c r="B11" s="12"/>
      <c r="C11" s="12"/>
      <c r="D11" s="12"/>
      <c r="E11" s="12"/>
      <c r="F11" s="12"/>
      <c r="G11" s="12"/>
      <c r="H11" s="12"/>
      <c r="I11" s="12"/>
      <c r="J11" s="12"/>
      <c r="K11" s="12"/>
      <c r="L11" s="12"/>
      <c r="M11" s="12"/>
      <c r="N11" s="12"/>
      <c r="O11" s="12"/>
    </row>
    <row r="12" customFormat="false" ht="15" hidden="false" customHeight="false" outlineLevel="0" collapsed="false">
      <c r="A12" s="2" t="s">
        <v>1309</v>
      </c>
    </row>
    <row r="13" customFormat="false" ht="30" hidden="false" customHeight="true" outlineLevel="0" collapsed="false">
      <c r="A13" s="5" t="s">
        <v>1310</v>
      </c>
      <c r="B13" s="5" t="s">
        <v>1311</v>
      </c>
      <c r="C13" s="5" t="s">
        <v>431</v>
      </c>
      <c r="D13" s="5" t="s">
        <v>1312</v>
      </c>
      <c r="E13" s="5" t="s">
        <v>433</v>
      </c>
      <c r="F13" s="5" t="s">
        <v>1313</v>
      </c>
      <c r="G13" s="5" t="s">
        <v>437</v>
      </c>
      <c r="H13" s="5" t="s">
        <v>438</v>
      </c>
      <c r="I13" s="5" t="s">
        <v>440</v>
      </c>
      <c r="J13" s="5" t="s">
        <v>1314</v>
      </c>
      <c r="K13" s="5" t="s">
        <v>1315</v>
      </c>
      <c r="L13" s="5" t="s">
        <v>1316</v>
      </c>
      <c r="M13" s="5" t="s">
        <v>1317</v>
      </c>
      <c r="N13" s="5" t="s">
        <v>1318</v>
      </c>
      <c r="O13" s="5" t="s">
        <v>1319</v>
      </c>
    </row>
    <row r="14" customFormat="false" ht="15" hidden="false" customHeight="false" outlineLevel="0" collapsed="false">
      <c r="A14" s="6" t="s">
        <v>111</v>
      </c>
      <c r="B14" s="15" t="n">
        <f aca="false">COUNTIFS('Nhật ký bài'!$B$5:$B$844,"EXP1",'Nhật ký bài'!$I$5:$I$844,$A14,'Nhật ký bài'!$O$5:$O$844,"&gt;0")</f>
        <v>0</v>
      </c>
      <c r="C14" s="54" t="n">
        <f aca="false">SUMIFS('Nhật ký bài'!$O$5:$O$844,'Nhật ký bài'!$B$5:$B$844,"EXP1",'Nhật ký bài'!$I$5:$I$844,$A14)</f>
        <v>0</v>
      </c>
      <c r="D14" s="54" t="n">
        <f aca="false">SUMIFS('Nhật ký bài'!$P$5:$P$844,'Nhật ký bài'!$B$5:$B$844,"EXP1",'Nhật ký bài'!$I$5:$I$844,$A14)</f>
        <v>0</v>
      </c>
      <c r="E14" s="54" t="n">
        <f aca="false">SUMIFS('Nhật ký bài'!$Q$5:$Q$844,'Nhật ký bài'!$B$5:$B$844,"EXP1",'Nhật ký bài'!$I$5:$I$844,$A14)</f>
        <v>0</v>
      </c>
      <c r="F14" s="55" t="n">
        <f aca="false">SUMIFS('Nhật ký bài'!$W$5:$W$844,'Nhật ký bài'!$B$5:$B$844,"EXP1",'Nhật ký bài'!$I$5:$I$844,$A14,'Nhật ký bài'!$O$5:$O$844,"&gt;0")</f>
        <v>0</v>
      </c>
      <c r="G14" s="56" t="n">
        <f aca="false">IF(C14&gt;0,D14/C14,0)</f>
        <v>0</v>
      </c>
      <c r="H14" s="57" t="n">
        <f aca="false">IF(D14&gt;0,E14/D14,0)</f>
        <v>0</v>
      </c>
      <c r="I14" s="55" t="n">
        <f aca="false">IF(C14&gt;0,F14/C14*1000,0)</f>
        <v>0</v>
      </c>
      <c r="J14" s="55" t="n">
        <f aca="false">IF(B14&gt;0,F14/B14,0)</f>
        <v>0</v>
      </c>
      <c r="K14" s="54" t="n">
        <f aca="false">SUMIFS('Nhật ký bài'!$Y$5:$Y$844,'Nhật ký bài'!$B$5:$B$844,"EXP1",'Nhật ký bài'!$I$5:$I$844,$A14,'Nhật ký bài'!$O$5:$O$844,"&gt;0")</f>
        <v>0</v>
      </c>
      <c r="L14" s="25" t="s">
        <v>1307</v>
      </c>
      <c r="M14" s="25" t="s">
        <v>1307</v>
      </c>
      <c r="N14" s="25" t="str">
        <f aca="false">IF(AND(B14&gt;='Cài đặt'!$B$26,D14&gt;='Cài đặt'!$B$25),"Đủ","Chưa đủ")</f>
        <v>Chưa đủ</v>
      </c>
      <c r="O14" s="53" t="s">
        <v>1320</v>
      </c>
    </row>
    <row r="15" customFormat="false" ht="15" hidden="false" customHeight="false" outlineLevel="0" collapsed="false">
      <c r="A15" s="6" t="s">
        <v>113</v>
      </c>
      <c r="B15" s="15" t="n">
        <f aca="false">COUNTIFS('Nhật ký bài'!$B$5:$B$844,"EXP1",'Nhật ký bài'!$I$5:$I$844,$A15,'Nhật ký bài'!$O$5:$O$844,"&gt;0")</f>
        <v>0</v>
      </c>
      <c r="C15" s="54" t="n">
        <f aca="false">SUMIFS('Nhật ký bài'!$O$5:$O$844,'Nhật ký bài'!$B$5:$B$844,"EXP1",'Nhật ký bài'!$I$5:$I$844,$A15)</f>
        <v>0</v>
      </c>
      <c r="D15" s="54" t="n">
        <f aca="false">SUMIFS('Nhật ký bài'!$P$5:$P$844,'Nhật ký bài'!$B$5:$B$844,"EXP1",'Nhật ký bài'!$I$5:$I$844,$A15)</f>
        <v>0</v>
      </c>
      <c r="E15" s="54" t="n">
        <f aca="false">SUMIFS('Nhật ký bài'!$Q$5:$Q$844,'Nhật ký bài'!$B$5:$B$844,"EXP1",'Nhật ký bài'!$I$5:$I$844,$A15)</f>
        <v>0</v>
      </c>
      <c r="F15" s="55" t="n">
        <f aca="false">SUMIFS('Nhật ký bài'!$W$5:$W$844,'Nhật ký bài'!$B$5:$B$844,"EXP1",'Nhật ký bài'!$I$5:$I$844,$A15,'Nhật ký bài'!$O$5:$O$844,"&gt;0")</f>
        <v>0</v>
      </c>
      <c r="G15" s="56" t="n">
        <f aca="false">IF(C15&gt;0,D15/C15,0)</f>
        <v>0</v>
      </c>
      <c r="H15" s="57" t="n">
        <f aca="false">IF(D15&gt;0,E15/D15,0)</f>
        <v>0</v>
      </c>
      <c r="I15" s="55" t="n">
        <f aca="false">IF(C15&gt;0,F15/C15*1000,0)</f>
        <v>0</v>
      </c>
      <c r="J15" s="55" t="n">
        <f aca="false">IF(B15&gt;0,F15/B15,0)</f>
        <v>0</v>
      </c>
      <c r="K15" s="54" t="n">
        <f aca="false">SUMIFS('Nhật ký bài'!$Y$5:$Y$844,'Nhật ký bài'!$B$5:$B$844,"EXP1",'Nhật ký bài'!$I$5:$I$844,$A15,'Nhật ký bài'!$O$5:$O$844,"&gt;0")</f>
        <v>0</v>
      </c>
      <c r="L15" s="58" t="str">
        <f aca="false">IFERROR((G15-G14)/SQRT(((D15+D14)/(C15+C14))*(1-((D15+D14)/(C15+C14)))*(1/C15+1/C14)),"")</f>
        <v/>
      </c>
      <c r="M15" s="59" t="str">
        <f aca="false">IF(L15="","",2*(1-NORMSDIST(ABS(L15))))</f>
        <v/>
      </c>
      <c r="N15" s="25" t="str">
        <f aca="false">IF(AND(B15&gt;='Cài đặt'!$B$26,D15&gt;='Cài đặt'!$B$25,B14&gt;='Cài đặt'!$B$26,D14&gt;='Cài đặt'!$B$25),"Đủ","Chưa đủ")</f>
        <v>Chưa đủ</v>
      </c>
      <c r="O15" s="7" t="str">
        <f aca="false">IF(N15="Chưa đủ","Chưa đủ dữ liệu: tiếp tục chạy, CHƯA kết luận",IF(M15="","—",IF(M15&lt;'Cài đặt'!$B$27,IF(G15&gt;G14,"TỐT HƠN mốc (có ý nghĩa)","KÉM HƠN mốc (có ý nghĩa)"),"Chưa phân biệt được → coi là HÒA, chọn cách rẻ công hơn")))</f>
        <v>Chưa đủ dữ liệu: tiếp tục chạy, CHƯA kết luận</v>
      </c>
    </row>
    <row r="16" customFormat="false" ht="15" hidden="false" customHeight="false" outlineLevel="0" collapsed="false">
      <c r="A16" s="6" t="s">
        <v>115</v>
      </c>
      <c r="B16" s="15" t="n">
        <f aca="false">COUNTIFS('Nhật ký bài'!$B$5:$B$844,"EXP1",'Nhật ký bài'!$I$5:$I$844,$A16,'Nhật ký bài'!$O$5:$O$844,"&gt;0")</f>
        <v>0</v>
      </c>
      <c r="C16" s="54" t="n">
        <f aca="false">SUMIFS('Nhật ký bài'!$O$5:$O$844,'Nhật ký bài'!$B$5:$B$844,"EXP1",'Nhật ký bài'!$I$5:$I$844,$A16)</f>
        <v>0</v>
      </c>
      <c r="D16" s="54" t="n">
        <f aca="false">SUMIFS('Nhật ký bài'!$P$5:$P$844,'Nhật ký bài'!$B$5:$B$844,"EXP1",'Nhật ký bài'!$I$5:$I$844,$A16)</f>
        <v>0</v>
      </c>
      <c r="E16" s="54" t="n">
        <f aca="false">SUMIFS('Nhật ký bài'!$Q$5:$Q$844,'Nhật ký bài'!$B$5:$B$844,"EXP1",'Nhật ký bài'!$I$5:$I$844,$A16)</f>
        <v>0</v>
      </c>
      <c r="F16" s="55" t="n">
        <f aca="false">SUMIFS('Nhật ký bài'!$W$5:$W$844,'Nhật ký bài'!$B$5:$B$844,"EXP1",'Nhật ký bài'!$I$5:$I$844,$A16,'Nhật ký bài'!$O$5:$O$844,"&gt;0")</f>
        <v>0</v>
      </c>
      <c r="G16" s="56" t="n">
        <f aca="false">IF(C16&gt;0,D16/C16,0)</f>
        <v>0</v>
      </c>
      <c r="H16" s="57" t="n">
        <f aca="false">IF(D16&gt;0,E16/D16,0)</f>
        <v>0</v>
      </c>
      <c r="I16" s="55" t="n">
        <f aca="false">IF(C16&gt;0,F16/C16*1000,0)</f>
        <v>0</v>
      </c>
      <c r="J16" s="55" t="n">
        <f aca="false">IF(B16&gt;0,F16/B16,0)</f>
        <v>0</v>
      </c>
      <c r="K16" s="54" t="n">
        <f aca="false">SUMIFS('Nhật ký bài'!$Y$5:$Y$844,'Nhật ký bài'!$B$5:$B$844,"EXP1",'Nhật ký bài'!$I$5:$I$844,$A16,'Nhật ký bài'!$O$5:$O$844,"&gt;0")</f>
        <v>0</v>
      </c>
      <c r="L16" s="58" t="str">
        <f aca="false">IFERROR((G16-G14)/SQRT(((D16+D14)/(C16+C14))*(1-((D16+D14)/(C16+C14)))*(1/C16+1/C14)),"")</f>
        <v/>
      </c>
      <c r="M16" s="59" t="str">
        <f aca="false">IF(L16="","",2*(1-NORMSDIST(ABS(L16))))</f>
        <v/>
      </c>
      <c r="N16" s="25" t="str">
        <f aca="false">IF(AND(B16&gt;='Cài đặt'!$B$26,D16&gt;='Cài đặt'!$B$25,B14&gt;='Cài đặt'!$B$26,D14&gt;='Cài đặt'!$B$25),"Đủ","Chưa đủ")</f>
        <v>Chưa đủ</v>
      </c>
      <c r="O16" s="7" t="str">
        <f aca="false">IF(N16="Chưa đủ","Chưa đủ dữ liệu: tiếp tục chạy, CHƯA kết luận",IF(M16="","—",IF(M16&lt;'Cài đặt'!$B$27,IF(G16&gt;G14,"TỐT HƠN mốc (có ý nghĩa)","KÉM HƠN mốc (có ý nghĩa)"),"Chưa phân biệt được → coi là HÒA, chọn cách rẻ công hơn")))</f>
        <v>Chưa đủ dữ liệu: tiếp tục chạy, CHƯA kết luận</v>
      </c>
    </row>
    <row r="18" customFormat="false" ht="23.85" hidden="false" customHeight="false" outlineLevel="0" collapsed="false">
      <c r="A18" s="6" t="s">
        <v>1298</v>
      </c>
      <c r="B18" s="27" t="str">
        <f aca="false">IF(SUM($C$14:$C$16)=0,"(chưa có dữ liệu)",INDEX($A$14:$A$16,MATCH(MAX($G$14:$G$16),$G$14:$G$16,0)))</f>
        <v>(chưa có dữ liệu)</v>
      </c>
      <c r="C18" s="2" t="s">
        <v>1321</v>
      </c>
    </row>
    <row r="19" customFormat="false" ht="23.85" hidden="false" customHeight="false" outlineLevel="0" collapsed="false">
      <c r="A19" s="6" t="s">
        <v>1299</v>
      </c>
      <c r="B19" s="27" t="str">
        <f aca="false">IF(SUM($C$14:$C$16)=0,"(chưa có dữ liệu)",INDEX($A$14:$A$16,MATCH(MAX($I$14:$I$16),$I$14:$I$16,0)))</f>
        <v>(chưa có dữ liệu)</v>
      </c>
      <c r="C19" s="2" t="s">
        <v>1322</v>
      </c>
    </row>
    <row r="21" customFormat="false" ht="15" hidden="false" customHeight="false" outlineLevel="0" collapsed="false">
      <c r="A21" s="26" t="s">
        <v>1323</v>
      </c>
    </row>
    <row r="22" customFormat="false" ht="30" hidden="false" customHeight="true" outlineLevel="0" collapsed="false">
      <c r="A22" s="5" t="s">
        <v>1310</v>
      </c>
      <c r="B22" s="5" t="s">
        <v>1324</v>
      </c>
      <c r="C22" s="5" t="s">
        <v>1325</v>
      </c>
      <c r="D22" s="5" t="s">
        <v>1326</v>
      </c>
      <c r="E22" s="5" t="s">
        <v>1327</v>
      </c>
      <c r="F22" s="5" t="s">
        <v>1328</v>
      </c>
      <c r="G22" s="5" t="s">
        <v>1329</v>
      </c>
    </row>
    <row r="23" customFormat="false" ht="15" hidden="false" customHeight="false" outlineLevel="0" collapsed="false">
      <c r="A23" s="6" t="str">
        <f aca="false">A14</f>
        <v>Ảnh chữ</v>
      </c>
      <c r="B23" s="15" t="n">
        <f aca="false">INDEX('Cài đặt'!$B$20:$B$22,MATCH(A23,'Cài đặt'!$A$20:$A$22,0))</f>
        <v>2</v>
      </c>
      <c r="C23" s="55" t="n">
        <f aca="false">B23/60*'Cài đặt'!$B$16</f>
        <v>0.166666666666667</v>
      </c>
      <c r="D23" s="55" t="n">
        <f aca="false">J14</f>
        <v>0</v>
      </c>
      <c r="E23" s="60" t="n">
        <f aca="false">D23-C23</f>
        <v>-0.166666666666667</v>
      </c>
      <c r="F23" s="25" t="s">
        <v>1307</v>
      </c>
      <c r="G23" s="53" t="s">
        <v>1330</v>
      </c>
    </row>
    <row r="24" customFormat="false" ht="23.85" hidden="false" customHeight="false" outlineLevel="0" collapsed="false">
      <c r="A24" s="6" t="str">
        <f aca="false">A15</f>
        <v>Carousel</v>
      </c>
      <c r="B24" s="15" t="n">
        <f aca="false">INDEX('Cài đặt'!$B$20:$B$22,MATCH(A24,'Cài đặt'!$A$20:$A$22,0))</f>
        <v>4</v>
      </c>
      <c r="C24" s="55" t="n">
        <f aca="false">B24/60*'Cài đặt'!$B$16</f>
        <v>0.333333333333333</v>
      </c>
      <c r="D24" s="55" t="n">
        <f aca="false">J15</f>
        <v>0</v>
      </c>
      <c r="E24" s="60" t="n">
        <f aca="false">D24-C24</f>
        <v>-0.333333333333333</v>
      </c>
      <c r="F24" s="60" t="n">
        <f aca="false">E24-E23</f>
        <v>-0.166666666666667</v>
      </c>
      <c r="G24" s="6" t="str">
        <f aca="false">IF(N15="Chưa đủ","Chưa đủ dữ liệu",IF(F24&gt;0,"XỨNG ĐÁNG hơn Ảnh chữ","KHÔNG bù được công sức"))</f>
        <v>Chưa đủ dữ liệu</v>
      </c>
    </row>
    <row r="25" customFormat="false" ht="23.85" hidden="false" customHeight="false" outlineLevel="0" collapsed="false">
      <c r="A25" s="6" t="str">
        <f aca="false">A16</f>
        <v>Reel</v>
      </c>
      <c r="B25" s="15" t="n">
        <f aca="false">INDEX('Cài đặt'!$B$20:$B$22,MATCH(A25,'Cài đặt'!$A$20:$A$22,0))</f>
        <v>8</v>
      </c>
      <c r="C25" s="55" t="n">
        <f aca="false">B25/60*'Cài đặt'!$B$16</f>
        <v>0.666666666666667</v>
      </c>
      <c r="D25" s="55" t="n">
        <f aca="false">J16</f>
        <v>0</v>
      </c>
      <c r="E25" s="60" t="n">
        <f aca="false">D25-C25</f>
        <v>-0.666666666666667</v>
      </c>
      <c r="F25" s="60" t="n">
        <f aca="false">E25-E23</f>
        <v>-0.5</v>
      </c>
      <c r="G25" s="6" t="str">
        <f aca="false">IF(N16="Chưa đủ","Chưa đủ dữ liệu",IF(F25&gt;0,"XỨNG ĐÁNG hơn Ảnh chữ","KHÔNG bù được công sức"))</f>
        <v>Chưa đủ dữ liệu</v>
      </c>
    </row>
    <row r="26" customFormat="false" ht="15" hidden="false" customHeight="false" outlineLevel="0" collapsed="false">
      <c r="A26" s="2" t="s">
        <v>1331</v>
      </c>
    </row>
    <row r="28" customFormat="false" ht="15" hidden="false" customHeight="false" outlineLevel="0" collapsed="false">
      <c r="A28" s="12" t="s">
        <v>1332</v>
      </c>
      <c r="B28" s="12"/>
      <c r="C28" s="12"/>
      <c r="D28" s="12"/>
      <c r="E28" s="12"/>
      <c r="F28" s="12"/>
      <c r="G28" s="12"/>
      <c r="H28" s="12"/>
      <c r="I28" s="12"/>
      <c r="J28" s="12"/>
      <c r="K28" s="12"/>
      <c r="L28" s="12"/>
      <c r="M28" s="12"/>
      <c r="N28" s="12"/>
      <c r="O28" s="12"/>
    </row>
    <row r="29" customFormat="false" ht="15" hidden="false" customHeight="false" outlineLevel="0" collapsed="false">
      <c r="A29" s="2" t="s">
        <v>1333</v>
      </c>
    </row>
    <row r="30" customFormat="false" ht="30" hidden="false" customHeight="true" outlineLevel="0" collapsed="false">
      <c r="A30" s="5" t="s">
        <v>1310</v>
      </c>
      <c r="B30" s="5" t="s">
        <v>1311</v>
      </c>
      <c r="C30" s="5" t="s">
        <v>431</v>
      </c>
      <c r="D30" s="5" t="s">
        <v>1312</v>
      </c>
      <c r="E30" s="5" t="s">
        <v>433</v>
      </c>
      <c r="F30" s="5" t="s">
        <v>1313</v>
      </c>
      <c r="G30" s="5" t="s">
        <v>437</v>
      </c>
      <c r="H30" s="5" t="s">
        <v>438</v>
      </c>
      <c r="I30" s="5" t="s">
        <v>440</v>
      </c>
      <c r="J30" s="5" t="s">
        <v>1314</v>
      </c>
      <c r="K30" s="5" t="s">
        <v>1315</v>
      </c>
      <c r="L30" s="5" t="s">
        <v>1316</v>
      </c>
      <c r="M30" s="5" t="s">
        <v>1317</v>
      </c>
      <c r="N30" s="5" t="s">
        <v>1318</v>
      </c>
      <c r="O30" s="5" t="s">
        <v>1319</v>
      </c>
    </row>
    <row r="31" customFormat="false" ht="15" hidden="false" customHeight="false" outlineLevel="0" collapsed="false">
      <c r="A31" s="6" t="s">
        <v>132</v>
      </c>
      <c r="B31" s="15" t="n">
        <f aca="false">COUNTIFS('Nhật ký bài'!$B$5:$B$844,"EXP2",'Nhật ký bài'!$J$5:$J$844,$A31,'Nhật ký bài'!$O$5:$O$844,"&gt;0")</f>
        <v>0</v>
      </c>
      <c r="C31" s="54" t="n">
        <f aca="false">SUMIFS('Nhật ký bài'!$O$5:$O$844,'Nhật ký bài'!$B$5:$B$844,"EXP2",'Nhật ký bài'!$J$5:$J$844,$A31)</f>
        <v>0</v>
      </c>
      <c r="D31" s="54" t="n">
        <f aca="false">SUMIFS('Nhật ký bài'!$P$5:$P$844,'Nhật ký bài'!$B$5:$B$844,"EXP2",'Nhật ký bài'!$J$5:$J$844,$A31)</f>
        <v>0</v>
      </c>
      <c r="E31" s="54" t="n">
        <f aca="false">SUMIFS('Nhật ký bài'!$Q$5:$Q$844,'Nhật ký bài'!$B$5:$B$844,"EXP2",'Nhật ký bài'!$J$5:$J$844,$A31)</f>
        <v>0</v>
      </c>
      <c r="F31" s="55" t="n">
        <f aca="false">SUMIFS('Nhật ký bài'!$W$5:$W$844,'Nhật ký bài'!$B$5:$B$844,"EXP2",'Nhật ký bài'!$J$5:$J$844,$A31,'Nhật ký bài'!$O$5:$O$844,"&gt;0")</f>
        <v>0</v>
      </c>
      <c r="G31" s="56" t="n">
        <f aca="false">IF(C31&gt;0,D31/C31,0)</f>
        <v>0</v>
      </c>
      <c r="H31" s="57" t="n">
        <f aca="false">IF(D31&gt;0,E31/D31,0)</f>
        <v>0</v>
      </c>
      <c r="I31" s="55" t="n">
        <f aca="false">IF(C31&gt;0,F31/C31*1000,0)</f>
        <v>0</v>
      </c>
      <c r="J31" s="55" t="n">
        <f aca="false">IF(B31&gt;0,F31/B31,0)</f>
        <v>0</v>
      </c>
      <c r="K31" s="54" t="n">
        <f aca="false">SUMIFS('Nhật ký bài'!$Y$5:$Y$844,'Nhật ký bài'!$B$5:$B$844,"EXP2",'Nhật ký bài'!$J$5:$J$844,$A31,'Nhật ký bài'!$O$5:$O$844,"&gt;0")</f>
        <v>0</v>
      </c>
      <c r="L31" s="25" t="s">
        <v>1307</v>
      </c>
      <c r="M31" s="25" t="s">
        <v>1307</v>
      </c>
      <c r="N31" s="25" t="str">
        <f aca="false">IF(AND(B31&gt;='Cài đặt'!$B$26,D31&gt;='Cài đặt'!$B$25),"Đủ","Chưa đủ")</f>
        <v>Chưa đủ</v>
      </c>
      <c r="O31" s="53" t="s">
        <v>1320</v>
      </c>
    </row>
    <row r="32" customFormat="false" ht="15" hidden="false" customHeight="false" outlineLevel="0" collapsed="false">
      <c r="A32" s="6" t="s">
        <v>704</v>
      </c>
      <c r="B32" s="15" t="n">
        <f aca="false">COUNTIFS('Nhật ký bài'!$B$5:$B$844,"EXP2",'Nhật ký bài'!$J$5:$J$844,$A32,'Nhật ký bài'!$O$5:$O$844,"&gt;0")</f>
        <v>0</v>
      </c>
      <c r="C32" s="54" t="n">
        <f aca="false">SUMIFS('Nhật ký bài'!$O$5:$O$844,'Nhật ký bài'!$B$5:$B$844,"EXP2",'Nhật ký bài'!$J$5:$J$844,$A32)</f>
        <v>0</v>
      </c>
      <c r="D32" s="54" t="n">
        <f aca="false">SUMIFS('Nhật ký bài'!$P$5:$P$844,'Nhật ký bài'!$B$5:$B$844,"EXP2",'Nhật ký bài'!$J$5:$J$844,$A32)</f>
        <v>0</v>
      </c>
      <c r="E32" s="54" t="n">
        <f aca="false">SUMIFS('Nhật ký bài'!$Q$5:$Q$844,'Nhật ký bài'!$B$5:$B$844,"EXP2",'Nhật ký bài'!$J$5:$J$844,$A32)</f>
        <v>0</v>
      </c>
      <c r="F32" s="55" t="n">
        <f aca="false">SUMIFS('Nhật ký bài'!$W$5:$W$844,'Nhật ký bài'!$B$5:$B$844,"EXP2",'Nhật ký bài'!$J$5:$J$844,$A32,'Nhật ký bài'!$O$5:$O$844,"&gt;0")</f>
        <v>0</v>
      </c>
      <c r="G32" s="56" t="n">
        <f aca="false">IF(C32&gt;0,D32/C32,0)</f>
        <v>0</v>
      </c>
      <c r="H32" s="57" t="n">
        <f aca="false">IF(D32&gt;0,E32/D32,0)</f>
        <v>0</v>
      </c>
      <c r="I32" s="55" t="n">
        <f aca="false">IF(C32&gt;0,F32/C32*1000,0)</f>
        <v>0</v>
      </c>
      <c r="J32" s="55" t="n">
        <f aca="false">IF(B32&gt;0,F32/B32,0)</f>
        <v>0</v>
      </c>
      <c r="K32" s="54" t="n">
        <f aca="false">SUMIFS('Nhật ký bài'!$Y$5:$Y$844,'Nhật ký bài'!$B$5:$B$844,"EXP2",'Nhật ký bài'!$J$5:$J$844,$A32,'Nhật ký bài'!$O$5:$O$844,"&gt;0")</f>
        <v>0</v>
      </c>
      <c r="L32" s="58" t="str">
        <f aca="false">IFERROR((G32-G31)/SQRT(((D32+D31)/(C32+C31))*(1-((D32+D31)/(C32+C31)))*(1/C32+1/C31)),"")</f>
        <v/>
      </c>
      <c r="M32" s="59" t="str">
        <f aca="false">IF(L32="","",2*(1-NORMSDIST(ABS(L32))))</f>
        <v/>
      </c>
      <c r="N32" s="25" t="str">
        <f aca="false">IF(AND(B32&gt;='Cài đặt'!$B$26,D32&gt;='Cài đặt'!$B$25,B31&gt;='Cài đặt'!$B$26,D31&gt;='Cài đặt'!$B$25),"Đủ","Chưa đủ")</f>
        <v>Chưa đủ</v>
      </c>
      <c r="O32" s="7" t="str">
        <f aca="false">IF(N32="Chưa đủ","Chưa đủ dữ liệu: tiếp tục chạy, CHƯA kết luận",IF(M32="","—",IF(M32&lt;'Cài đặt'!$B$27,IF(G32&gt;G31,"TỐT HƠN mốc (có ý nghĩa)","KÉM HƠN mốc (có ý nghĩa)"),"Chưa phân biệt được → coi là HÒA, chọn cách rẻ công hơn")))</f>
        <v>Chưa đủ dữ liệu: tiếp tục chạy, CHƯA kết luận</v>
      </c>
    </row>
    <row r="33" customFormat="false" ht="15" hidden="false" customHeight="false" outlineLevel="0" collapsed="false">
      <c r="A33" s="6" t="s">
        <v>706</v>
      </c>
      <c r="B33" s="15" t="n">
        <f aca="false">COUNTIFS('Nhật ký bài'!$B$5:$B$844,"EXP2",'Nhật ký bài'!$J$5:$J$844,$A33,'Nhật ký bài'!$O$5:$O$844,"&gt;0")</f>
        <v>0</v>
      </c>
      <c r="C33" s="54" t="n">
        <f aca="false">SUMIFS('Nhật ký bài'!$O$5:$O$844,'Nhật ký bài'!$B$5:$B$844,"EXP2",'Nhật ký bài'!$J$5:$J$844,$A33)</f>
        <v>0</v>
      </c>
      <c r="D33" s="54" t="n">
        <f aca="false">SUMIFS('Nhật ký bài'!$P$5:$P$844,'Nhật ký bài'!$B$5:$B$844,"EXP2",'Nhật ký bài'!$J$5:$J$844,$A33)</f>
        <v>0</v>
      </c>
      <c r="E33" s="54" t="n">
        <f aca="false">SUMIFS('Nhật ký bài'!$Q$5:$Q$844,'Nhật ký bài'!$B$5:$B$844,"EXP2",'Nhật ký bài'!$J$5:$J$844,$A33)</f>
        <v>0</v>
      </c>
      <c r="F33" s="55" t="n">
        <f aca="false">SUMIFS('Nhật ký bài'!$W$5:$W$844,'Nhật ký bài'!$B$5:$B$844,"EXP2",'Nhật ký bài'!$J$5:$J$844,$A33,'Nhật ký bài'!$O$5:$O$844,"&gt;0")</f>
        <v>0</v>
      </c>
      <c r="G33" s="56" t="n">
        <f aca="false">IF(C33&gt;0,D33/C33,0)</f>
        <v>0</v>
      </c>
      <c r="H33" s="57" t="n">
        <f aca="false">IF(D33&gt;0,E33/D33,0)</f>
        <v>0</v>
      </c>
      <c r="I33" s="55" t="n">
        <f aca="false">IF(C33&gt;0,F33/C33*1000,0)</f>
        <v>0</v>
      </c>
      <c r="J33" s="55" t="n">
        <f aca="false">IF(B33&gt;0,F33/B33,0)</f>
        <v>0</v>
      </c>
      <c r="K33" s="54" t="n">
        <f aca="false">SUMIFS('Nhật ký bài'!$Y$5:$Y$844,'Nhật ký bài'!$B$5:$B$844,"EXP2",'Nhật ký bài'!$J$5:$J$844,$A33,'Nhật ký bài'!$O$5:$O$844,"&gt;0")</f>
        <v>0</v>
      </c>
      <c r="L33" s="58" t="str">
        <f aca="false">IFERROR((G33-G31)/SQRT(((D33+D31)/(C33+C31))*(1-((D33+D31)/(C33+C31)))*(1/C33+1/C31)),"")</f>
        <v/>
      </c>
      <c r="M33" s="59" t="str">
        <f aca="false">IF(L33="","",2*(1-NORMSDIST(ABS(L33))))</f>
        <v/>
      </c>
      <c r="N33" s="25" t="str">
        <f aca="false">IF(AND(B33&gt;='Cài đặt'!$B$26,D33&gt;='Cài đặt'!$B$25,B31&gt;='Cài đặt'!$B$26,D31&gt;='Cài đặt'!$B$25),"Đủ","Chưa đủ")</f>
        <v>Chưa đủ</v>
      </c>
      <c r="O33" s="7" t="str">
        <f aca="false">IF(N33="Chưa đủ","Chưa đủ dữ liệu: tiếp tục chạy, CHƯA kết luận",IF(M33="","—",IF(M33&lt;'Cài đặt'!$B$27,IF(G33&gt;G31,"TỐT HƠN mốc (có ý nghĩa)","KÉM HƠN mốc (có ý nghĩa)"),"Chưa phân biệt được → coi là HÒA, chọn cách rẻ công hơn")))</f>
        <v>Chưa đủ dữ liệu: tiếp tục chạy, CHƯA kết luận</v>
      </c>
    </row>
    <row r="35" customFormat="false" ht="23.85" hidden="false" customHeight="false" outlineLevel="0" collapsed="false">
      <c r="A35" s="6" t="s">
        <v>1298</v>
      </c>
      <c r="B35" s="27" t="str">
        <f aca="false">IF(SUM($C$31:$C$33)=0,"(chưa có dữ liệu)",INDEX($A$31:$A$33,MATCH(MAX($G$31:$G$33),$G$31:$G$33,0)))</f>
        <v>(chưa có dữ liệu)</v>
      </c>
      <c r="C35" s="2" t="s">
        <v>1321</v>
      </c>
    </row>
    <row r="36" customFormat="false" ht="23.85" hidden="false" customHeight="false" outlineLevel="0" collapsed="false">
      <c r="A36" s="6" t="s">
        <v>1299</v>
      </c>
      <c r="B36" s="27" t="str">
        <f aca="false">IF(SUM($C$31:$C$33)=0,"(chưa có dữ liệu)",INDEX($A$31:$A$33,MATCH(MAX($I$31:$I$33),$I$31:$I$33,0)))</f>
        <v>(chưa có dữ liệu)</v>
      </c>
      <c r="C36" s="2" t="s">
        <v>1322</v>
      </c>
    </row>
    <row r="39" customFormat="false" ht="15" hidden="false" customHeight="false" outlineLevel="0" collapsed="false">
      <c r="A39" s="12" t="s">
        <v>1334</v>
      </c>
      <c r="B39" s="12"/>
      <c r="C39" s="12"/>
      <c r="D39" s="12"/>
      <c r="E39" s="12"/>
      <c r="F39" s="12"/>
      <c r="G39" s="12"/>
      <c r="H39" s="12"/>
      <c r="I39" s="12"/>
      <c r="J39" s="12"/>
      <c r="K39" s="12"/>
      <c r="L39" s="12"/>
      <c r="M39" s="12"/>
      <c r="N39" s="12"/>
      <c r="O39" s="12"/>
    </row>
    <row r="40" customFormat="false" ht="15" hidden="false" customHeight="false" outlineLevel="0" collapsed="false">
      <c r="A40" s="2" t="s">
        <v>1335</v>
      </c>
    </row>
    <row r="41" customFormat="false" ht="30" hidden="false" customHeight="true" outlineLevel="0" collapsed="false">
      <c r="A41" s="5" t="s">
        <v>1310</v>
      </c>
      <c r="B41" s="5" t="s">
        <v>1311</v>
      </c>
      <c r="C41" s="5" t="s">
        <v>431</v>
      </c>
      <c r="D41" s="5" t="s">
        <v>1312</v>
      </c>
      <c r="E41" s="5" t="s">
        <v>433</v>
      </c>
      <c r="F41" s="5" t="s">
        <v>1313</v>
      </c>
      <c r="G41" s="5" t="s">
        <v>437</v>
      </c>
      <c r="H41" s="5" t="s">
        <v>438</v>
      </c>
      <c r="I41" s="5" t="s">
        <v>440</v>
      </c>
      <c r="J41" s="5" t="s">
        <v>1314</v>
      </c>
      <c r="K41" s="5" t="s">
        <v>1315</v>
      </c>
      <c r="L41" s="5" t="s">
        <v>1316</v>
      </c>
      <c r="M41" s="5" t="s">
        <v>1317</v>
      </c>
      <c r="N41" s="5" t="s">
        <v>1318</v>
      </c>
      <c r="O41" s="5" t="s">
        <v>1319</v>
      </c>
    </row>
    <row r="42" customFormat="false" ht="15" hidden="false" customHeight="false" outlineLevel="0" collapsed="false">
      <c r="A42" s="6" t="s">
        <v>445</v>
      </c>
      <c r="B42" s="15" t="n">
        <f aca="false">COUNTIFS('Nhật ký bài'!$B$5:$B$844,"EXP3",'Nhật ký bài'!$K$5:$K$844,$A42,'Nhật ký bài'!$O$5:$O$844,"&gt;0")</f>
        <v>0</v>
      </c>
      <c r="C42" s="54" t="n">
        <f aca="false">SUMIFS('Nhật ký bài'!$O$5:$O$844,'Nhật ký bài'!$B$5:$B$844,"EXP3",'Nhật ký bài'!$K$5:$K$844,$A42)</f>
        <v>0</v>
      </c>
      <c r="D42" s="54" t="n">
        <f aca="false">SUMIFS('Nhật ký bài'!$P$5:$P$844,'Nhật ký bài'!$B$5:$B$844,"EXP3",'Nhật ký bài'!$K$5:$K$844,$A42)</f>
        <v>0</v>
      </c>
      <c r="E42" s="54" t="n">
        <f aca="false">SUMIFS('Nhật ký bài'!$Q$5:$Q$844,'Nhật ký bài'!$B$5:$B$844,"EXP3",'Nhật ký bài'!$K$5:$K$844,$A42)</f>
        <v>0</v>
      </c>
      <c r="F42" s="55" t="n">
        <f aca="false">SUMIFS('Nhật ký bài'!$W$5:$W$844,'Nhật ký bài'!$B$5:$B$844,"EXP3",'Nhật ký bài'!$K$5:$K$844,$A42,'Nhật ký bài'!$O$5:$O$844,"&gt;0")</f>
        <v>0</v>
      </c>
      <c r="G42" s="56" t="n">
        <f aca="false">IF(C42&gt;0,D42/C42,0)</f>
        <v>0</v>
      </c>
      <c r="H42" s="57" t="n">
        <f aca="false">IF(D42&gt;0,E42/D42,0)</f>
        <v>0</v>
      </c>
      <c r="I42" s="55" t="n">
        <f aca="false">IF(C42&gt;0,F42/C42*1000,0)</f>
        <v>0</v>
      </c>
      <c r="J42" s="55" t="n">
        <f aca="false">IF(B42&gt;0,F42/B42,0)</f>
        <v>0</v>
      </c>
      <c r="K42" s="54" t="n">
        <f aca="false">SUMIFS('Nhật ký bài'!$Y$5:$Y$844,'Nhật ký bài'!$B$5:$B$844,"EXP3",'Nhật ký bài'!$K$5:$K$844,$A42,'Nhật ký bài'!$O$5:$O$844,"&gt;0")</f>
        <v>0</v>
      </c>
      <c r="L42" s="25" t="s">
        <v>1307</v>
      </c>
      <c r="M42" s="25" t="s">
        <v>1307</v>
      </c>
      <c r="N42" s="25" t="str">
        <f aca="false">IF(AND(B42&gt;='Cài đặt'!$B$26,D42&gt;='Cài đặt'!$B$25),"Đủ","Chưa đủ")</f>
        <v>Chưa đủ</v>
      </c>
      <c r="O42" s="53" t="s">
        <v>1320</v>
      </c>
    </row>
    <row r="43" customFormat="false" ht="15" hidden="false" customHeight="false" outlineLevel="0" collapsed="false">
      <c r="A43" s="6" t="s">
        <v>961</v>
      </c>
      <c r="B43" s="15" t="n">
        <f aca="false">COUNTIFS('Nhật ký bài'!$B$5:$B$844,"EXP3",'Nhật ký bài'!$K$5:$K$844,$A43,'Nhật ký bài'!$O$5:$O$844,"&gt;0")</f>
        <v>0</v>
      </c>
      <c r="C43" s="54" t="n">
        <f aca="false">SUMIFS('Nhật ký bài'!$O$5:$O$844,'Nhật ký bài'!$B$5:$B$844,"EXP3",'Nhật ký bài'!$K$5:$K$844,$A43)</f>
        <v>0</v>
      </c>
      <c r="D43" s="54" t="n">
        <f aca="false">SUMIFS('Nhật ký bài'!$P$5:$P$844,'Nhật ký bài'!$B$5:$B$844,"EXP3",'Nhật ký bài'!$K$5:$K$844,$A43)</f>
        <v>0</v>
      </c>
      <c r="E43" s="54" t="n">
        <f aca="false">SUMIFS('Nhật ký bài'!$Q$5:$Q$844,'Nhật ký bài'!$B$5:$B$844,"EXP3",'Nhật ký bài'!$K$5:$K$844,$A43)</f>
        <v>0</v>
      </c>
      <c r="F43" s="55" t="n">
        <f aca="false">SUMIFS('Nhật ký bài'!$W$5:$W$844,'Nhật ký bài'!$B$5:$B$844,"EXP3",'Nhật ký bài'!$K$5:$K$844,$A43,'Nhật ký bài'!$O$5:$O$844,"&gt;0")</f>
        <v>0</v>
      </c>
      <c r="G43" s="56" t="n">
        <f aca="false">IF(C43&gt;0,D43/C43,0)</f>
        <v>0</v>
      </c>
      <c r="H43" s="57" t="n">
        <f aca="false">IF(D43&gt;0,E43/D43,0)</f>
        <v>0</v>
      </c>
      <c r="I43" s="55" t="n">
        <f aca="false">IF(C43&gt;0,F43/C43*1000,0)</f>
        <v>0</v>
      </c>
      <c r="J43" s="55" t="n">
        <f aca="false">IF(B43&gt;0,F43/B43,0)</f>
        <v>0</v>
      </c>
      <c r="K43" s="54" t="n">
        <f aca="false">SUMIFS('Nhật ký bài'!$Y$5:$Y$844,'Nhật ký bài'!$B$5:$B$844,"EXP3",'Nhật ký bài'!$K$5:$K$844,$A43,'Nhật ký bài'!$O$5:$O$844,"&gt;0")</f>
        <v>0</v>
      </c>
      <c r="L43" s="58" t="str">
        <f aca="false">IFERROR((G43-G42)/SQRT(((D43+D42)/(C43+C42))*(1-((D43+D42)/(C43+C42)))*(1/C43+1/C42)),"")</f>
        <v/>
      </c>
      <c r="M43" s="59" t="str">
        <f aca="false">IF(L43="","",2*(1-NORMSDIST(ABS(L43))))</f>
        <v/>
      </c>
      <c r="N43" s="25" t="str">
        <f aca="false">IF(AND(B43&gt;='Cài đặt'!$B$26,D43&gt;='Cài đặt'!$B$25,B42&gt;='Cài đặt'!$B$26,D42&gt;='Cài đặt'!$B$25),"Đủ","Chưa đủ")</f>
        <v>Chưa đủ</v>
      </c>
      <c r="O43" s="7" t="str">
        <f aca="false">IF(N43="Chưa đủ","Chưa đủ dữ liệu: tiếp tục chạy, CHƯA kết luận",IF(M43="","—",IF(M43&lt;'Cài đặt'!$B$27,IF(G43&gt;G42,"TỐT HƠN mốc (có ý nghĩa)","KÉM HƠN mốc (có ý nghĩa)"),"Chưa phân biệt được → coi là HÒA, chọn cách rẻ công hơn")))</f>
        <v>Chưa đủ dữ liệu: tiếp tục chạy, CHƯA kết luận</v>
      </c>
    </row>
    <row r="45" customFormat="false" ht="23.85" hidden="false" customHeight="false" outlineLevel="0" collapsed="false">
      <c r="A45" s="6" t="s">
        <v>1298</v>
      </c>
      <c r="B45" s="27" t="str">
        <f aca="false">IF(SUM($C$42:$C$43)=0,"(chưa có dữ liệu)",INDEX($A$42:$A$43,MATCH(MAX($G$42:$G$43),$G$42:$G$43,0)))</f>
        <v>(chưa có dữ liệu)</v>
      </c>
      <c r="C45" s="2" t="s">
        <v>1321</v>
      </c>
    </row>
    <row r="46" customFormat="false" ht="23.85" hidden="false" customHeight="false" outlineLevel="0" collapsed="false">
      <c r="A46" s="6" t="s">
        <v>1299</v>
      </c>
      <c r="B46" s="27" t="str">
        <f aca="false">IF(SUM($C$42:$C$43)=0,"(chưa có dữ liệu)",INDEX($A$42:$A$43,MATCH(MAX($I$42:$I$43),$I$42:$I$43,0)))</f>
        <v>(chưa có dữ liệu)</v>
      </c>
      <c r="C46" s="2" t="s">
        <v>1322</v>
      </c>
    </row>
    <row r="48" customFormat="false" ht="15" hidden="false" customHeight="false" outlineLevel="0" collapsed="false">
      <c r="A48" s="26" t="s">
        <v>1336</v>
      </c>
    </row>
    <row r="49" customFormat="false" ht="30" hidden="false" customHeight="true" outlineLevel="0" collapsed="false">
      <c r="A49" s="5" t="s">
        <v>255</v>
      </c>
      <c r="B49" s="5" t="s">
        <v>1337</v>
      </c>
      <c r="C49" s="5" t="s">
        <v>1325</v>
      </c>
      <c r="D49" s="5" t="s">
        <v>1326</v>
      </c>
      <c r="E49" s="5" t="s">
        <v>1327</v>
      </c>
      <c r="F49" s="5" t="s">
        <v>1338</v>
      </c>
      <c r="G49" s="5" t="s">
        <v>1329</v>
      </c>
    </row>
    <row r="50" customFormat="false" ht="15" hidden="false" customHeight="false" outlineLevel="0" collapsed="false">
      <c r="A50" s="6" t="str">
        <f aca="false">A42</f>
        <v>AI tự động</v>
      </c>
      <c r="B50" s="15" t="n">
        <f aca="false">INDEX('Cài đặt'!$B$20:$B$22,MATCH('Cài đặt'!$B$32,'Cài đặt'!$A$20:$A$22,0))</f>
        <v>4</v>
      </c>
      <c r="C50" s="55" t="n">
        <f aca="false">B50/60*'Cài đặt'!$B$16</f>
        <v>0.333333333333333</v>
      </c>
      <c r="D50" s="55" t="n">
        <f aca="false">J42</f>
        <v>0</v>
      </c>
      <c r="E50" s="60" t="n">
        <f aca="false">D50-C50</f>
        <v>-0.333333333333333</v>
      </c>
      <c r="F50" s="25" t="s">
        <v>1307</v>
      </c>
      <c r="G50" s="53" t="s">
        <v>1330</v>
      </c>
    </row>
    <row r="51" customFormat="false" ht="23.85" hidden="false" customHeight="false" outlineLevel="0" collapsed="false">
      <c r="A51" s="6" t="str">
        <f aca="false">A43</f>
        <v>Human nghiên cứu</v>
      </c>
      <c r="B51" s="15" t="n">
        <f aca="false">INDEX('Cài đặt'!$C$20:$C$22,MATCH('Cài đặt'!$B$32,'Cài đặt'!$A$20:$A$22,0))</f>
        <v>25</v>
      </c>
      <c r="C51" s="55" t="n">
        <f aca="false">B51/60*'Cài đặt'!$B$16</f>
        <v>2.08333333333333</v>
      </c>
      <c r="D51" s="55" t="n">
        <f aca="false">J43</f>
        <v>0</v>
      </c>
      <c r="E51" s="60" t="n">
        <f aca="false">D51-C51</f>
        <v>-2.08333333333333</v>
      </c>
      <c r="F51" s="60" t="n">
        <f aca="false">E51-E50</f>
        <v>-1.75</v>
      </c>
      <c r="G51" s="6" t="str">
        <f aca="false">IF(N43="Chưa đủ","Chưa đủ dữ liệu",IF(F51&gt;0,"XỨNG ĐÁNG: giữ/nâng tỉ lệ Human","KHÔNG xứng đáng: giảm Human tối thiểu"))</f>
        <v>Chưa đủ dữ liệu</v>
      </c>
    </row>
    <row r="52" customFormat="false" ht="23.85" hidden="false" customHeight="false" outlineLevel="0" collapsed="false">
      <c r="A52" s="6" t="s">
        <v>1339</v>
      </c>
      <c r="B52" s="55" t="n">
        <f aca="false">C51-C50</f>
        <v>1.75</v>
      </c>
      <c r="C52" s="2" t="s">
        <v>1340</v>
      </c>
      <c r="F52" s="17" t="str">
        <f aca="false">IF(D50&gt;0,B52/D50,"n/a")</f>
        <v>n/a</v>
      </c>
    </row>
    <row r="53" customFormat="false" ht="23.85" hidden="false" customHeight="false" outlineLevel="0" collapsed="false">
      <c r="A53" s="6" t="s">
        <v>1341</v>
      </c>
      <c r="B53" s="60" t="n">
        <f aca="false">D51-D50</f>
        <v>0</v>
      </c>
    </row>
    <row r="56" customFormat="false" ht="15" hidden="false" customHeight="false" outlineLevel="0" collapsed="false">
      <c r="A56" s="12" t="s">
        <v>1342</v>
      </c>
      <c r="B56" s="12"/>
      <c r="C56" s="12"/>
      <c r="D56" s="12"/>
      <c r="E56" s="12"/>
      <c r="F56" s="12"/>
      <c r="G56" s="12"/>
      <c r="H56" s="12"/>
      <c r="I56" s="12"/>
      <c r="J56" s="12"/>
      <c r="K56" s="12"/>
      <c r="L56" s="12"/>
      <c r="M56" s="12"/>
      <c r="N56" s="12"/>
      <c r="O56" s="12"/>
    </row>
    <row r="57" customFormat="false" ht="15" hidden="false" customHeight="false" outlineLevel="0" collapsed="false">
      <c r="A57" s="2" t="s">
        <v>1343</v>
      </c>
    </row>
    <row r="58" customFormat="false" ht="30" hidden="false" customHeight="true" outlineLevel="0" collapsed="false">
      <c r="A58" s="5" t="s">
        <v>143</v>
      </c>
      <c r="B58" s="5" t="s">
        <v>144</v>
      </c>
      <c r="C58" s="5" t="s">
        <v>229</v>
      </c>
      <c r="D58" s="5" t="s">
        <v>431</v>
      </c>
      <c r="E58" s="5" t="s">
        <v>1312</v>
      </c>
      <c r="F58" s="5" t="s">
        <v>433</v>
      </c>
      <c r="G58" s="5" t="s">
        <v>1313</v>
      </c>
      <c r="H58" s="5" t="s">
        <v>437</v>
      </c>
      <c r="I58" s="5" t="s">
        <v>438</v>
      </c>
      <c r="J58" s="5" t="s">
        <v>440</v>
      </c>
      <c r="K58" s="5" t="s">
        <v>1344</v>
      </c>
    </row>
    <row r="59" customFormat="false" ht="35.05" hidden="false" customHeight="false" outlineLevel="0" collapsed="false">
      <c r="A59" s="27" t="str">
        <f aca="false">'Page và Ngách'!A5</f>
        <v>P1</v>
      </c>
      <c r="B59" s="7" t="str">
        <f aca="false">'Page và Ngách'!B5</f>
        <v>Werewolf / Rejected mate</v>
      </c>
      <c r="C59" s="15" t="n">
        <f aca="false">COUNTIFS('Nhật ký bài'!$C$5:$C$844,$A59,'Nhật ký bài'!$O$5:$O$844,"&gt;0")</f>
        <v>0</v>
      </c>
      <c r="D59" s="54" t="n">
        <f aca="false">SUMIFS('Nhật ký bài'!$O$5:$O$844,'Nhật ký bài'!$C$5:$C$844,$A59)</f>
        <v>0</v>
      </c>
      <c r="E59" s="54" t="n">
        <f aca="false">SUMIFS('Nhật ký bài'!$P$5:$P$844,'Nhật ký bài'!$C$5:$C$844,$A59)</f>
        <v>0</v>
      </c>
      <c r="F59" s="54" t="n">
        <f aca="false">SUMIFS('Nhật ký bài'!$Q$5:$Q$844,'Nhật ký bài'!$C$5:$C$844,$A59)</f>
        <v>0</v>
      </c>
      <c r="G59" s="55" t="n">
        <f aca="false">SUMIFS('Nhật ký bài'!$W$5:$W$844,'Nhật ký bài'!$C$5:$C$844,$A59,'Nhật ký bài'!$O$5:$O$844,"&gt;0")</f>
        <v>0</v>
      </c>
      <c r="H59" s="56" t="n">
        <f aca="false">IF(D59&gt;0,E59/D59,0)</f>
        <v>0</v>
      </c>
      <c r="I59" s="57" t="n">
        <f aca="false">IF(E59&gt;0,F59/E59,0)</f>
        <v>0</v>
      </c>
      <c r="J59" s="55" t="n">
        <f aca="false">IF(D59&gt;0,G59/D59*1000,0)</f>
        <v>0</v>
      </c>
      <c r="K59" s="25" t="str">
        <f aca="false">IF(D59&gt;0,RANK(J59,$J$59:$J$64),"-")</f>
        <v>-</v>
      </c>
    </row>
    <row r="60" customFormat="false" ht="35.05" hidden="false" customHeight="false" outlineLevel="0" collapsed="false">
      <c r="A60" s="27" t="str">
        <f aca="false">'Page và Ngách'!A6</f>
        <v>P2</v>
      </c>
      <c r="B60" s="7" t="str">
        <f aca="false">'Page và Ngách'!B6</f>
        <v>Secret billionaire / CEO</v>
      </c>
      <c r="C60" s="15" t="n">
        <f aca="false">COUNTIFS('Nhật ký bài'!$C$5:$C$844,$A60,'Nhật ký bài'!$O$5:$O$844,"&gt;0")</f>
        <v>0</v>
      </c>
      <c r="D60" s="54" t="n">
        <f aca="false">SUMIFS('Nhật ký bài'!$O$5:$O$844,'Nhật ký bài'!$C$5:$C$844,$A60)</f>
        <v>0</v>
      </c>
      <c r="E60" s="54" t="n">
        <f aca="false">SUMIFS('Nhật ký bài'!$P$5:$P$844,'Nhật ký bài'!$C$5:$C$844,$A60)</f>
        <v>0</v>
      </c>
      <c r="F60" s="54" t="n">
        <f aca="false">SUMIFS('Nhật ký bài'!$Q$5:$Q$844,'Nhật ký bài'!$C$5:$C$844,$A60)</f>
        <v>0</v>
      </c>
      <c r="G60" s="55" t="n">
        <f aca="false">SUMIFS('Nhật ký bài'!$W$5:$W$844,'Nhật ký bài'!$C$5:$C$844,$A60,'Nhật ký bài'!$O$5:$O$844,"&gt;0")</f>
        <v>0</v>
      </c>
      <c r="H60" s="56" t="n">
        <f aca="false">IF(D60&gt;0,E60/D60,0)</f>
        <v>0</v>
      </c>
      <c r="I60" s="57" t="n">
        <f aca="false">IF(E60&gt;0,F60/E60,0)</f>
        <v>0</v>
      </c>
      <c r="J60" s="55" t="n">
        <f aca="false">IF(D60&gt;0,G60/D60*1000,0)</f>
        <v>0</v>
      </c>
      <c r="K60" s="25" t="str">
        <f aca="false">IF(D60&gt;0,RANK(J60,$J$59:$J$64),"-")</f>
        <v>-</v>
      </c>
    </row>
    <row r="61" customFormat="false" ht="46.25" hidden="false" customHeight="false" outlineLevel="0" collapsed="false">
      <c r="A61" s="27" t="str">
        <f aca="false">'Page và Ngách'!A7</f>
        <v>P3</v>
      </c>
      <c r="B61" s="7" t="str">
        <f aca="false">'Page và Ngách'!B7</f>
        <v>Contract marriage / Fake relationship</v>
      </c>
      <c r="C61" s="15" t="n">
        <f aca="false">COUNTIFS('Nhật ký bài'!$C$5:$C$844,$A61,'Nhật ký bài'!$O$5:$O$844,"&gt;0")</f>
        <v>0</v>
      </c>
      <c r="D61" s="54" t="n">
        <f aca="false">SUMIFS('Nhật ký bài'!$O$5:$O$844,'Nhật ký bài'!$C$5:$C$844,$A61)</f>
        <v>0</v>
      </c>
      <c r="E61" s="54" t="n">
        <f aca="false">SUMIFS('Nhật ký bài'!$P$5:$P$844,'Nhật ký bài'!$C$5:$C$844,$A61)</f>
        <v>0</v>
      </c>
      <c r="F61" s="54" t="n">
        <f aca="false">SUMIFS('Nhật ký bài'!$Q$5:$Q$844,'Nhật ký bài'!$C$5:$C$844,$A61)</f>
        <v>0</v>
      </c>
      <c r="G61" s="55" t="n">
        <f aca="false">SUMIFS('Nhật ký bài'!$W$5:$W$844,'Nhật ký bài'!$C$5:$C$844,$A61,'Nhật ký bài'!$O$5:$O$844,"&gt;0")</f>
        <v>0</v>
      </c>
      <c r="H61" s="56" t="n">
        <f aca="false">IF(D61&gt;0,E61/D61,0)</f>
        <v>0</v>
      </c>
      <c r="I61" s="57" t="n">
        <f aca="false">IF(E61&gt;0,F61/E61,0)</f>
        <v>0</v>
      </c>
      <c r="J61" s="55" t="n">
        <f aca="false">IF(D61&gt;0,G61/D61*1000,0)</f>
        <v>0</v>
      </c>
      <c r="K61" s="25" t="str">
        <f aca="false">IF(D61&gt;0,RANK(J61,$J$59:$J$64),"-")</f>
        <v>-</v>
      </c>
    </row>
    <row r="62" customFormat="false" ht="46.25" hidden="false" customHeight="false" outlineLevel="0" collapsed="false">
      <c r="A62" s="27" t="str">
        <f aca="false">'Page và Ngách'!A8</f>
        <v>P4</v>
      </c>
      <c r="B62" s="7" t="str">
        <f aca="false">'Page và Ngách'!B8</f>
        <v>Revenge / Betrayal ("you'll regret it")</v>
      </c>
      <c r="C62" s="15" t="n">
        <f aca="false">COUNTIFS('Nhật ký bài'!$C$5:$C$844,$A62,'Nhật ký bài'!$O$5:$O$844,"&gt;0")</f>
        <v>0</v>
      </c>
      <c r="D62" s="54" t="n">
        <f aca="false">SUMIFS('Nhật ký bài'!$O$5:$O$844,'Nhật ký bài'!$C$5:$C$844,$A62)</f>
        <v>0</v>
      </c>
      <c r="E62" s="54" t="n">
        <f aca="false">SUMIFS('Nhật ký bài'!$P$5:$P$844,'Nhật ký bài'!$C$5:$C$844,$A62)</f>
        <v>0</v>
      </c>
      <c r="F62" s="54" t="n">
        <f aca="false">SUMIFS('Nhật ký bài'!$Q$5:$Q$844,'Nhật ký bài'!$C$5:$C$844,$A62)</f>
        <v>0</v>
      </c>
      <c r="G62" s="55" t="n">
        <f aca="false">SUMIFS('Nhật ký bài'!$W$5:$W$844,'Nhật ký bài'!$C$5:$C$844,$A62,'Nhật ký bài'!$O$5:$O$844,"&gt;0")</f>
        <v>0</v>
      </c>
      <c r="H62" s="56" t="n">
        <f aca="false">IF(D62&gt;0,E62/D62,0)</f>
        <v>0</v>
      </c>
      <c r="I62" s="57" t="n">
        <f aca="false">IF(E62&gt;0,F62/E62,0)</f>
        <v>0</v>
      </c>
      <c r="J62" s="55" t="n">
        <f aca="false">IF(D62&gt;0,G62/D62*1000,0)</f>
        <v>0</v>
      </c>
      <c r="K62" s="25" t="str">
        <f aca="false">IF(D62&gt;0,RANK(J62,$J$59:$J$64),"-")</f>
        <v>-</v>
      </c>
    </row>
    <row r="63" customFormat="false" ht="46.25" hidden="false" customHeight="false" outlineLevel="0" collapsed="false">
      <c r="A63" s="27" t="str">
        <f aca="false">'Page và Ngách'!A9</f>
        <v>P5</v>
      </c>
      <c r="B63" s="7" t="str">
        <f aca="false">'Page và Ngách'!B9</f>
        <v>Mafia / Dark romance (teaser PG-13)</v>
      </c>
      <c r="C63" s="15" t="n">
        <f aca="false">COUNTIFS('Nhật ký bài'!$C$5:$C$844,$A63,'Nhật ký bài'!$O$5:$O$844,"&gt;0")</f>
        <v>0</v>
      </c>
      <c r="D63" s="54" t="n">
        <f aca="false">SUMIFS('Nhật ký bài'!$O$5:$O$844,'Nhật ký bài'!$C$5:$C$844,$A63)</f>
        <v>0</v>
      </c>
      <c r="E63" s="54" t="n">
        <f aca="false">SUMIFS('Nhật ký bài'!$P$5:$P$844,'Nhật ký bài'!$C$5:$C$844,$A63)</f>
        <v>0</v>
      </c>
      <c r="F63" s="54" t="n">
        <f aca="false">SUMIFS('Nhật ký bài'!$Q$5:$Q$844,'Nhật ký bài'!$C$5:$C$844,$A63)</f>
        <v>0</v>
      </c>
      <c r="G63" s="55" t="n">
        <f aca="false">SUMIFS('Nhật ký bài'!$W$5:$W$844,'Nhật ký bài'!$C$5:$C$844,$A63,'Nhật ký bài'!$O$5:$O$844,"&gt;0")</f>
        <v>0</v>
      </c>
      <c r="H63" s="56" t="n">
        <f aca="false">IF(D63&gt;0,E63/D63,0)</f>
        <v>0</v>
      </c>
      <c r="I63" s="57" t="n">
        <f aca="false">IF(E63&gt;0,F63/E63,0)</f>
        <v>0</v>
      </c>
      <c r="J63" s="55" t="n">
        <f aca="false">IF(D63&gt;0,G63/D63*1000,0)</f>
        <v>0</v>
      </c>
      <c r="K63" s="25" t="str">
        <f aca="false">IF(D63&gt;0,RANK(J63,$J$59:$J$64),"-")</f>
        <v>-</v>
      </c>
    </row>
    <row r="64" customFormat="false" ht="35.05" hidden="false" customHeight="false" outlineLevel="0" collapsed="false">
      <c r="A64" s="27" t="str">
        <f aca="false">'Page và Ngách'!A10</f>
        <v>P6</v>
      </c>
      <c r="B64" s="7" t="str">
        <f aca="false">'Page và Ngách'!B10</f>
        <v>Second chance / Secret baby</v>
      </c>
      <c r="C64" s="15" t="n">
        <f aca="false">COUNTIFS('Nhật ký bài'!$C$5:$C$844,$A64,'Nhật ký bài'!$O$5:$O$844,"&gt;0")</f>
        <v>0</v>
      </c>
      <c r="D64" s="54" t="n">
        <f aca="false">SUMIFS('Nhật ký bài'!$O$5:$O$844,'Nhật ký bài'!$C$5:$C$844,$A64)</f>
        <v>0</v>
      </c>
      <c r="E64" s="54" t="n">
        <f aca="false">SUMIFS('Nhật ký bài'!$P$5:$P$844,'Nhật ký bài'!$C$5:$C$844,$A64)</f>
        <v>0</v>
      </c>
      <c r="F64" s="54" t="n">
        <f aca="false">SUMIFS('Nhật ký bài'!$Q$5:$Q$844,'Nhật ký bài'!$C$5:$C$844,$A64)</f>
        <v>0</v>
      </c>
      <c r="G64" s="55" t="n">
        <f aca="false">SUMIFS('Nhật ký bài'!$W$5:$W$844,'Nhật ký bài'!$C$5:$C$844,$A64,'Nhật ký bài'!$O$5:$O$844,"&gt;0")</f>
        <v>0</v>
      </c>
      <c r="H64" s="56" t="n">
        <f aca="false">IF(D64&gt;0,E64/D64,0)</f>
        <v>0</v>
      </c>
      <c r="I64" s="57" t="n">
        <f aca="false">IF(E64&gt;0,F64/E64,0)</f>
        <v>0</v>
      </c>
      <c r="J64" s="55" t="n">
        <f aca="false">IF(D64&gt;0,G64/D64*1000,0)</f>
        <v>0</v>
      </c>
      <c r="K64" s="25" t="str">
        <f aca="false">IF(D64&gt;0,RANK(J64,$J$59:$J$64),"-")</f>
        <v>-</v>
      </c>
    </row>
    <row r="67" customFormat="false" ht="15" hidden="false" customHeight="false" outlineLevel="0" collapsed="false">
      <c r="A67" s="12" t="s">
        <v>1345</v>
      </c>
      <c r="B67" s="12"/>
      <c r="C67" s="12"/>
      <c r="D67" s="12"/>
      <c r="E67" s="12"/>
      <c r="F67" s="12"/>
      <c r="G67" s="12"/>
      <c r="H67" s="12"/>
      <c r="I67" s="12"/>
      <c r="J67" s="12"/>
      <c r="K67" s="12"/>
      <c r="L67" s="12"/>
      <c r="M67" s="12"/>
      <c r="N67" s="12"/>
      <c r="O67" s="12"/>
    </row>
    <row r="68" customFormat="false" ht="23.85" hidden="false" customHeight="false" outlineLevel="0" collapsed="false">
      <c r="A68" s="5" t="s">
        <v>255</v>
      </c>
      <c r="B68" s="5" t="s">
        <v>229</v>
      </c>
      <c r="C68" s="5" t="s">
        <v>1346</v>
      </c>
      <c r="D68" s="5" t="s">
        <v>1347</v>
      </c>
      <c r="E68" s="5" t="s">
        <v>1348</v>
      </c>
    </row>
    <row r="69" customFormat="false" ht="15" hidden="false" customHeight="false" outlineLevel="0" collapsed="false">
      <c r="A69" s="6" t="s">
        <v>445</v>
      </c>
      <c r="B69" s="15" t="n">
        <f aca="false">COUNTIFS('Nhật ký bài'!$K$5:$K$844,$A69,'Nhật ký bài'!$O$5:$O$844,"&gt;0")</f>
        <v>0</v>
      </c>
      <c r="C69" s="54" t="n">
        <f aca="false">SUMIFS('Nhật ký bài'!$Y$5:$Y$844,'Nhật ký bài'!$K$5:$K$844,$A69,'Nhật ký bài'!$O$5:$O$844,"&gt;0")</f>
        <v>0</v>
      </c>
      <c r="D69" s="61" t="n">
        <f aca="false">C69/60</f>
        <v>0</v>
      </c>
      <c r="E69" s="55" t="n">
        <f aca="false">D69*'Cài đặt'!$B$16</f>
        <v>0</v>
      </c>
    </row>
    <row r="70" customFormat="false" ht="15" hidden="false" customHeight="false" outlineLevel="0" collapsed="false">
      <c r="A70" s="6" t="s">
        <v>961</v>
      </c>
      <c r="B70" s="15" t="n">
        <f aca="false">COUNTIFS('Nhật ký bài'!$K$5:$K$844,$A70,'Nhật ký bài'!$O$5:$O$844,"&gt;0")</f>
        <v>0</v>
      </c>
      <c r="C70" s="54" t="n">
        <f aca="false">SUMIFS('Nhật ký bài'!$Y$5:$Y$844,'Nhật ký bài'!$K$5:$K$844,$A70,'Nhật ký bài'!$O$5:$O$844,"&gt;0")</f>
        <v>0</v>
      </c>
      <c r="D70" s="61" t="n">
        <f aca="false">C70/60</f>
        <v>0</v>
      </c>
      <c r="E70" s="55" t="n">
        <f aca="false">D70*'Cài đặt'!$B$16</f>
        <v>0</v>
      </c>
    </row>
  </sheetData>
  <conditionalFormatting sqref="N1:N200">
    <cfRule type="cellIs" priority="2" operator="equal" aboveAverage="0" equalAverage="0" bottom="0" percent="0" rank="0" text="" dxfId="6">
      <formula>"Đủ"</formula>
    </cfRule>
    <cfRule type="cellIs" priority="3" operator="equal" aboveAverage="0" equalAverage="0" bottom="0" percent="0" rank="0" text="" dxfId="7">
      <formula>"Chưa đủ"</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6"/>
    <col collapsed="false" customWidth="true" hidden="false" outlineLevel="0" max="3" min="3" style="0" width="70"/>
  </cols>
  <sheetData>
    <row r="1" customFormat="false" ht="18.55" hidden="false" customHeight="false" outlineLevel="0" collapsed="false">
      <c r="A1" s="1" t="s">
        <v>1349</v>
      </c>
    </row>
    <row r="2" customFormat="false" ht="15" hidden="false" customHeight="false" outlineLevel="0" collapsed="false">
      <c r="A2" s="2" t="s">
        <v>1350</v>
      </c>
    </row>
    <row r="4" customFormat="false" ht="15" hidden="false" customHeight="false" outlineLevel="0" collapsed="false">
      <c r="A4" s="12" t="s">
        <v>1351</v>
      </c>
      <c r="B4" s="12"/>
      <c r="C4" s="12"/>
    </row>
    <row r="5" customFormat="false" ht="15" hidden="false" customHeight="false" outlineLevel="0" collapsed="false">
      <c r="A5" s="7" t="s">
        <v>1352</v>
      </c>
      <c r="B5" s="62" t="n">
        <f aca="false">'Cài đặt'!$B$13</f>
        <v>0.01</v>
      </c>
      <c r="C5" s="14" t="s">
        <v>1353</v>
      </c>
    </row>
    <row r="6" customFormat="false" ht="23.85" hidden="false" customHeight="false" outlineLevel="0" collapsed="false">
      <c r="A6" s="7" t="s">
        <v>1354</v>
      </c>
      <c r="B6" s="63" t="n">
        <f aca="false">'Cài đặt'!$B$28</f>
        <v>0.3</v>
      </c>
      <c r="C6" s="14" t="s">
        <v>1355</v>
      </c>
    </row>
    <row r="7" customFormat="false" ht="15" hidden="false" customHeight="false" outlineLevel="0" collapsed="false">
      <c r="A7" s="7" t="s">
        <v>1356</v>
      </c>
      <c r="B7" s="64" t="n">
        <f aca="false">'Cài đặt'!$B$27</f>
        <v>0.05</v>
      </c>
      <c r="C7" s="14"/>
    </row>
    <row r="8" customFormat="false" ht="15" hidden="false" customHeight="false" outlineLevel="0" collapsed="false">
      <c r="A8" s="7" t="s">
        <v>1357</v>
      </c>
      <c r="B8" s="63" t="n">
        <f aca="false">'Cài đặt'!$B$29</f>
        <v>0.8</v>
      </c>
      <c r="C8" s="14"/>
    </row>
    <row r="9" customFormat="false" ht="15" hidden="false" customHeight="false" outlineLevel="0" collapsed="false">
      <c r="A9" s="7" t="s">
        <v>1358</v>
      </c>
      <c r="B9" s="65" t="n">
        <f aca="false">'Cài đặt'!$B$15</f>
        <v>500</v>
      </c>
      <c r="C9" s="14" t="s">
        <v>1359</v>
      </c>
    </row>
    <row r="10" customFormat="false" ht="15" hidden="false" customHeight="false" outlineLevel="0" collapsed="false">
      <c r="A10" s="7" t="s">
        <v>1360</v>
      </c>
      <c r="B10" s="22" t="n">
        <v>6</v>
      </c>
      <c r="C10" s="14" t="s">
        <v>1361</v>
      </c>
    </row>
    <row r="11" customFormat="false" ht="15" hidden="false" customHeight="false" outlineLevel="0" collapsed="false">
      <c r="A11" s="7" t="s">
        <v>1362</v>
      </c>
      <c r="B11" s="66" t="n">
        <f aca="false">'Cài đặt'!$B$6</f>
        <v>2</v>
      </c>
      <c r="C11" s="14"/>
    </row>
    <row r="12" customFormat="false" ht="35.05" hidden="false" customHeight="false" outlineLevel="0" collapsed="false">
      <c r="A12" s="7" t="s">
        <v>1363</v>
      </c>
      <c r="B12" s="23" t="n">
        <v>1.3</v>
      </c>
      <c r="C12" s="14" t="s">
        <v>1364</v>
      </c>
    </row>
    <row r="14" customFormat="false" ht="15" hidden="false" customHeight="false" outlineLevel="0" collapsed="false">
      <c r="A14" s="12" t="s">
        <v>1365</v>
      </c>
      <c r="B14" s="12"/>
      <c r="C14" s="12"/>
    </row>
    <row r="15" customFormat="false" ht="15" hidden="false" customHeight="false" outlineLevel="0" collapsed="false">
      <c r="A15" s="7" t="s">
        <v>1366</v>
      </c>
      <c r="B15" s="56" t="n">
        <f aca="false">B5*(1+B6)</f>
        <v>0.013</v>
      </c>
      <c r="C15" s="14"/>
    </row>
    <row r="16" customFormat="false" ht="15" hidden="false" customHeight="false" outlineLevel="0" collapsed="false">
      <c r="A16" s="7" t="s">
        <v>1367</v>
      </c>
      <c r="B16" s="58" t="n">
        <f aca="false">NORMSINV(1-B7/2)</f>
        <v>1.95996398454005</v>
      </c>
      <c r="C16" s="14"/>
    </row>
    <row r="17" customFormat="false" ht="15" hidden="false" customHeight="false" outlineLevel="0" collapsed="false">
      <c r="A17" s="7" t="s">
        <v>1368</v>
      </c>
      <c r="B17" s="58" t="n">
        <f aca="false">NORMSINV(B8)</f>
        <v>0.841621233572914</v>
      </c>
      <c r="C17" s="14"/>
    </row>
    <row r="18" customFormat="false" ht="15" hidden="false" customHeight="false" outlineLevel="0" collapsed="false">
      <c r="A18" s="7" t="s">
        <v>1369</v>
      </c>
      <c r="B18" s="54" t="n">
        <f aca="false">(B16+B17)^2*(B5*(1-B5)+B15*(1-B15))/(B15-B5)^2*B12</f>
        <v>25770.7500904373</v>
      </c>
      <c r="C18" s="14" t="s">
        <v>1370</v>
      </c>
    </row>
    <row r="19" customFormat="false" ht="15" hidden="false" customHeight="false" outlineLevel="0" collapsed="false">
      <c r="A19" s="7" t="s">
        <v>1371</v>
      </c>
      <c r="B19" s="15" t="n">
        <f aca="false">B18/B9</f>
        <v>51.5415001808746</v>
      </c>
      <c r="C19" s="14"/>
    </row>
    <row r="20" customFormat="false" ht="15" hidden="false" customHeight="false" outlineLevel="0" collapsed="false">
      <c r="A20" s="7" t="s">
        <v>1372</v>
      </c>
      <c r="B20" s="15" t="n">
        <f aca="false">B10*B11*7</f>
        <v>84</v>
      </c>
      <c r="C20" s="14"/>
    </row>
    <row r="22" customFormat="false" ht="15" hidden="false" customHeight="false" outlineLevel="0" collapsed="false">
      <c r="A22" s="12" t="s">
        <v>1373</v>
      </c>
      <c r="B22" s="12"/>
      <c r="C22" s="12"/>
    </row>
    <row r="23" customFormat="false" ht="15" hidden="false" customHeight="false" outlineLevel="0" collapsed="false">
      <c r="A23" s="7" t="s">
        <v>1374</v>
      </c>
      <c r="B23" s="15" t="n">
        <f aca="false">3*B19</f>
        <v>154.624500542624</v>
      </c>
      <c r="C23" s="14"/>
    </row>
    <row r="24" customFormat="false" ht="15" hidden="false" customHeight="false" outlineLevel="0" collapsed="false">
      <c r="A24" s="7" t="s">
        <v>1375</v>
      </c>
      <c r="B24" s="61" t="n">
        <f aca="false">B23/B20</f>
        <v>1.84076786360266</v>
      </c>
      <c r="C24" s="14" t="s">
        <v>1376</v>
      </c>
    </row>
    <row r="25" customFormat="false" ht="15" hidden="false" customHeight="false" outlineLevel="0" collapsed="false">
      <c r="A25" s="7" t="s">
        <v>1377</v>
      </c>
      <c r="B25" s="22" t="n">
        <v>84</v>
      </c>
      <c r="C25" s="14" t="s">
        <v>1378</v>
      </c>
    </row>
    <row r="26" customFormat="false" ht="15" hidden="false" customHeight="false" outlineLevel="0" collapsed="false">
      <c r="A26" s="7" t="s">
        <v>1379</v>
      </c>
      <c r="B26" s="25" t="str">
        <f aca="false">IF(B25&gt;=B19,"ĐỦ theo giả định","CHƯA ĐỦ — kéo dài thí nghiệm")</f>
        <v>ĐỦ theo giả định</v>
      </c>
      <c r="C26" s="14"/>
    </row>
    <row r="28" customFormat="false" ht="15" hidden="false" customHeight="false" outlineLevel="0" collapsed="false">
      <c r="A28" s="12" t="s">
        <v>1380</v>
      </c>
      <c r="B28" s="12"/>
      <c r="C28" s="12"/>
    </row>
    <row r="29" customFormat="false" ht="15" hidden="false" customHeight="false" outlineLevel="0" collapsed="false">
      <c r="A29" s="5" t="s">
        <v>1381</v>
      </c>
      <c r="B29" s="5" t="s">
        <v>1375</v>
      </c>
      <c r="C29" s="5" t="s">
        <v>110</v>
      </c>
    </row>
    <row r="30" customFormat="false" ht="15" hidden="false" customHeight="false" outlineLevel="0" collapsed="false">
      <c r="A30" s="20" t="n">
        <v>0.2</v>
      </c>
      <c r="B30" s="61" t="n">
        <f aca="false">($B$19/A30)/$B$20</f>
        <v>3.06794643933777</v>
      </c>
      <c r="C30" s="14" t="s">
        <v>1382</v>
      </c>
    </row>
    <row r="31" customFormat="false" ht="15" hidden="false" customHeight="false" outlineLevel="0" collapsed="false">
      <c r="A31" s="20" t="n">
        <v>0.33</v>
      </c>
      <c r="B31" s="61" t="n">
        <f aca="false">($B$19/A31)/$B$20</f>
        <v>1.85936147838653</v>
      </c>
      <c r="C31" s="14" t="s">
        <v>1383</v>
      </c>
    </row>
    <row r="32" customFormat="false" ht="15" hidden="false" customHeight="false" outlineLevel="0" collapsed="false">
      <c r="A32" s="20" t="n">
        <v>0.5</v>
      </c>
      <c r="B32" s="61" t="n">
        <f aca="false">($B$19/A32)/$B$20</f>
        <v>1.22717857573511</v>
      </c>
      <c r="C32" s="14" t="s">
        <v>1384</v>
      </c>
    </row>
    <row r="34" customFormat="false" ht="15" hidden="false" customHeight="false" outlineLevel="0" collapsed="false">
      <c r="A34" s="7" t="s">
        <v>1385</v>
      </c>
      <c r="B34" s="22" t="n">
        <v>66</v>
      </c>
      <c r="C34" s="14" t="s">
        <v>1386</v>
      </c>
    </row>
    <row r="35" customFormat="false" ht="23.85" hidden="false" customHeight="false" outlineLevel="0" collapsed="false">
      <c r="A35" s="7" t="s">
        <v>1387</v>
      </c>
      <c r="B35" s="25" t="str">
        <f aca="false">IF(B34&gt;=B19,"ĐỦ theo giả định","CHƯA ĐỦ — tăng tỉ lệ Human tạm thời hoặc kéo dài TN3")</f>
        <v>ĐỦ theo giả định</v>
      </c>
      <c r="C35" s="14" t="s">
        <v>1388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20"/>
    <col collapsed="false" customWidth="true" hidden="false" outlineLevel="0" max="4" min="4" style="0" width="60"/>
  </cols>
  <sheetData>
    <row r="1" customFormat="false" ht="18.55" hidden="false" customHeight="false" outlineLevel="0" collapsed="false">
      <c r="A1" s="1" t="s">
        <v>1389</v>
      </c>
    </row>
    <row r="2" customFormat="false" ht="15" hidden="false" customHeight="false" outlineLevel="0" collapsed="false">
      <c r="A2" s="2" t="s">
        <v>1390</v>
      </c>
    </row>
    <row r="4" customFormat="false" ht="15" hidden="false" customHeight="false" outlineLevel="0" collapsed="false">
      <c r="A4" s="5"/>
      <c r="B4" s="5" t="s">
        <v>1391</v>
      </c>
      <c r="C4" s="5" t="s">
        <v>1392</v>
      </c>
      <c r="D4" s="5" t="s">
        <v>110</v>
      </c>
    </row>
    <row r="5" customFormat="false" ht="15" hidden="false" customHeight="false" outlineLevel="0" collapsed="false">
      <c r="A5" s="7" t="s">
        <v>1393</v>
      </c>
      <c r="B5" s="21" t="n">
        <v>12000</v>
      </c>
      <c r="C5" s="21" t="n">
        <v>12000</v>
      </c>
      <c r="D5" s="14" t="s">
        <v>1394</v>
      </c>
    </row>
    <row r="6" customFormat="false" ht="15" hidden="false" customHeight="false" outlineLevel="0" collapsed="false">
      <c r="A6" s="7" t="s">
        <v>432</v>
      </c>
      <c r="B6" s="21" t="n">
        <v>150</v>
      </c>
      <c r="C6" s="21" t="n">
        <v>110</v>
      </c>
      <c r="D6" s="14" t="s">
        <v>1395</v>
      </c>
    </row>
    <row r="7" customFormat="false" ht="15" hidden="false" customHeight="false" outlineLevel="0" collapsed="false">
      <c r="A7" s="7" t="s">
        <v>437</v>
      </c>
      <c r="B7" s="56" t="n">
        <f aca="false">IF(B5&gt;0,B6/B5,0)</f>
        <v>0.0125</v>
      </c>
      <c r="C7" s="56" t="n">
        <f aca="false">IF(C5&gt;0,C6/C5,0)</f>
        <v>0.00916666666666667</v>
      </c>
      <c r="D7" s="7"/>
    </row>
    <row r="8" customFormat="false" ht="15" hidden="false" customHeight="false" outlineLevel="0" collapsed="false">
      <c r="A8" s="7" t="s">
        <v>1396</v>
      </c>
      <c r="B8" s="67" t="n">
        <f aca="false">IF(B7&gt;0,C7/B7-1,0)</f>
        <v>-0.266666666666667</v>
      </c>
      <c r="C8" s="7"/>
      <c r="D8" s="14" t="s">
        <v>1397</v>
      </c>
    </row>
    <row r="9" customFormat="false" ht="15" hidden="false" customHeight="false" outlineLevel="0" collapsed="false">
      <c r="A9" s="7" t="s">
        <v>1398</v>
      </c>
      <c r="B9" s="58" t="n">
        <f aca="false">IFERROR((C7-B7)/SQRT(((B6+C6)/(B5+C5))*(1-(B6+C6)/(B5+C5))*(1/B5+1/C5)),"")</f>
        <v>-2.49424195949355</v>
      </c>
      <c r="C9" s="7"/>
      <c r="D9" s="7"/>
    </row>
    <row r="10" customFormat="false" ht="23.85" hidden="false" customHeight="false" outlineLevel="0" collapsed="false">
      <c r="A10" s="7" t="s">
        <v>1317</v>
      </c>
      <c r="B10" s="59" t="n">
        <f aca="false">IF(B9="","",2*(1-NORMSDIST(ABS(B9))))</f>
        <v>0.0126226467274644</v>
      </c>
      <c r="C10" s="7"/>
      <c r="D10" s="14" t="s">
        <v>1399</v>
      </c>
    </row>
    <row r="11" customFormat="false" ht="15" hidden="false" customHeight="false" outlineLevel="0" collapsed="false">
      <c r="A11" s="6" t="s">
        <v>1329</v>
      </c>
      <c r="B11" s="6" t="str">
        <f aca="false">IF(OR(B6&lt;'Cài đặt'!$B$25,C6&lt;'Cài đặt'!$B$25),"CHƯA ĐỦ click (cần ≥ "&amp;'Cài đặt'!$B$25&amp;" mỗi bên)",IF(B10="","—",IF(B10&lt;'Cài đặt'!$B$27,IF(C7&gt;B7,"B THẮNG (khác biệt có ý nghĩa)","A THẮNG (khác biệt có ý nghĩa)"),"HÒA — chưa phân biệt được")))</f>
        <v>A THẮNG (khác biệt có ý nghĩa)</v>
      </c>
      <c r="C11" s="6"/>
      <c r="D11" s="14" t="s">
        <v>1400</v>
      </c>
    </row>
    <row r="13" customFormat="false" ht="15" hidden="false" customHeight="false" outlineLevel="0" collapsed="false">
      <c r="A13" s="2" t="s">
        <v>1401</v>
      </c>
    </row>
    <row r="14" customFormat="false" ht="15" hidden="false" customHeight="false" outlineLevel="0" collapsed="false">
      <c r="A14" s="2" t="s">
        <v>1402</v>
      </c>
    </row>
  </sheetData>
  <mergeCells count="1">
    <mergeCell ref="B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14"/>
    <col collapsed="false" customWidth="true" hidden="false" outlineLevel="0" max="5" min="4" style="0" width="20"/>
    <col collapsed="false" customWidth="true" hidden="false" outlineLevel="0" max="6" min="6" style="0" width="14"/>
    <col collapsed="false" customWidth="true" hidden="false" outlineLevel="0" max="7" min="7" style="0" width="46"/>
  </cols>
  <sheetData>
    <row r="1" customFormat="false" ht="18.55" hidden="false" customHeight="false" outlineLevel="0" collapsed="false">
      <c r="A1" s="1" t="s">
        <v>1403</v>
      </c>
    </row>
    <row r="2" customFormat="false" ht="15" hidden="false" customHeight="false" outlineLevel="0" collapsed="false">
      <c r="A2" s="2" t="s">
        <v>1404</v>
      </c>
    </row>
    <row r="3" customFormat="false" ht="42" hidden="false" customHeight="true" outlineLevel="0" collapsed="false">
      <c r="A3" s="5" t="s">
        <v>143</v>
      </c>
      <c r="B3" s="5" t="s">
        <v>297</v>
      </c>
      <c r="C3" s="5" t="s">
        <v>1405</v>
      </c>
      <c r="D3" s="5" t="s">
        <v>1406</v>
      </c>
      <c r="E3" s="5" t="s">
        <v>1407</v>
      </c>
      <c r="F3" s="5" t="s">
        <v>1408</v>
      </c>
      <c r="G3" s="5" t="s">
        <v>1409</v>
      </c>
    </row>
    <row r="4" customFormat="false" ht="23.85" hidden="false" customHeight="false" outlineLevel="0" collapsed="false">
      <c r="A4" s="68" t="s">
        <v>154</v>
      </c>
      <c r="B4" s="68" t="n">
        <v>6</v>
      </c>
      <c r="C4" s="69" t="n">
        <v>1250</v>
      </c>
      <c r="D4" s="69" t="n">
        <v>900</v>
      </c>
      <c r="E4" s="69" t="n">
        <v>520</v>
      </c>
      <c r="F4" s="70" t="n">
        <f aca="false">IF(AND(D4&gt;0,E4&gt;0),E4/D4-1,"")</f>
        <v>-0.422222222222222</v>
      </c>
      <c r="G4" s="10" t="str">
        <f aca="false">IF(F4="","",IF(F4&lt;-0.3,"⚠ Reach tụt &gt;30%: giảm bài có link, tăng bài thuần nội dung",""))</f>
        <v>⚠ Reach tụt &gt;30%: giảm bài có link, tăng bài thuần nội dung</v>
      </c>
      <c r="H4" s="40" t="s">
        <v>1410</v>
      </c>
    </row>
    <row r="5" customFormat="false" ht="15" hidden="false" customHeight="false" outlineLevel="0" collapsed="false">
      <c r="A5" s="25" t="s">
        <v>154</v>
      </c>
      <c r="B5" s="25" t="n">
        <v>1</v>
      </c>
      <c r="C5" s="21"/>
      <c r="D5" s="21"/>
      <c r="E5" s="21"/>
      <c r="F5" s="71" t="str">
        <f aca="false">IF(AND(D5&gt;0,E5&gt;0),E5/D5-1,"")</f>
        <v/>
      </c>
      <c r="G5" s="7" t="str">
        <f aca="false">IF(F5="","",IF(F5&lt;-0.3,"⚠ Reach tụt &gt;30%: giảm bài có link, tăng bài thuần nội dung",""))</f>
        <v/>
      </c>
    </row>
    <row r="6" customFormat="false" ht="15" hidden="false" customHeight="false" outlineLevel="0" collapsed="false">
      <c r="A6" s="25" t="s">
        <v>163</v>
      </c>
      <c r="B6" s="25" t="n">
        <v>1</v>
      </c>
      <c r="C6" s="21"/>
      <c r="D6" s="21"/>
      <c r="E6" s="21"/>
      <c r="F6" s="71" t="str">
        <f aca="false">IF(AND(D6&gt;0,E6&gt;0),E6/D6-1,"")</f>
        <v/>
      </c>
      <c r="G6" s="7" t="str">
        <f aca="false">IF(F6="","",IF(F6&lt;-0.3,"⚠ Reach tụt &gt;30%: giảm bài có link, tăng bài thuần nội dung",""))</f>
        <v/>
      </c>
    </row>
    <row r="7" customFormat="false" ht="15" hidden="false" customHeight="false" outlineLevel="0" collapsed="false">
      <c r="A7" s="25" t="s">
        <v>171</v>
      </c>
      <c r="B7" s="25" t="n">
        <v>1</v>
      </c>
      <c r="C7" s="21"/>
      <c r="D7" s="21"/>
      <c r="E7" s="21"/>
      <c r="F7" s="71" t="str">
        <f aca="false">IF(AND(D7&gt;0,E7&gt;0),E7/D7-1,"")</f>
        <v/>
      </c>
      <c r="G7" s="7" t="str">
        <f aca="false">IF(F7="","",IF(F7&lt;-0.3,"⚠ Reach tụt &gt;30%: giảm bài có link, tăng bài thuần nội dung",""))</f>
        <v/>
      </c>
    </row>
    <row r="8" customFormat="false" ht="15" hidden="false" customHeight="false" outlineLevel="0" collapsed="false">
      <c r="A8" s="25" t="s">
        <v>178</v>
      </c>
      <c r="B8" s="25" t="n">
        <v>1</v>
      </c>
      <c r="C8" s="21"/>
      <c r="D8" s="21"/>
      <c r="E8" s="21"/>
      <c r="F8" s="71" t="str">
        <f aca="false">IF(AND(D8&gt;0,E8&gt;0),E8/D8-1,"")</f>
        <v/>
      </c>
      <c r="G8" s="7" t="str">
        <f aca="false">IF(F8="","",IF(F8&lt;-0.3,"⚠ Reach tụt &gt;30%: giảm bài có link, tăng bài thuần nội dung",""))</f>
        <v/>
      </c>
    </row>
    <row r="9" customFormat="false" ht="15" hidden="false" customHeight="false" outlineLevel="0" collapsed="false">
      <c r="A9" s="25" t="s">
        <v>185</v>
      </c>
      <c r="B9" s="25" t="n">
        <v>1</v>
      </c>
      <c r="C9" s="21"/>
      <c r="D9" s="21"/>
      <c r="E9" s="21"/>
      <c r="F9" s="71" t="str">
        <f aca="false">IF(AND(D9&gt;0,E9&gt;0),E9/D9-1,"")</f>
        <v/>
      </c>
      <c r="G9" s="7" t="str">
        <f aca="false">IF(F9="","",IF(F9&lt;-0.3,"⚠ Reach tụt &gt;30%: giảm bài có link, tăng bài thuần nội dung",""))</f>
        <v/>
      </c>
    </row>
    <row r="10" customFormat="false" ht="15" hidden="false" customHeight="false" outlineLevel="0" collapsed="false">
      <c r="A10" s="25" t="s">
        <v>193</v>
      </c>
      <c r="B10" s="25" t="n">
        <v>1</v>
      </c>
      <c r="C10" s="21"/>
      <c r="D10" s="21"/>
      <c r="E10" s="21"/>
      <c r="F10" s="71" t="str">
        <f aca="false">IF(AND(D10&gt;0,E10&gt;0),E10/D10-1,"")</f>
        <v/>
      </c>
      <c r="G10" s="7" t="str">
        <f aca="false">IF(F10="","",IF(F10&lt;-0.3,"⚠ Reach tụt &gt;30%: giảm bài có link, tăng bài thuần nội dung",""))</f>
        <v/>
      </c>
    </row>
    <row r="11" customFormat="false" ht="15" hidden="false" customHeight="false" outlineLevel="0" collapsed="false">
      <c r="A11" s="25" t="s">
        <v>154</v>
      </c>
      <c r="B11" s="25" t="n">
        <v>2</v>
      </c>
      <c r="C11" s="21"/>
      <c r="D11" s="21"/>
      <c r="E11" s="21"/>
      <c r="F11" s="71" t="str">
        <f aca="false">IF(AND(D11&gt;0,E11&gt;0),E11/D11-1,"")</f>
        <v/>
      </c>
      <c r="G11" s="7" t="str">
        <f aca="false">IF(F11="","",IF(F11&lt;-0.3,"⚠ Reach tụt &gt;30%: giảm bài có link, tăng bài thuần nội dung",""))</f>
        <v/>
      </c>
    </row>
    <row r="12" customFormat="false" ht="15" hidden="false" customHeight="false" outlineLevel="0" collapsed="false">
      <c r="A12" s="25" t="s">
        <v>163</v>
      </c>
      <c r="B12" s="25" t="n">
        <v>2</v>
      </c>
      <c r="C12" s="21"/>
      <c r="D12" s="21"/>
      <c r="E12" s="21"/>
      <c r="F12" s="71" t="str">
        <f aca="false">IF(AND(D12&gt;0,E12&gt;0),E12/D12-1,"")</f>
        <v/>
      </c>
      <c r="G12" s="7" t="str">
        <f aca="false">IF(F12="","",IF(F12&lt;-0.3,"⚠ Reach tụt &gt;30%: giảm bài có link, tăng bài thuần nội dung",""))</f>
        <v/>
      </c>
    </row>
    <row r="13" customFormat="false" ht="15" hidden="false" customHeight="false" outlineLevel="0" collapsed="false">
      <c r="A13" s="25" t="s">
        <v>171</v>
      </c>
      <c r="B13" s="25" t="n">
        <v>2</v>
      </c>
      <c r="C13" s="21"/>
      <c r="D13" s="21"/>
      <c r="E13" s="21"/>
      <c r="F13" s="71" t="str">
        <f aca="false">IF(AND(D13&gt;0,E13&gt;0),E13/D13-1,"")</f>
        <v/>
      </c>
      <c r="G13" s="7" t="str">
        <f aca="false">IF(F13="","",IF(F13&lt;-0.3,"⚠ Reach tụt &gt;30%: giảm bài có link, tăng bài thuần nội dung",""))</f>
        <v/>
      </c>
    </row>
    <row r="14" customFormat="false" ht="15" hidden="false" customHeight="false" outlineLevel="0" collapsed="false">
      <c r="A14" s="25" t="s">
        <v>178</v>
      </c>
      <c r="B14" s="25" t="n">
        <v>2</v>
      </c>
      <c r="C14" s="21"/>
      <c r="D14" s="21"/>
      <c r="E14" s="21"/>
      <c r="F14" s="71" t="str">
        <f aca="false">IF(AND(D14&gt;0,E14&gt;0),E14/D14-1,"")</f>
        <v/>
      </c>
      <c r="G14" s="7" t="str">
        <f aca="false">IF(F14="","",IF(F14&lt;-0.3,"⚠ Reach tụt &gt;30%: giảm bài có link, tăng bài thuần nội dung",""))</f>
        <v/>
      </c>
    </row>
    <row r="15" customFormat="false" ht="15" hidden="false" customHeight="false" outlineLevel="0" collapsed="false">
      <c r="A15" s="25" t="s">
        <v>185</v>
      </c>
      <c r="B15" s="25" t="n">
        <v>2</v>
      </c>
      <c r="C15" s="21"/>
      <c r="D15" s="21"/>
      <c r="E15" s="21"/>
      <c r="F15" s="71" t="str">
        <f aca="false">IF(AND(D15&gt;0,E15&gt;0),E15/D15-1,"")</f>
        <v/>
      </c>
      <c r="G15" s="7" t="str">
        <f aca="false">IF(F15="","",IF(F15&lt;-0.3,"⚠ Reach tụt &gt;30%: giảm bài có link, tăng bài thuần nội dung",""))</f>
        <v/>
      </c>
    </row>
    <row r="16" customFormat="false" ht="15" hidden="false" customHeight="false" outlineLevel="0" collapsed="false">
      <c r="A16" s="25" t="s">
        <v>193</v>
      </c>
      <c r="B16" s="25" t="n">
        <v>2</v>
      </c>
      <c r="C16" s="21"/>
      <c r="D16" s="21"/>
      <c r="E16" s="21"/>
      <c r="F16" s="71" t="str">
        <f aca="false">IF(AND(D16&gt;0,E16&gt;0),E16/D16-1,"")</f>
        <v/>
      </c>
      <c r="G16" s="7" t="str">
        <f aca="false">IF(F16="","",IF(F16&lt;-0.3,"⚠ Reach tụt &gt;30%: giảm bài có link, tăng bài thuần nội dung",""))</f>
        <v/>
      </c>
    </row>
    <row r="17" customFormat="false" ht="15" hidden="false" customHeight="false" outlineLevel="0" collapsed="false">
      <c r="A17" s="25" t="s">
        <v>154</v>
      </c>
      <c r="B17" s="25" t="n">
        <v>3</v>
      </c>
      <c r="C17" s="21"/>
      <c r="D17" s="21"/>
      <c r="E17" s="21"/>
      <c r="F17" s="71" t="str">
        <f aca="false">IF(AND(D17&gt;0,E17&gt;0),E17/D17-1,"")</f>
        <v/>
      </c>
      <c r="G17" s="7" t="str">
        <f aca="false">IF(F17="","",IF(F17&lt;-0.3,"⚠ Reach tụt &gt;30%: giảm bài có link, tăng bài thuần nội dung",""))</f>
        <v/>
      </c>
    </row>
    <row r="18" customFormat="false" ht="15" hidden="false" customHeight="false" outlineLevel="0" collapsed="false">
      <c r="A18" s="25" t="s">
        <v>163</v>
      </c>
      <c r="B18" s="25" t="n">
        <v>3</v>
      </c>
      <c r="C18" s="21"/>
      <c r="D18" s="21"/>
      <c r="E18" s="21"/>
      <c r="F18" s="71" t="str">
        <f aca="false">IF(AND(D18&gt;0,E18&gt;0),E18/D18-1,"")</f>
        <v/>
      </c>
      <c r="G18" s="7" t="str">
        <f aca="false">IF(F18="","",IF(F18&lt;-0.3,"⚠ Reach tụt &gt;30%: giảm bài có link, tăng bài thuần nội dung",""))</f>
        <v/>
      </c>
    </row>
    <row r="19" customFormat="false" ht="15" hidden="false" customHeight="false" outlineLevel="0" collapsed="false">
      <c r="A19" s="25" t="s">
        <v>171</v>
      </c>
      <c r="B19" s="25" t="n">
        <v>3</v>
      </c>
      <c r="C19" s="21"/>
      <c r="D19" s="21"/>
      <c r="E19" s="21"/>
      <c r="F19" s="71" t="str">
        <f aca="false">IF(AND(D19&gt;0,E19&gt;0),E19/D19-1,"")</f>
        <v/>
      </c>
      <c r="G19" s="7" t="str">
        <f aca="false">IF(F19="","",IF(F19&lt;-0.3,"⚠ Reach tụt &gt;30%: giảm bài có link, tăng bài thuần nội dung",""))</f>
        <v/>
      </c>
    </row>
    <row r="20" customFormat="false" ht="15" hidden="false" customHeight="false" outlineLevel="0" collapsed="false">
      <c r="A20" s="25" t="s">
        <v>178</v>
      </c>
      <c r="B20" s="25" t="n">
        <v>3</v>
      </c>
      <c r="C20" s="21"/>
      <c r="D20" s="21"/>
      <c r="E20" s="21"/>
      <c r="F20" s="71" t="str">
        <f aca="false">IF(AND(D20&gt;0,E20&gt;0),E20/D20-1,"")</f>
        <v/>
      </c>
      <c r="G20" s="7" t="str">
        <f aca="false">IF(F20="","",IF(F20&lt;-0.3,"⚠ Reach tụt &gt;30%: giảm bài có link, tăng bài thuần nội dung",""))</f>
        <v/>
      </c>
    </row>
    <row r="21" customFormat="false" ht="15" hidden="false" customHeight="false" outlineLevel="0" collapsed="false">
      <c r="A21" s="25" t="s">
        <v>185</v>
      </c>
      <c r="B21" s="25" t="n">
        <v>3</v>
      </c>
      <c r="C21" s="21"/>
      <c r="D21" s="21"/>
      <c r="E21" s="21"/>
      <c r="F21" s="71" t="str">
        <f aca="false">IF(AND(D21&gt;0,E21&gt;0),E21/D21-1,"")</f>
        <v/>
      </c>
      <c r="G21" s="7" t="str">
        <f aca="false">IF(F21="","",IF(F21&lt;-0.3,"⚠ Reach tụt &gt;30%: giảm bài có link, tăng bài thuần nội dung",""))</f>
        <v/>
      </c>
    </row>
    <row r="22" customFormat="false" ht="15" hidden="false" customHeight="false" outlineLevel="0" collapsed="false">
      <c r="A22" s="25" t="s">
        <v>193</v>
      </c>
      <c r="B22" s="25" t="n">
        <v>3</v>
      </c>
      <c r="C22" s="21"/>
      <c r="D22" s="21"/>
      <c r="E22" s="21"/>
      <c r="F22" s="71" t="str">
        <f aca="false">IF(AND(D22&gt;0,E22&gt;0),E22/D22-1,"")</f>
        <v/>
      </c>
      <c r="G22" s="7" t="str">
        <f aca="false">IF(F22="","",IF(F22&lt;-0.3,"⚠ Reach tụt &gt;30%: giảm bài có link, tăng bài thuần nội dung",""))</f>
        <v/>
      </c>
    </row>
    <row r="23" customFormat="false" ht="15" hidden="false" customHeight="false" outlineLevel="0" collapsed="false">
      <c r="A23" s="25" t="s">
        <v>154</v>
      </c>
      <c r="B23" s="25" t="n">
        <v>4</v>
      </c>
      <c r="C23" s="21"/>
      <c r="D23" s="21"/>
      <c r="E23" s="21"/>
      <c r="F23" s="71" t="str">
        <f aca="false">IF(AND(D23&gt;0,E23&gt;0),E23/D23-1,"")</f>
        <v/>
      </c>
      <c r="G23" s="7" t="str">
        <f aca="false">IF(F23="","",IF(F23&lt;-0.3,"⚠ Reach tụt &gt;30%: giảm bài có link, tăng bài thuần nội dung",""))</f>
        <v/>
      </c>
    </row>
    <row r="24" customFormat="false" ht="15" hidden="false" customHeight="false" outlineLevel="0" collapsed="false">
      <c r="A24" s="25" t="s">
        <v>163</v>
      </c>
      <c r="B24" s="25" t="n">
        <v>4</v>
      </c>
      <c r="C24" s="21"/>
      <c r="D24" s="21"/>
      <c r="E24" s="21"/>
      <c r="F24" s="71" t="str">
        <f aca="false">IF(AND(D24&gt;0,E24&gt;0),E24/D24-1,"")</f>
        <v/>
      </c>
      <c r="G24" s="7" t="str">
        <f aca="false">IF(F24="","",IF(F24&lt;-0.3,"⚠ Reach tụt &gt;30%: giảm bài có link, tăng bài thuần nội dung",""))</f>
        <v/>
      </c>
    </row>
    <row r="25" customFormat="false" ht="15" hidden="false" customHeight="false" outlineLevel="0" collapsed="false">
      <c r="A25" s="25" t="s">
        <v>171</v>
      </c>
      <c r="B25" s="25" t="n">
        <v>4</v>
      </c>
      <c r="C25" s="21"/>
      <c r="D25" s="21"/>
      <c r="E25" s="21"/>
      <c r="F25" s="71" t="str">
        <f aca="false">IF(AND(D25&gt;0,E25&gt;0),E25/D25-1,"")</f>
        <v/>
      </c>
      <c r="G25" s="7" t="str">
        <f aca="false">IF(F25="","",IF(F25&lt;-0.3,"⚠ Reach tụt &gt;30%: giảm bài có link, tăng bài thuần nội dung",""))</f>
        <v/>
      </c>
    </row>
    <row r="26" customFormat="false" ht="15" hidden="false" customHeight="false" outlineLevel="0" collapsed="false">
      <c r="A26" s="25" t="s">
        <v>178</v>
      </c>
      <c r="B26" s="25" t="n">
        <v>4</v>
      </c>
      <c r="C26" s="21"/>
      <c r="D26" s="21"/>
      <c r="E26" s="21"/>
      <c r="F26" s="71" t="str">
        <f aca="false">IF(AND(D26&gt;0,E26&gt;0),E26/D26-1,"")</f>
        <v/>
      </c>
      <c r="G26" s="7" t="str">
        <f aca="false">IF(F26="","",IF(F26&lt;-0.3,"⚠ Reach tụt &gt;30%: giảm bài có link, tăng bài thuần nội dung",""))</f>
        <v/>
      </c>
    </row>
    <row r="27" customFormat="false" ht="15" hidden="false" customHeight="false" outlineLevel="0" collapsed="false">
      <c r="A27" s="25" t="s">
        <v>185</v>
      </c>
      <c r="B27" s="25" t="n">
        <v>4</v>
      </c>
      <c r="C27" s="21"/>
      <c r="D27" s="21"/>
      <c r="E27" s="21"/>
      <c r="F27" s="71" t="str">
        <f aca="false">IF(AND(D27&gt;0,E27&gt;0),E27/D27-1,"")</f>
        <v/>
      </c>
      <c r="G27" s="7" t="str">
        <f aca="false">IF(F27="","",IF(F27&lt;-0.3,"⚠ Reach tụt &gt;30%: giảm bài có link, tăng bài thuần nội dung",""))</f>
        <v/>
      </c>
    </row>
    <row r="28" customFormat="false" ht="15" hidden="false" customHeight="false" outlineLevel="0" collapsed="false">
      <c r="A28" s="25" t="s">
        <v>193</v>
      </c>
      <c r="B28" s="25" t="n">
        <v>4</v>
      </c>
      <c r="C28" s="21"/>
      <c r="D28" s="21"/>
      <c r="E28" s="21"/>
      <c r="F28" s="71" t="str">
        <f aca="false">IF(AND(D28&gt;0,E28&gt;0),E28/D28-1,"")</f>
        <v/>
      </c>
      <c r="G28" s="7" t="str">
        <f aca="false">IF(F28="","",IF(F28&lt;-0.3,"⚠ Reach tụt &gt;30%: giảm bài có link, tăng bài thuần nội dung",""))</f>
        <v/>
      </c>
    </row>
    <row r="29" customFormat="false" ht="15" hidden="false" customHeight="false" outlineLevel="0" collapsed="false">
      <c r="A29" s="25" t="s">
        <v>154</v>
      </c>
      <c r="B29" s="25" t="n">
        <v>5</v>
      </c>
      <c r="C29" s="21"/>
      <c r="D29" s="21"/>
      <c r="E29" s="21"/>
      <c r="F29" s="71" t="str">
        <f aca="false">IF(AND(D29&gt;0,E29&gt;0),E29/D29-1,"")</f>
        <v/>
      </c>
      <c r="G29" s="7" t="str">
        <f aca="false">IF(F29="","",IF(F29&lt;-0.3,"⚠ Reach tụt &gt;30%: giảm bài có link, tăng bài thuần nội dung",""))</f>
        <v/>
      </c>
    </row>
    <row r="30" customFormat="false" ht="15" hidden="false" customHeight="false" outlineLevel="0" collapsed="false">
      <c r="A30" s="25" t="s">
        <v>163</v>
      </c>
      <c r="B30" s="25" t="n">
        <v>5</v>
      </c>
      <c r="C30" s="21"/>
      <c r="D30" s="21"/>
      <c r="E30" s="21"/>
      <c r="F30" s="71" t="str">
        <f aca="false">IF(AND(D30&gt;0,E30&gt;0),E30/D30-1,"")</f>
        <v/>
      </c>
      <c r="G30" s="7" t="str">
        <f aca="false">IF(F30="","",IF(F30&lt;-0.3,"⚠ Reach tụt &gt;30%: giảm bài có link, tăng bài thuần nội dung",""))</f>
        <v/>
      </c>
    </row>
    <row r="31" customFormat="false" ht="15" hidden="false" customHeight="false" outlineLevel="0" collapsed="false">
      <c r="A31" s="25" t="s">
        <v>171</v>
      </c>
      <c r="B31" s="25" t="n">
        <v>5</v>
      </c>
      <c r="C31" s="21"/>
      <c r="D31" s="21"/>
      <c r="E31" s="21"/>
      <c r="F31" s="71" t="str">
        <f aca="false">IF(AND(D31&gt;0,E31&gt;0),E31/D31-1,"")</f>
        <v/>
      </c>
      <c r="G31" s="7" t="str">
        <f aca="false">IF(F31="","",IF(F31&lt;-0.3,"⚠ Reach tụt &gt;30%: giảm bài có link, tăng bài thuần nội dung",""))</f>
        <v/>
      </c>
    </row>
    <row r="32" customFormat="false" ht="15" hidden="false" customHeight="false" outlineLevel="0" collapsed="false">
      <c r="A32" s="25" t="s">
        <v>178</v>
      </c>
      <c r="B32" s="25" t="n">
        <v>5</v>
      </c>
      <c r="C32" s="21"/>
      <c r="D32" s="21"/>
      <c r="E32" s="21"/>
      <c r="F32" s="71" t="str">
        <f aca="false">IF(AND(D32&gt;0,E32&gt;0),E32/D32-1,"")</f>
        <v/>
      </c>
      <c r="G32" s="7" t="str">
        <f aca="false">IF(F32="","",IF(F32&lt;-0.3,"⚠ Reach tụt &gt;30%: giảm bài có link, tăng bài thuần nội dung",""))</f>
        <v/>
      </c>
    </row>
    <row r="33" customFormat="false" ht="15" hidden="false" customHeight="false" outlineLevel="0" collapsed="false">
      <c r="A33" s="25" t="s">
        <v>185</v>
      </c>
      <c r="B33" s="25" t="n">
        <v>5</v>
      </c>
      <c r="C33" s="21"/>
      <c r="D33" s="21"/>
      <c r="E33" s="21"/>
      <c r="F33" s="71" t="str">
        <f aca="false">IF(AND(D33&gt;0,E33&gt;0),E33/D33-1,"")</f>
        <v/>
      </c>
      <c r="G33" s="7" t="str">
        <f aca="false">IF(F33="","",IF(F33&lt;-0.3,"⚠ Reach tụt &gt;30%: giảm bài có link, tăng bài thuần nội dung",""))</f>
        <v/>
      </c>
    </row>
    <row r="34" customFormat="false" ht="15" hidden="false" customHeight="false" outlineLevel="0" collapsed="false">
      <c r="A34" s="25" t="s">
        <v>193</v>
      </c>
      <c r="B34" s="25" t="n">
        <v>5</v>
      </c>
      <c r="C34" s="21"/>
      <c r="D34" s="21"/>
      <c r="E34" s="21"/>
      <c r="F34" s="71" t="str">
        <f aca="false">IF(AND(D34&gt;0,E34&gt;0),E34/D34-1,"")</f>
        <v/>
      </c>
      <c r="G34" s="7" t="str">
        <f aca="false">IF(F34="","",IF(F34&lt;-0.3,"⚠ Reach tụt &gt;30%: giảm bài có link, tăng bài thuần nội dung",""))</f>
        <v/>
      </c>
    </row>
    <row r="35" customFormat="false" ht="15" hidden="false" customHeight="false" outlineLevel="0" collapsed="false">
      <c r="A35" s="25" t="s">
        <v>154</v>
      </c>
      <c r="B35" s="25" t="n">
        <v>6</v>
      </c>
      <c r="C35" s="21"/>
      <c r="D35" s="21"/>
      <c r="E35" s="21"/>
      <c r="F35" s="71" t="str">
        <f aca="false">IF(AND(D35&gt;0,E35&gt;0),E35/D35-1,"")</f>
        <v/>
      </c>
      <c r="G35" s="7" t="str">
        <f aca="false">IF(F35="","",IF(F35&lt;-0.3,"⚠ Reach tụt &gt;30%: giảm bài có link, tăng bài thuần nội dung",""))</f>
        <v/>
      </c>
    </row>
    <row r="36" customFormat="false" ht="15" hidden="false" customHeight="false" outlineLevel="0" collapsed="false">
      <c r="A36" s="25" t="s">
        <v>163</v>
      </c>
      <c r="B36" s="25" t="n">
        <v>6</v>
      </c>
      <c r="C36" s="21"/>
      <c r="D36" s="21"/>
      <c r="E36" s="21"/>
      <c r="F36" s="71" t="str">
        <f aca="false">IF(AND(D36&gt;0,E36&gt;0),E36/D36-1,"")</f>
        <v/>
      </c>
      <c r="G36" s="7" t="str">
        <f aca="false">IF(F36="","",IF(F36&lt;-0.3,"⚠ Reach tụt &gt;30%: giảm bài có link, tăng bài thuần nội dung",""))</f>
        <v/>
      </c>
    </row>
    <row r="37" customFormat="false" ht="15" hidden="false" customHeight="false" outlineLevel="0" collapsed="false">
      <c r="A37" s="25" t="s">
        <v>171</v>
      </c>
      <c r="B37" s="25" t="n">
        <v>6</v>
      </c>
      <c r="C37" s="21"/>
      <c r="D37" s="21"/>
      <c r="E37" s="21"/>
      <c r="F37" s="71" t="str">
        <f aca="false">IF(AND(D37&gt;0,E37&gt;0),E37/D37-1,"")</f>
        <v/>
      </c>
      <c r="G37" s="7" t="str">
        <f aca="false">IF(F37="","",IF(F37&lt;-0.3,"⚠ Reach tụt &gt;30%: giảm bài có link, tăng bài thuần nội dung",""))</f>
        <v/>
      </c>
    </row>
    <row r="38" customFormat="false" ht="15" hidden="false" customHeight="false" outlineLevel="0" collapsed="false">
      <c r="A38" s="25" t="s">
        <v>178</v>
      </c>
      <c r="B38" s="25" t="n">
        <v>6</v>
      </c>
      <c r="C38" s="21"/>
      <c r="D38" s="21"/>
      <c r="E38" s="21"/>
      <c r="F38" s="71" t="str">
        <f aca="false">IF(AND(D38&gt;0,E38&gt;0),E38/D38-1,"")</f>
        <v/>
      </c>
      <c r="G38" s="7" t="str">
        <f aca="false">IF(F38="","",IF(F38&lt;-0.3,"⚠ Reach tụt &gt;30%: giảm bài có link, tăng bài thuần nội dung",""))</f>
        <v/>
      </c>
    </row>
    <row r="39" customFormat="false" ht="15" hidden="false" customHeight="false" outlineLevel="0" collapsed="false">
      <c r="A39" s="25" t="s">
        <v>185</v>
      </c>
      <c r="B39" s="25" t="n">
        <v>6</v>
      </c>
      <c r="C39" s="21"/>
      <c r="D39" s="21"/>
      <c r="E39" s="21"/>
      <c r="F39" s="71" t="str">
        <f aca="false">IF(AND(D39&gt;0,E39&gt;0),E39/D39-1,"")</f>
        <v/>
      </c>
      <c r="G39" s="7" t="str">
        <f aca="false">IF(F39="","",IF(F39&lt;-0.3,"⚠ Reach tụt &gt;30%: giảm bài có link, tăng bài thuần nội dung",""))</f>
        <v/>
      </c>
    </row>
    <row r="40" customFormat="false" ht="15" hidden="false" customHeight="false" outlineLevel="0" collapsed="false">
      <c r="A40" s="25" t="s">
        <v>193</v>
      </c>
      <c r="B40" s="25" t="n">
        <v>6</v>
      </c>
      <c r="C40" s="21"/>
      <c r="D40" s="21"/>
      <c r="E40" s="21"/>
      <c r="F40" s="71" t="str">
        <f aca="false">IF(AND(D40&gt;0,E40&gt;0),E40/D40-1,"")</f>
        <v/>
      </c>
      <c r="G40" s="7" t="str">
        <f aca="false">IF(F40="","",IF(F40&lt;-0.3,"⚠ Reach tụt &gt;30%: giảm bài có link, tăng bài thuần nội dung",""))</f>
        <v/>
      </c>
    </row>
    <row r="41" customFormat="false" ht="15" hidden="false" customHeight="false" outlineLevel="0" collapsed="false">
      <c r="A41" s="25" t="s">
        <v>154</v>
      </c>
      <c r="B41" s="25" t="n">
        <v>7</v>
      </c>
      <c r="C41" s="21"/>
      <c r="D41" s="21"/>
      <c r="E41" s="21"/>
      <c r="F41" s="71" t="str">
        <f aca="false">IF(AND(D41&gt;0,E41&gt;0),E41/D41-1,"")</f>
        <v/>
      </c>
      <c r="G41" s="7" t="str">
        <f aca="false">IF(F41="","",IF(F41&lt;-0.3,"⚠ Reach tụt &gt;30%: giảm bài có link, tăng bài thuần nội dung",""))</f>
        <v/>
      </c>
    </row>
    <row r="42" customFormat="false" ht="15" hidden="false" customHeight="false" outlineLevel="0" collapsed="false">
      <c r="A42" s="25" t="s">
        <v>163</v>
      </c>
      <c r="B42" s="25" t="n">
        <v>7</v>
      </c>
      <c r="C42" s="21"/>
      <c r="D42" s="21"/>
      <c r="E42" s="21"/>
      <c r="F42" s="71" t="str">
        <f aca="false">IF(AND(D42&gt;0,E42&gt;0),E42/D42-1,"")</f>
        <v/>
      </c>
      <c r="G42" s="7" t="str">
        <f aca="false">IF(F42="","",IF(F42&lt;-0.3,"⚠ Reach tụt &gt;30%: giảm bài có link, tăng bài thuần nội dung",""))</f>
        <v/>
      </c>
    </row>
    <row r="43" customFormat="false" ht="15" hidden="false" customHeight="false" outlineLevel="0" collapsed="false">
      <c r="A43" s="25" t="s">
        <v>171</v>
      </c>
      <c r="B43" s="25" t="n">
        <v>7</v>
      </c>
      <c r="C43" s="21"/>
      <c r="D43" s="21"/>
      <c r="E43" s="21"/>
      <c r="F43" s="71" t="str">
        <f aca="false">IF(AND(D43&gt;0,E43&gt;0),E43/D43-1,"")</f>
        <v/>
      </c>
      <c r="G43" s="7" t="str">
        <f aca="false">IF(F43="","",IF(F43&lt;-0.3,"⚠ Reach tụt &gt;30%: giảm bài có link, tăng bài thuần nội dung",""))</f>
        <v/>
      </c>
    </row>
    <row r="44" customFormat="false" ht="15" hidden="false" customHeight="false" outlineLevel="0" collapsed="false">
      <c r="A44" s="25" t="s">
        <v>178</v>
      </c>
      <c r="B44" s="25" t="n">
        <v>7</v>
      </c>
      <c r="C44" s="21"/>
      <c r="D44" s="21"/>
      <c r="E44" s="21"/>
      <c r="F44" s="71" t="str">
        <f aca="false">IF(AND(D44&gt;0,E44&gt;0),E44/D44-1,"")</f>
        <v/>
      </c>
      <c r="G44" s="7" t="str">
        <f aca="false">IF(F44="","",IF(F44&lt;-0.3,"⚠ Reach tụt &gt;30%: giảm bài có link, tăng bài thuần nội dung",""))</f>
        <v/>
      </c>
    </row>
    <row r="45" customFormat="false" ht="15" hidden="false" customHeight="false" outlineLevel="0" collapsed="false">
      <c r="A45" s="25" t="s">
        <v>185</v>
      </c>
      <c r="B45" s="25" t="n">
        <v>7</v>
      </c>
      <c r="C45" s="21"/>
      <c r="D45" s="21"/>
      <c r="E45" s="21"/>
      <c r="F45" s="71" t="str">
        <f aca="false">IF(AND(D45&gt;0,E45&gt;0),E45/D45-1,"")</f>
        <v/>
      </c>
      <c r="G45" s="7" t="str">
        <f aca="false">IF(F45="","",IF(F45&lt;-0.3,"⚠ Reach tụt &gt;30%: giảm bài có link, tăng bài thuần nội dung",""))</f>
        <v/>
      </c>
    </row>
    <row r="46" customFormat="false" ht="15" hidden="false" customHeight="false" outlineLevel="0" collapsed="false">
      <c r="A46" s="25" t="s">
        <v>193</v>
      </c>
      <c r="B46" s="25" t="n">
        <v>7</v>
      </c>
      <c r="C46" s="21"/>
      <c r="D46" s="21"/>
      <c r="E46" s="21"/>
      <c r="F46" s="71" t="str">
        <f aca="false">IF(AND(D46&gt;0,E46&gt;0),E46/D46-1,"")</f>
        <v/>
      </c>
      <c r="G46" s="7" t="str">
        <f aca="false">IF(F46="","",IF(F46&lt;-0.3,"⚠ Reach tụt &gt;30%: giảm bài có link, tăng bài thuần nội dung",""))</f>
        <v/>
      </c>
    </row>
    <row r="47" customFormat="false" ht="15" hidden="false" customHeight="false" outlineLevel="0" collapsed="false">
      <c r="A47" s="25" t="s">
        <v>154</v>
      </c>
      <c r="B47" s="25" t="n">
        <v>8</v>
      </c>
      <c r="C47" s="21"/>
      <c r="D47" s="21"/>
      <c r="E47" s="21"/>
      <c r="F47" s="71" t="str">
        <f aca="false">IF(AND(D47&gt;0,E47&gt;0),E47/D47-1,"")</f>
        <v/>
      </c>
      <c r="G47" s="7" t="str">
        <f aca="false">IF(F47="","",IF(F47&lt;-0.3,"⚠ Reach tụt &gt;30%: giảm bài có link, tăng bài thuần nội dung",""))</f>
        <v/>
      </c>
    </row>
    <row r="48" customFormat="false" ht="15" hidden="false" customHeight="false" outlineLevel="0" collapsed="false">
      <c r="A48" s="25" t="s">
        <v>163</v>
      </c>
      <c r="B48" s="25" t="n">
        <v>8</v>
      </c>
      <c r="C48" s="21"/>
      <c r="D48" s="21"/>
      <c r="E48" s="21"/>
      <c r="F48" s="71" t="str">
        <f aca="false">IF(AND(D48&gt;0,E48&gt;0),E48/D48-1,"")</f>
        <v/>
      </c>
      <c r="G48" s="7" t="str">
        <f aca="false">IF(F48="","",IF(F48&lt;-0.3,"⚠ Reach tụt &gt;30%: giảm bài có link, tăng bài thuần nội dung",""))</f>
        <v/>
      </c>
    </row>
    <row r="49" customFormat="false" ht="15" hidden="false" customHeight="false" outlineLevel="0" collapsed="false">
      <c r="A49" s="25" t="s">
        <v>171</v>
      </c>
      <c r="B49" s="25" t="n">
        <v>8</v>
      </c>
      <c r="C49" s="21"/>
      <c r="D49" s="21"/>
      <c r="E49" s="21"/>
      <c r="F49" s="71" t="str">
        <f aca="false">IF(AND(D49&gt;0,E49&gt;0),E49/D49-1,"")</f>
        <v/>
      </c>
      <c r="G49" s="7" t="str">
        <f aca="false">IF(F49="","",IF(F49&lt;-0.3,"⚠ Reach tụt &gt;30%: giảm bài có link, tăng bài thuần nội dung",""))</f>
        <v/>
      </c>
    </row>
    <row r="50" customFormat="false" ht="15" hidden="false" customHeight="false" outlineLevel="0" collapsed="false">
      <c r="A50" s="25" t="s">
        <v>178</v>
      </c>
      <c r="B50" s="25" t="n">
        <v>8</v>
      </c>
      <c r="C50" s="21"/>
      <c r="D50" s="21"/>
      <c r="E50" s="21"/>
      <c r="F50" s="71" t="str">
        <f aca="false">IF(AND(D50&gt;0,E50&gt;0),E50/D50-1,"")</f>
        <v/>
      </c>
      <c r="G50" s="7" t="str">
        <f aca="false">IF(F50="","",IF(F50&lt;-0.3,"⚠ Reach tụt &gt;30%: giảm bài có link, tăng bài thuần nội dung",""))</f>
        <v/>
      </c>
    </row>
    <row r="51" customFormat="false" ht="15" hidden="false" customHeight="false" outlineLevel="0" collapsed="false">
      <c r="A51" s="25" t="s">
        <v>185</v>
      </c>
      <c r="B51" s="25" t="n">
        <v>8</v>
      </c>
      <c r="C51" s="21"/>
      <c r="D51" s="21"/>
      <c r="E51" s="21"/>
      <c r="F51" s="71" t="str">
        <f aca="false">IF(AND(D51&gt;0,E51&gt;0),E51/D51-1,"")</f>
        <v/>
      </c>
      <c r="G51" s="7" t="str">
        <f aca="false">IF(F51="","",IF(F51&lt;-0.3,"⚠ Reach tụt &gt;30%: giảm bài có link, tăng bài thuần nội dung",""))</f>
        <v/>
      </c>
    </row>
    <row r="52" customFormat="false" ht="15" hidden="false" customHeight="false" outlineLevel="0" collapsed="false">
      <c r="A52" s="25" t="s">
        <v>193</v>
      </c>
      <c r="B52" s="25" t="n">
        <v>8</v>
      </c>
      <c r="C52" s="21"/>
      <c r="D52" s="21"/>
      <c r="E52" s="21"/>
      <c r="F52" s="71" t="str">
        <f aca="false">IF(AND(D52&gt;0,E52&gt;0),E52/D52-1,"")</f>
        <v/>
      </c>
      <c r="G52" s="7" t="str">
        <f aca="false">IF(F52="","",IF(F52&lt;-0.3,"⚠ Reach tụt &gt;30%: giảm bài có link, tăng bài thuần nội dung",""))</f>
        <v/>
      </c>
    </row>
    <row r="53" customFormat="false" ht="15" hidden="false" customHeight="false" outlineLevel="0" collapsed="false">
      <c r="A53" s="25" t="s">
        <v>154</v>
      </c>
      <c r="B53" s="25" t="n">
        <v>9</v>
      </c>
      <c r="C53" s="21"/>
      <c r="D53" s="21"/>
      <c r="E53" s="21"/>
      <c r="F53" s="71" t="str">
        <f aca="false">IF(AND(D53&gt;0,E53&gt;0),E53/D53-1,"")</f>
        <v/>
      </c>
      <c r="G53" s="7" t="str">
        <f aca="false">IF(F53="","",IF(F53&lt;-0.3,"⚠ Reach tụt &gt;30%: giảm bài có link, tăng bài thuần nội dung",""))</f>
        <v/>
      </c>
    </row>
    <row r="54" customFormat="false" ht="15" hidden="false" customHeight="false" outlineLevel="0" collapsed="false">
      <c r="A54" s="25" t="s">
        <v>163</v>
      </c>
      <c r="B54" s="25" t="n">
        <v>9</v>
      </c>
      <c r="C54" s="21"/>
      <c r="D54" s="21"/>
      <c r="E54" s="21"/>
      <c r="F54" s="71" t="str">
        <f aca="false">IF(AND(D54&gt;0,E54&gt;0),E54/D54-1,"")</f>
        <v/>
      </c>
      <c r="G54" s="7" t="str">
        <f aca="false">IF(F54="","",IF(F54&lt;-0.3,"⚠ Reach tụt &gt;30%: giảm bài có link, tăng bài thuần nội dung",""))</f>
        <v/>
      </c>
    </row>
    <row r="55" customFormat="false" ht="15" hidden="false" customHeight="false" outlineLevel="0" collapsed="false">
      <c r="A55" s="25" t="s">
        <v>171</v>
      </c>
      <c r="B55" s="25" t="n">
        <v>9</v>
      </c>
      <c r="C55" s="21"/>
      <c r="D55" s="21"/>
      <c r="E55" s="21"/>
      <c r="F55" s="71" t="str">
        <f aca="false">IF(AND(D55&gt;0,E55&gt;0),E55/D55-1,"")</f>
        <v/>
      </c>
      <c r="G55" s="7" t="str">
        <f aca="false">IF(F55="","",IF(F55&lt;-0.3,"⚠ Reach tụt &gt;30%: giảm bài có link, tăng bài thuần nội dung",""))</f>
        <v/>
      </c>
    </row>
    <row r="56" customFormat="false" ht="15" hidden="false" customHeight="false" outlineLevel="0" collapsed="false">
      <c r="A56" s="25" t="s">
        <v>178</v>
      </c>
      <c r="B56" s="25" t="n">
        <v>9</v>
      </c>
      <c r="C56" s="21"/>
      <c r="D56" s="21"/>
      <c r="E56" s="21"/>
      <c r="F56" s="71" t="str">
        <f aca="false">IF(AND(D56&gt;0,E56&gt;0),E56/D56-1,"")</f>
        <v/>
      </c>
      <c r="G56" s="7" t="str">
        <f aca="false">IF(F56="","",IF(F56&lt;-0.3,"⚠ Reach tụt &gt;30%: giảm bài có link, tăng bài thuần nội dung",""))</f>
        <v/>
      </c>
    </row>
    <row r="57" customFormat="false" ht="15" hidden="false" customHeight="false" outlineLevel="0" collapsed="false">
      <c r="A57" s="25" t="s">
        <v>185</v>
      </c>
      <c r="B57" s="25" t="n">
        <v>9</v>
      </c>
      <c r="C57" s="21"/>
      <c r="D57" s="21"/>
      <c r="E57" s="21"/>
      <c r="F57" s="71" t="str">
        <f aca="false">IF(AND(D57&gt;0,E57&gt;0),E57/D57-1,"")</f>
        <v/>
      </c>
      <c r="G57" s="7" t="str">
        <f aca="false">IF(F57="","",IF(F57&lt;-0.3,"⚠ Reach tụt &gt;30%: giảm bài có link, tăng bài thuần nội dung",""))</f>
        <v/>
      </c>
    </row>
    <row r="58" customFormat="false" ht="15" hidden="false" customHeight="false" outlineLevel="0" collapsed="false">
      <c r="A58" s="25" t="s">
        <v>193</v>
      </c>
      <c r="B58" s="25" t="n">
        <v>9</v>
      </c>
      <c r="C58" s="21"/>
      <c r="D58" s="21"/>
      <c r="E58" s="21"/>
      <c r="F58" s="71" t="str">
        <f aca="false">IF(AND(D58&gt;0,E58&gt;0),E58/D58-1,"")</f>
        <v/>
      </c>
      <c r="G58" s="7" t="str">
        <f aca="false">IF(F58="","",IF(F58&lt;-0.3,"⚠ Reach tụt &gt;30%: giảm bài có link, tăng bài thuần nội dung",""))</f>
        <v/>
      </c>
    </row>
    <row r="59" customFormat="false" ht="15" hidden="false" customHeight="false" outlineLevel="0" collapsed="false">
      <c r="A59" s="25" t="s">
        <v>154</v>
      </c>
      <c r="B59" s="25" t="n">
        <v>10</v>
      </c>
      <c r="C59" s="21"/>
      <c r="D59" s="21"/>
      <c r="E59" s="21"/>
      <c r="F59" s="71" t="str">
        <f aca="false">IF(AND(D59&gt;0,E59&gt;0),E59/D59-1,"")</f>
        <v/>
      </c>
      <c r="G59" s="7" t="str">
        <f aca="false">IF(F59="","",IF(F59&lt;-0.3,"⚠ Reach tụt &gt;30%: giảm bài có link, tăng bài thuần nội dung",""))</f>
        <v/>
      </c>
    </row>
    <row r="60" customFormat="false" ht="15" hidden="false" customHeight="false" outlineLevel="0" collapsed="false">
      <c r="A60" s="25" t="s">
        <v>163</v>
      </c>
      <c r="B60" s="25" t="n">
        <v>10</v>
      </c>
      <c r="C60" s="21"/>
      <c r="D60" s="21"/>
      <c r="E60" s="21"/>
      <c r="F60" s="71" t="str">
        <f aca="false">IF(AND(D60&gt;0,E60&gt;0),E60/D60-1,"")</f>
        <v/>
      </c>
      <c r="G60" s="7" t="str">
        <f aca="false">IF(F60="","",IF(F60&lt;-0.3,"⚠ Reach tụt &gt;30%: giảm bài có link, tăng bài thuần nội dung",""))</f>
        <v/>
      </c>
    </row>
    <row r="61" customFormat="false" ht="15" hidden="false" customHeight="false" outlineLevel="0" collapsed="false">
      <c r="A61" s="25" t="s">
        <v>171</v>
      </c>
      <c r="B61" s="25" t="n">
        <v>10</v>
      </c>
      <c r="C61" s="21"/>
      <c r="D61" s="21"/>
      <c r="E61" s="21"/>
      <c r="F61" s="71" t="str">
        <f aca="false">IF(AND(D61&gt;0,E61&gt;0),E61/D61-1,"")</f>
        <v/>
      </c>
      <c r="G61" s="7" t="str">
        <f aca="false">IF(F61="","",IF(F61&lt;-0.3,"⚠ Reach tụt &gt;30%: giảm bài có link, tăng bài thuần nội dung",""))</f>
        <v/>
      </c>
    </row>
    <row r="62" customFormat="false" ht="15" hidden="false" customHeight="false" outlineLevel="0" collapsed="false">
      <c r="A62" s="25" t="s">
        <v>178</v>
      </c>
      <c r="B62" s="25" t="n">
        <v>10</v>
      </c>
      <c r="C62" s="21"/>
      <c r="D62" s="21"/>
      <c r="E62" s="21"/>
      <c r="F62" s="71" t="str">
        <f aca="false">IF(AND(D62&gt;0,E62&gt;0),E62/D62-1,"")</f>
        <v/>
      </c>
      <c r="G62" s="7" t="str">
        <f aca="false">IF(F62="","",IF(F62&lt;-0.3,"⚠ Reach tụt &gt;30%: giảm bài có link, tăng bài thuần nội dung",""))</f>
        <v/>
      </c>
    </row>
    <row r="63" customFormat="false" ht="15" hidden="false" customHeight="false" outlineLevel="0" collapsed="false">
      <c r="A63" s="25" t="s">
        <v>185</v>
      </c>
      <c r="B63" s="25" t="n">
        <v>10</v>
      </c>
      <c r="C63" s="21"/>
      <c r="D63" s="21"/>
      <c r="E63" s="21"/>
      <c r="F63" s="71" t="str">
        <f aca="false">IF(AND(D63&gt;0,E63&gt;0),E63/D63-1,"")</f>
        <v/>
      </c>
      <c r="G63" s="7" t="str">
        <f aca="false">IF(F63="","",IF(F63&lt;-0.3,"⚠ Reach tụt &gt;30%: giảm bài có link, tăng bài thuần nội dung",""))</f>
        <v/>
      </c>
    </row>
    <row r="64" customFormat="false" ht="15" hidden="false" customHeight="false" outlineLevel="0" collapsed="false">
      <c r="A64" s="25" t="s">
        <v>193</v>
      </c>
      <c r="B64" s="25" t="n">
        <v>10</v>
      </c>
      <c r="C64" s="21"/>
      <c r="D64" s="21"/>
      <c r="E64" s="21"/>
      <c r="F64" s="71" t="str">
        <f aca="false">IF(AND(D64&gt;0,E64&gt;0),E64/D64-1,"")</f>
        <v/>
      </c>
      <c r="G64" s="7" t="str">
        <f aca="false">IF(F64="","",IF(F64&lt;-0.3,"⚠ Reach tụt &gt;30%: giảm bài có link, tăng bài thuần nội dung",""))</f>
        <v/>
      </c>
    </row>
    <row r="65" customFormat="false" ht="15" hidden="false" customHeight="false" outlineLevel="0" collapsed="false">
      <c r="A65" s="25" t="s">
        <v>154</v>
      </c>
      <c r="B65" s="25" t="n">
        <v>11</v>
      </c>
      <c r="C65" s="21"/>
      <c r="D65" s="21"/>
      <c r="E65" s="21"/>
      <c r="F65" s="71" t="str">
        <f aca="false">IF(AND(D65&gt;0,E65&gt;0),E65/D65-1,"")</f>
        <v/>
      </c>
      <c r="G65" s="7" t="str">
        <f aca="false">IF(F65="","",IF(F65&lt;-0.3,"⚠ Reach tụt &gt;30%: giảm bài có link, tăng bài thuần nội dung",""))</f>
        <v/>
      </c>
    </row>
    <row r="66" customFormat="false" ht="15" hidden="false" customHeight="false" outlineLevel="0" collapsed="false">
      <c r="A66" s="25" t="s">
        <v>163</v>
      </c>
      <c r="B66" s="25" t="n">
        <v>11</v>
      </c>
      <c r="C66" s="21"/>
      <c r="D66" s="21"/>
      <c r="E66" s="21"/>
      <c r="F66" s="71" t="str">
        <f aca="false">IF(AND(D66&gt;0,E66&gt;0),E66/D66-1,"")</f>
        <v/>
      </c>
      <c r="G66" s="7" t="str">
        <f aca="false">IF(F66="","",IF(F66&lt;-0.3,"⚠ Reach tụt &gt;30%: giảm bài có link, tăng bài thuần nội dung",""))</f>
        <v/>
      </c>
    </row>
    <row r="67" customFormat="false" ht="15" hidden="false" customHeight="false" outlineLevel="0" collapsed="false">
      <c r="A67" s="25" t="s">
        <v>171</v>
      </c>
      <c r="B67" s="25" t="n">
        <v>11</v>
      </c>
      <c r="C67" s="21"/>
      <c r="D67" s="21"/>
      <c r="E67" s="21"/>
      <c r="F67" s="71" t="str">
        <f aca="false">IF(AND(D67&gt;0,E67&gt;0),E67/D67-1,"")</f>
        <v/>
      </c>
      <c r="G67" s="7" t="str">
        <f aca="false">IF(F67="","",IF(F67&lt;-0.3,"⚠ Reach tụt &gt;30%: giảm bài có link, tăng bài thuần nội dung",""))</f>
        <v/>
      </c>
    </row>
    <row r="68" customFormat="false" ht="15" hidden="false" customHeight="false" outlineLevel="0" collapsed="false">
      <c r="A68" s="25" t="s">
        <v>178</v>
      </c>
      <c r="B68" s="25" t="n">
        <v>11</v>
      </c>
      <c r="C68" s="21"/>
      <c r="D68" s="21"/>
      <c r="E68" s="21"/>
      <c r="F68" s="71" t="str">
        <f aca="false">IF(AND(D68&gt;0,E68&gt;0),E68/D68-1,"")</f>
        <v/>
      </c>
      <c r="G68" s="7" t="str">
        <f aca="false">IF(F68="","",IF(F68&lt;-0.3,"⚠ Reach tụt &gt;30%: giảm bài có link, tăng bài thuần nội dung",""))</f>
        <v/>
      </c>
    </row>
    <row r="69" customFormat="false" ht="15" hidden="false" customHeight="false" outlineLevel="0" collapsed="false">
      <c r="A69" s="25" t="s">
        <v>185</v>
      </c>
      <c r="B69" s="25" t="n">
        <v>11</v>
      </c>
      <c r="C69" s="21"/>
      <c r="D69" s="21"/>
      <c r="E69" s="21"/>
      <c r="F69" s="71" t="str">
        <f aca="false">IF(AND(D69&gt;0,E69&gt;0),E69/D69-1,"")</f>
        <v/>
      </c>
      <c r="G69" s="7" t="str">
        <f aca="false">IF(F69="","",IF(F69&lt;-0.3,"⚠ Reach tụt &gt;30%: giảm bài có link, tăng bài thuần nội dung",""))</f>
        <v/>
      </c>
    </row>
    <row r="70" customFormat="false" ht="15" hidden="false" customHeight="false" outlineLevel="0" collapsed="false">
      <c r="A70" s="25" t="s">
        <v>193</v>
      </c>
      <c r="B70" s="25" t="n">
        <v>11</v>
      </c>
      <c r="C70" s="21"/>
      <c r="D70" s="21"/>
      <c r="E70" s="21"/>
      <c r="F70" s="71" t="str">
        <f aca="false">IF(AND(D70&gt;0,E70&gt;0),E70/D70-1,"")</f>
        <v/>
      </c>
      <c r="G70" s="7" t="str">
        <f aca="false">IF(F70="","",IF(F70&lt;-0.3,"⚠ Reach tụt &gt;30%: giảm bài có link, tăng bài thuần nội dung",""))</f>
        <v/>
      </c>
    </row>
    <row r="71" customFormat="false" ht="15" hidden="false" customHeight="false" outlineLevel="0" collapsed="false">
      <c r="A71" s="25" t="s">
        <v>154</v>
      </c>
      <c r="B71" s="25" t="n">
        <v>12</v>
      </c>
      <c r="C71" s="21"/>
      <c r="D71" s="21"/>
      <c r="E71" s="21"/>
      <c r="F71" s="71" t="str">
        <f aca="false">IF(AND(D71&gt;0,E71&gt;0),E71/D71-1,"")</f>
        <v/>
      </c>
      <c r="G71" s="7" t="str">
        <f aca="false">IF(F71="","",IF(F71&lt;-0.3,"⚠ Reach tụt &gt;30%: giảm bài có link, tăng bài thuần nội dung",""))</f>
        <v/>
      </c>
    </row>
    <row r="72" customFormat="false" ht="15" hidden="false" customHeight="false" outlineLevel="0" collapsed="false">
      <c r="A72" s="25" t="s">
        <v>163</v>
      </c>
      <c r="B72" s="25" t="n">
        <v>12</v>
      </c>
      <c r="C72" s="21"/>
      <c r="D72" s="21"/>
      <c r="E72" s="21"/>
      <c r="F72" s="71" t="str">
        <f aca="false">IF(AND(D72&gt;0,E72&gt;0),E72/D72-1,"")</f>
        <v/>
      </c>
      <c r="G72" s="7" t="str">
        <f aca="false">IF(F72="","",IF(F72&lt;-0.3,"⚠ Reach tụt &gt;30%: giảm bài có link, tăng bài thuần nội dung",""))</f>
        <v/>
      </c>
    </row>
    <row r="73" customFormat="false" ht="15" hidden="false" customHeight="false" outlineLevel="0" collapsed="false">
      <c r="A73" s="25" t="s">
        <v>171</v>
      </c>
      <c r="B73" s="25" t="n">
        <v>12</v>
      </c>
      <c r="C73" s="21"/>
      <c r="D73" s="21"/>
      <c r="E73" s="21"/>
      <c r="F73" s="71" t="str">
        <f aca="false">IF(AND(D73&gt;0,E73&gt;0),E73/D73-1,"")</f>
        <v/>
      </c>
      <c r="G73" s="7" t="str">
        <f aca="false">IF(F73="","",IF(F73&lt;-0.3,"⚠ Reach tụt &gt;30%: giảm bài có link, tăng bài thuần nội dung",""))</f>
        <v/>
      </c>
    </row>
    <row r="74" customFormat="false" ht="15" hidden="false" customHeight="false" outlineLevel="0" collapsed="false">
      <c r="A74" s="25" t="s">
        <v>178</v>
      </c>
      <c r="B74" s="25" t="n">
        <v>12</v>
      </c>
      <c r="C74" s="21"/>
      <c r="D74" s="21"/>
      <c r="E74" s="21"/>
      <c r="F74" s="71" t="str">
        <f aca="false">IF(AND(D74&gt;0,E74&gt;0),E74/D74-1,"")</f>
        <v/>
      </c>
      <c r="G74" s="7" t="str">
        <f aca="false">IF(F74="","",IF(F74&lt;-0.3,"⚠ Reach tụt &gt;30%: giảm bài có link, tăng bài thuần nội dung",""))</f>
        <v/>
      </c>
    </row>
    <row r="75" customFormat="false" ht="15" hidden="false" customHeight="false" outlineLevel="0" collapsed="false">
      <c r="A75" s="25" t="s">
        <v>185</v>
      </c>
      <c r="B75" s="25" t="n">
        <v>12</v>
      </c>
      <c r="C75" s="21"/>
      <c r="D75" s="21"/>
      <c r="E75" s="21"/>
      <c r="F75" s="71" t="str">
        <f aca="false">IF(AND(D75&gt;0,E75&gt;0),E75/D75-1,"")</f>
        <v/>
      </c>
      <c r="G75" s="7" t="str">
        <f aca="false">IF(F75="","",IF(F75&lt;-0.3,"⚠ Reach tụt &gt;30%: giảm bài có link, tăng bài thuần nội dung",""))</f>
        <v/>
      </c>
    </row>
    <row r="76" customFormat="false" ht="15" hidden="false" customHeight="false" outlineLevel="0" collapsed="false">
      <c r="A76" s="25" t="s">
        <v>193</v>
      </c>
      <c r="B76" s="25" t="n">
        <v>12</v>
      </c>
      <c r="C76" s="21"/>
      <c r="D76" s="21"/>
      <c r="E76" s="21"/>
      <c r="F76" s="71" t="str">
        <f aca="false">IF(AND(D76&gt;0,E76&gt;0),E76/D76-1,"")</f>
        <v/>
      </c>
      <c r="G76" s="7" t="str">
        <f aca="false">IF(F76="","",IF(F76&lt;-0.3,"⚠ Reach tụt &gt;30%: giảm bài có link, tăng bài thuần nội dung",""))</f>
        <v/>
      </c>
    </row>
    <row r="77" customFormat="false" ht="15" hidden="false" customHeight="false" outlineLevel="0" collapsed="false">
      <c r="A77" s="25" t="s">
        <v>154</v>
      </c>
      <c r="B77" s="25" t="n">
        <v>13</v>
      </c>
      <c r="C77" s="21"/>
      <c r="D77" s="21"/>
      <c r="E77" s="21"/>
      <c r="F77" s="71" t="str">
        <f aca="false">IF(AND(D77&gt;0,E77&gt;0),E77/D77-1,"")</f>
        <v/>
      </c>
      <c r="G77" s="7" t="str">
        <f aca="false">IF(F77="","",IF(F77&lt;-0.3,"⚠ Reach tụt &gt;30%: giảm bài có link, tăng bài thuần nội dung",""))</f>
        <v/>
      </c>
    </row>
    <row r="78" customFormat="false" ht="15" hidden="false" customHeight="false" outlineLevel="0" collapsed="false">
      <c r="A78" s="25" t="s">
        <v>163</v>
      </c>
      <c r="B78" s="25" t="n">
        <v>13</v>
      </c>
      <c r="C78" s="21"/>
      <c r="D78" s="21"/>
      <c r="E78" s="21"/>
      <c r="F78" s="71" t="str">
        <f aca="false">IF(AND(D78&gt;0,E78&gt;0),E78/D78-1,"")</f>
        <v/>
      </c>
      <c r="G78" s="7" t="str">
        <f aca="false">IF(F78="","",IF(F78&lt;-0.3,"⚠ Reach tụt &gt;30%: giảm bài có link, tăng bài thuần nội dung",""))</f>
        <v/>
      </c>
    </row>
    <row r="79" customFormat="false" ht="15" hidden="false" customHeight="false" outlineLevel="0" collapsed="false">
      <c r="A79" s="25" t="s">
        <v>171</v>
      </c>
      <c r="B79" s="25" t="n">
        <v>13</v>
      </c>
      <c r="C79" s="21"/>
      <c r="D79" s="21"/>
      <c r="E79" s="21"/>
      <c r="F79" s="71" t="str">
        <f aca="false">IF(AND(D79&gt;0,E79&gt;0),E79/D79-1,"")</f>
        <v/>
      </c>
      <c r="G79" s="7" t="str">
        <f aca="false">IF(F79="","",IF(F79&lt;-0.3,"⚠ Reach tụt &gt;30%: giảm bài có link, tăng bài thuần nội dung",""))</f>
        <v/>
      </c>
    </row>
    <row r="80" customFormat="false" ht="15" hidden="false" customHeight="false" outlineLevel="0" collapsed="false">
      <c r="A80" s="25" t="s">
        <v>178</v>
      </c>
      <c r="B80" s="25" t="n">
        <v>13</v>
      </c>
      <c r="C80" s="21"/>
      <c r="D80" s="21"/>
      <c r="E80" s="21"/>
      <c r="F80" s="71" t="str">
        <f aca="false">IF(AND(D80&gt;0,E80&gt;0),E80/D80-1,"")</f>
        <v/>
      </c>
      <c r="G80" s="7" t="str">
        <f aca="false">IF(F80="","",IF(F80&lt;-0.3,"⚠ Reach tụt &gt;30%: giảm bài có link, tăng bài thuần nội dung",""))</f>
        <v/>
      </c>
    </row>
    <row r="81" customFormat="false" ht="15" hidden="false" customHeight="false" outlineLevel="0" collapsed="false">
      <c r="A81" s="25" t="s">
        <v>185</v>
      </c>
      <c r="B81" s="25" t="n">
        <v>13</v>
      </c>
      <c r="C81" s="21"/>
      <c r="D81" s="21"/>
      <c r="E81" s="21"/>
      <c r="F81" s="71" t="str">
        <f aca="false">IF(AND(D81&gt;0,E81&gt;0),E81/D81-1,"")</f>
        <v/>
      </c>
      <c r="G81" s="7" t="str">
        <f aca="false">IF(F81="","",IF(F81&lt;-0.3,"⚠ Reach tụt &gt;30%: giảm bài có link, tăng bài thuần nội dung",""))</f>
        <v/>
      </c>
    </row>
    <row r="82" customFormat="false" ht="15" hidden="false" customHeight="false" outlineLevel="0" collapsed="false">
      <c r="A82" s="25" t="s">
        <v>193</v>
      </c>
      <c r="B82" s="25" t="n">
        <v>13</v>
      </c>
      <c r="C82" s="21"/>
      <c r="D82" s="21"/>
      <c r="E82" s="21"/>
      <c r="F82" s="71" t="str">
        <f aca="false">IF(AND(D82&gt;0,E82&gt;0),E82/D82-1,"")</f>
        <v/>
      </c>
      <c r="G82" s="7" t="str">
        <f aca="false">IF(F82="","",IF(F82&lt;-0.3,"⚠ Reach tụt &gt;30%: giảm bài có link, tăng bài thuần nội dung",""))</f>
        <v/>
      </c>
    </row>
    <row r="83" customFormat="false" ht="15" hidden="false" customHeight="false" outlineLevel="0" collapsed="false">
      <c r="A83" s="25" t="s">
        <v>154</v>
      </c>
      <c r="B83" s="25" t="n">
        <v>14</v>
      </c>
      <c r="C83" s="21"/>
      <c r="D83" s="21"/>
      <c r="E83" s="21"/>
      <c r="F83" s="71" t="str">
        <f aca="false">IF(AND(D83&gt;0,E83&gt;0),E83/D83-1,"")</f>
        <v/>
      </c>
      <c r="G83" s="7" t="str">
        <f aca="false">IF(F83="","",IF(F83&lt;-0.3,"⚠ Reach tụt &gt;30%: giảm bài có link, tăng bài thuần nội dung",""))</f>
        <v/>
      </c>
    </row>
    <row r="84" customFormat="false" ht="15" hidden="false" customHeight="false" outlineLevel="0" collapsed="false">
      <c r="A84" s="25" t="s">
        <v>163</v>
      </c>
      <c r="B84" s="25" t="n">
        <v>14</v>
      </c>
      <c r="C84" s="21"/>
      <c r="D84" s="21"/>
      <c r="E84" s="21"/>
      <c r="F84" s="71" t="str">
        <f aca="false">IF(AND(D84&gt;0,E84&gt;0),E84/D84-1,"")</f>
        <v/>
      </c>
      <c r="G84" s="7" t="str">
        <f aca="false">IF(F84="","",IF(F84&lt;-0.3,"⚠ Reach tụt &gt;30%: giảm bài có link, tăng bài thuần nội dung",""))</f>
        <v/>
      </c>
    </row>
    <row r="85" customFormat="false" ht="15" hidden="false" customHeight="false" outlineLevel="0" collapsed="false">
      <c r="A85" s="25" t="s">
        <v>171</v>
      </c>
      <c r="B85" s="25" t="n">
        <v>14</v>
      </c>
      <c r="C85" s="21"/>
      <c r="D85" s="21"/>
      <c r="E85" s="21"/>
      <c r="F85" s="71" t="str">
        <f aca="false">IF(AND(D85&gt;0,E85&gt;0),E85/D85-1,"")</f>
        <v/>
      </c>
      <c r="G85" s="7" t="str">
        <f aca="false">IF(F85="","",IF(F85&lt;-0.3,"⚠ Reach tụt &gt;30%: giảm bài có link, tăng bài thuần nội dung",""))</f>
        <v/>
      </c>
    </row>
    <row r="86" customFormat="false" ht="15" hidden="false" customHeight="false" outlineLevel="0" collapsed="false">
      <c r="A86" s="25" t="s">
        <v>178</v>
      </c>
      <c r="B86" s="25" t="n">
        <v>14</v>
      </c>
      <c r="C86" s="21"/>
      <c r="D86" s="21"/>
      <c r="E86" s="21"/>
      <c r="F86" s="71" t="str">
        <f aca="false">IF(AND(D86&gt;0,E86&gt;0),E86/D86-1,"")</f>
        <v/>
      </c>
      <c r="G86" s="7" t="str">
        <f aca="false">IF(F86="","",IF(F86&lt;-0.3,"⚠ Reach tụt &gt;30%: giảm bài có link, tăng bài thuần nội dung",""))</f>
        <v/>
      </c>
    </row>
    <row r="87" customFormat="false" ht="15" hidden="false" customHeight="false" outlineLevel="0" collapsed="false">
      <c r="A87" s="25" t="s">
        <v>185</v>
      </c>
      <c r="B87" s="25" t="n">
        <v>14</v>
      </c>
      <c r="C87" s="21"/>
      <c r="D87" s="21"/>
      <c r="E87" s="21"/>
      <c r="F87" s="71" t="str">
        <f aca="false">IF(AND(D87&gt;0,E87&gt;0),E87/D87-1,"")</f>
        <v/>
      </c>
      <c r="G87" s="7" t="str">
        <f aca="false">IF(F87="","",IF(F87&lt;-0.3,"⚠ Reach tụt &gt;30%: giảm bài có link, tăng bài thuần nội dung",""))</f>
        <v/>
      </c>
    </row>
    <row r="88" customFormat="false" ht="15" hidden="false" customHeight="false" outlineLevel="0" collapsed="false">
      <c r="A88" s="25" t="s">
        <v>193</v>
      </c>
      <c r="B88" s="25" t="n">
        <v>14</v>
      </c>
      <c r="C88" s="21"/>
      <c r="D88" s="21"/>
      <c r="E88" s="21"/>
      <c r="F88" s="71" t="str">
        <f aca="false">IF(AND(D88&gt;0,E88&gt;0),E88/D88-1,"")</f>
        <v/>
      </c>
      <c r="G88" s="7" t="str">
        <f aca="false">IF(F88="","",IF(F88&lt;-0.3,"⚠ Reach tụt &gt;30%: giảm bài có link, tăng bài thuần nội dung",""))</f>
        <v/>
      </c>
    </row>
    <row r="89" customFormat="false" ht="15" hidden="false" customHeight="false" outlineLevel="0" collapsed="false">
      <c r="A89" s="25" t="s">
        <v>154</v>
      </c>
      <c r="B89" s="25" t="n">
        <v>15</v>
      </c>
      <c r="C89" s="21"/>
      <c r="D89" s="21"/>
      <c r="E89" s="21"/>
      <c r="F89" s="71" t="str">
        <f aca="false">IF(AND(D89&gt;0,E89&gt;0),E89/D89-1,"")</f>
        <v/>
      </c>
      <c r="G89" s="7" t="str">
        <f aca="false">IF(F89="","",IF(F89&lt;-0.3,"⚠ Reach tụt &gt;30%: giảm bài có link, tăng bài thuần nội dung",""))</f>
        <v/>
      </c>
    </row>
    <row r="90" customFormat="false" ht="15" hidden="false" customHeight="false" outlineLevel="0" collapsed="false">
      <c r="A90" s="25" t="s">
        <v>163</v>
      </c>
      <c r="B90" s="25" t="n">
        <v>15</v>
      </c>
      <c r="C90" s="21"/>
      <c r="D90" s="21"/>
      <c r="E90" s="21"/>
      <c r="F90" s="71" t="str">
        <f aca="false">IF(AND(D90&gt;0,E90&gt;0),E90/D90-1,"")</f>
        <v/>
      </c>
      <c r="G90" s="7" t="str">
        <f aca="false">IF(F90="","",IF(F90&lt;-0.3,"⚠ Reach tụt &gt;30%: giảm bài có link, tăng bài thuần nội dung",""))</f>
        <v/>
      </c>
    </row>
    <row r="91" customFormat="false" ht="15" hidden="false" customHeight="false" outlineLevel="0" collapsed="false">
      <c r="A91" s="25" t="s">
        <v>171</v>
      </c>
      <c r="B91" s="25" t="n">
        <v>15</v>
      </c>
      <c r="C91" s="21"/>
      <c r="D91" s="21"/>
      <c r="E91" s="21"/>
      <c r="F91" s="71" t="str">
        <f aca="false">IF(AND(D91&gt;0,E91&gt;0),E91/D91-1,"")</f>
        <v/>
      </c>
      <c r="G91" s="7" t="str">
        <f aca="false">IF(F91="","",IF(F91&lt;-0.3,"⚠ Reach tụt &gt;30%: giảm bài có link, tăng bài thuần nội dung",""))</f>
        <v/>
      </c>
    </row>
    <row r="92" customFormat="false" ht="15" hidden="false" customHeight="false" outlineLevel="0" collapsed="false">
      <c r="A92" s="25" t="s">
        <v>178</v>
      </c>
      <c r="B92" s="25" t="n">
        <v>15</v>
      </c>
      <c r="C92" s="21"/>
      <c r="D92" s="21"/>
      <c r="E92" s="21"/>
      <c r="F92" s="71" t="str">
        <f aca="false">IF(AND(D92&gt;0,E92&gt;0),E92/D92-1,"")</f>
        <v/>
      </c>
      <c r="G92" s="7" t="str">
        <f aca="false">IF(F92="","",IF(F92&lt;-0.3,"⚠ Reach tụt &gt;30%: giảm bài có link, tăng bài thuần nội dung",""))</f>
        <v/>
      </c>
    </row>
    <row r="93" customFormat="false" ht="15" hidden="false" customHeight="false" outlineLevel="0" collapsed="false">
      <c r="A93" s="25" t="s">
        <v>185</v>
      </c>
      <c r="B93" s="25" t="n">
        <v>15</v>
      </c>
      <c r="C93" s="21"/>
      <c r="D93" s="21"/>
      <c r="E93" s="21"/>
      <c r="F93" s="71" t="str">
        <f aca="false">IF(AND(D93&gt;0,E93&gt;0),E93/D93-1,"")</f>
        <v/>
      </c>
      <c r="G93" s="7" t="str">
        <f aca="false">IF(F93="","",IF(F93&lt;-0.3,"⚠ Reach tụt &gt;30%: giảm bài có link, tăng bài thuần nội dung",""))</f>
        <v/>
      </c>
    </row>
    <row r="94" customFormat="false" ht="15" hidden="false" customHeight="false" outlineLevel="0" collapsed="false">
      <c r="A94" s="25" t="s">
        <v>193</v>
      </c>
      <c r="B94" s="25" t="n">
        <v>15</v>
      </c>
      <c r="C94" s="21"/>
      <c r="D94" s="21"/>
      <c r="E94" s="21"/>
      <c r="F94" s="71" t="str">
        <f aca="false">IF(AND(D94&gt;0,E94&gt;0),E94/D94-1,"")</f>
        <v/>
      </c>
      <c r="G94" s="7" t="str">
        <f aca="false">IF(F94="","",IF(F94&lt;-0.3,"⚠ Reach tụt &gt;30%: giảm bài có link, tăng bài thuần nội dung",""))</f>
        <v/>
      </c>
    </row>
  </sheetData>
  <autoFilter ref="A3:G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2026-10-08T04:06:37Z</dcterms:created>
  <dc:creator>openpyxl</dc:creator>
  <dc:description/>
  <dc:language>en-US</dc:language>
  <cp:lastModifiedBy/>
  <dcterms:modified xsi:type="dcterms:W3CDTF">2026-10-08T04:06:39Z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